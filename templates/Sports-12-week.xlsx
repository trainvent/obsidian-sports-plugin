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3a431c0ed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y" sheetId="1" r:id="Rbbed011660624d45"/>
    <x:sheet xmlns:r="http://schemas.openxmlformats.org/officeDocument/2006/relationships" name="Training log" sheetId="2" r:id="Rb4841453cc41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202B3C"/>
      <x:name val="Arial"/>
    </x:font>
    <x:font>
      <x:b/>
      <x:sz val="11"/>
      <x:color rgb="FF202B3C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6DE"/>
      </x:patternFill>
    </x:fill>
    <x:fill>
      <x:patternFill patternType="solid">
        <x:fgColor rgb="FFE6ECF3"/>
      </x:patternFill>
    </x:fill>
    <x:fill>
      <x:patternFill patternType="solid">
        <x:fgColor rgb="FF344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DFEE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9789d2bd14eaf" /><Relationship Type="http://schemas.openxmlformats.org/officeDocument/2006/relationships/theme" Target="/xl/theme/theme1.xml" Id="Rbd3d38c137034a55" /><Relationship Type="http://schemas.openxmlformats.org/officeDocument/2006/relationships/sharedStrings" Target="/xl/sharedStrings.xml" Id="Rb90e507800244c03" /><Relationship Type="http://schemas.openxmlformats.org/officeDocument/2006/relationships/worksheet" Target="/xl/worksheets/sheet1.xml" Id="Rbbed011660624d45" /><Relationship Type="http://schemas.openxmlformats.org/officeDocument/2006/relationships/worksheet" Target="/xl/worksheets/sheet2.xml" Id="Rb4841453cc4146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4465D"/>
  </x:sheetPr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55" hidden="0" customWidth="1"/>
    <x:col min="5" max="5" width="55" hidden="0" customWidth="1"/>
    <x:col min="6" max="6" width="55" hidden="0" customWidth="1"/>
    <x:col min="7" max="7" width="16" hidden="0" customWidth="1"/>
  </x:cols>
  <x:sheetData>
    <x:row r="1" ht="28" customHeight="1">
      <x:c r="A1" s="7" t="str">
        <x:v>Plan</x:v>
      </x:c>
      <x:c r="B1" s="7"/>
      <x:c r="C1" s="7"/>
      <x:c r="D1" s="7"/>
      <x:c r="E1" s="7"/>
      <x:c r="F1" s="3"/>
      <x:c r="G1" s="3"/>
    </x:row>
    <x:row r="2" ht="32" customHeight="1">
      <x:c r="A2" s="10" t="str">
        <x:v>schema_version</x:v>
      </x:c>
      <x:c r="B2" s="10" t="str">
        <x:v>plan_id</x:v>
      </x:c>
      <x:c r="C2" s="10" t="str">
        <x:v>plan_name</x:v>
      </x:c>
      <x:c r="D2" s="10" t="str">
        <x:v>timezone</x:v>
      </x:c>
      <x:c r="E2" s="10" t="str">
        <x:v>start_date</x:v>
      </x:c>
      <x:c r="F2" s="3"/>
      <x:c r="G2" s="3"/>
    </x:row>
    <x:row r="3" ht="54" customHeight="1">
      <x:c r="A3" s="3" t="str">
        <x:v>1</x:v>
      </x:c>
      <x:c r="B3" s="3" t="str">
        <x:v>my-training</x:v>
      </x:c>
      <x:c r="C3" s="3" t="str">
        <x:v>12-week hybrid plan</x:v>
      </x:c>
      <x:c r="D3" s="3" t="str">
        <x:v>Europe/Berlin</x:v>
      </x:c>
      <x:c r="E3" s="5" t="d">
        <x:v>2026-09-28T12:00:00.000Z</x:v>
      </x:c>
      <x:c r="F3" s="3"/>
      <x:c r="G3" s="3"/>
    </x:row>
    <x:row r="4" ht="18" customHeight="1">
      <x:c r="A4" s="3"/>
      <x:c r="B4" s="3"/>
      <x:c r="C4" s="3"/>
      <x:c r="D4" s="3"/>
      <x:c r="E4" s="3"/>
      <x:c r="F4" s="3"/>
      <x:c r="G4" s="3"/>
    </x:row>
    <x:row r="5" ht="28" customHeight="1">
      <x:c r="A5" s="7" t="str">
        <x:v>Goals</x:v>
      </x:c>
      <x:c r="B5" s="7"/>
      <x:c r="C5" s="7"/>
      <x:c r="D5" s="7"/>
      <x:c r="E5" s="7"/>
      <x:c r="F5" s="3"/>
      <x:c r="G5" s="3"/>
    </x:row>
    <x:row r="6" ht="32" customHeight="1">
      <x:c r="A6" s="10" t="str">
        <x:v>goal_id</x:v>
      </x:c>
      <x:c r="B6" s="10" t="str">
        <x:v>title</x:v>
      </x:c>
      <x:c r="C6" s="10" t="str">
        <x:v>benchmark</x:v>
      </x:c>
      <x:c r="D6" s="10" t="str">
        <x:v>baseline</x:v>
      </x:c>
      <x:c r="E6" s="10" t="str">
        <x:v>test</x:v>
      </x:c>
      <x:c r="F6" s="3"/>
      <x:c r="G6" s="3"/>
    </x:row>
    <x:row r="7" ht="76" customHeight="1">
      <x:c r="A7" s="3" t="str">
        <x:v>muscle-up</x:v>
      </x:c>
      <x:c r="B7" s="3" t="str">
        <x:v>Muscle-up</x:v>
      </x:c>
      <x:c r="C7" s="3" t="str">
        <x:v>Band-assisted or first strict rep</x:v>
      </x:c>
      <x:c r="D7" s="3" t="str">
        <x:v>Not established</x:v>
      </x:c>
      <x:c r="E7" s="3" t="str">
        <x:v>Record assistance and controlled full movement</x:v>
      </x:c>
      <x:c r="F7" s="3"/>
      <x:c r="G7" s="3"/>
    </x:row>
    <x:row r="8" ht="76" customHeight="1">
      <x:c r="A8" s="3" t="str">
        <x:v>hspu</x:v>
      </x:c>
      <x:c r="B8" s="3" t="str">
        <x:v>Handstand push-up</x:v>
      </x:c>
      <x:c r="C8" s="3" t="str">
        <x:v>3–5 controlled wall reps or deep negatives</x:v>
      </x:c>
      <x:c r="D8" s="3" t="str">
        <x:v>Not established</x:v>
      </x:c>
      <x:c r="E8" s="3" t="str">
        <x:v>Chest-to-wall, full lockout</x:v>
      </x:c>
      <x:c r="F8" s="3"/>
      <x:c r="G8" s="3"/>
    </x:row>
    <x:row r="9" ht="76" customHeight="1">
      <x:c r="A9" s="3" t="str">
        <x:v>pistol</x:v>
      </x:c>
      <x:c r="B9" s="3" t="str">
        <x:v>Pistol squat</x:v>
      </x:c>
      <x:c r="C9" s="3" t="str">
        <x:v>3–5 clean reps per leg</x:v>
      </x:c>
      <x:c r="D9" s="3" t="str">
        <x:v>Not established</x:v>
      </x:c>
      <x:c r="E9" s="3" t="str">
        <x:v>Heel down, controlled depth</x:v>
      </x:c>
      <x:c r="F9" s="3"/>
      <x:c r="G9" s="3"/>
    </x:row>
    <x:row r="10" ht="76" customHeight="1">
      <x:c r="A10" s="3" t="str">
        <x:v>running</x:v>
      </x:c>
      <x:c r="B10" s="3" t="str">
        <x:v>Running</x:v>
      </x:c>
      <x:c r="C10" s="3" t="str">
        <x:v>Maintain or improve 12 km pace</x:v>
      </x:c>
      <x:c r="D10" s="3" t="str">
        <x:v>12 km at 5:00/km (reported)</x:v>
      </x:c>
      <x:c r="E10" s="3" t="str">
        <x:v>12 km steady test in week 12</x:v>
      </x:c>
      <x:c r="F10" s="3"/>
      <x:c r="G10" s="3"/>
    </x:row>
    <x:row r="11" ht="18" customHeight="1">
      <x:c r="A11" s="3"/>
      <x:c r="B11" s="3"/>
      <x:c r="C11" s="3"/>
      <x:c r="D11" s="3"/>
      <x:c r="E11" s="3"/>
      <x:c r="F11" s="3"/>
      <x:c r="G11" s="3"/>
    </x:row>
    <x:row r="12" ht="28" customHeight="1">
      <x:c r="A12" s="7" t="str">
        <x:v>Parts</x:v>
      </x:c>
      <x:c r="B12" s="7"/>
      <x:c r="C12" s="7"/>
      <x:c r="D12" s="7"/>
      <x:c r="E12" s="3"/>
      <x:c r="F12" s="3"/>
      <x:c r="G12" s="3"/>
    </x:row>
    <x:row r="13" ht="32" customHeight="1">
      <x:c r="A13" s="10" t="str">
        <x:v>part_id</x:v>
      </x:c>
      <x:c r="B13" s="10" t="str">
        <x:v>version</x:v>
      </x:c>
      <x:c r="C13" s="10" t="str">
        <x:v>title</x:v>
      </x:c>
      <x:c r="D13" s="10" t="str">
        <x:v>prescription</x:v>
      </x:c>
      <x:c r="E13" s="3"/>
      <x:c r="F13" s="3"/>
      <x:c r="G13" s="3"/>
    </x:row>
    <x:row r="14" ht="110" customHeight="1">
      <x:c r="A14" s="3" t="str">
        <x:v>A</x:v>
      </x:c>
      <x:c r="B14" s="3" t="str">
        <x:v>1</x:v>
      </x:c>
      <x:c r="C14" s="3" t="str">
        <x:v>Skills A</x:v>
      </x:c>
      <x:c r="D14" s="3" t="str">
        <x:v>Muscle-up + pistol practice, then Core circuit (5 rounds). Record variation, assistance, sets and reps.</x:v>
      </x:c>
      <x:c r="E14" s="3"/>
      <x:c r="F14" s="3"/>
      <x:c r="G14" s="3"/>
    </x:row>
    <x:row r="15" ht="110" customHeight="1">
      <x:c r="A15" s="3" t="str">
        <x:v>B</x:v>
      </x:c>
      <x:c r="B15" s="3" t="str">
        <x:v>1</x:v>
      </x:c>
      <x:c r="C15" s="3" t="str">
        <x:v>Skills B</x:v>
      </x:c>
      <x:c r="D15" s="3" t="str">
        <x:v>Handstand push-up + pistol practice, then Core circuit (5 rounds). Record variation, assistance, sets and reps.</x:v>
      </x:c>
      <x:c r="E15" s="3"/>
      <x:c r="F15" s="3"/>
      <x:c r="G15" s="3"/>
    </x:row>
    <x:row r="16" ht="110" customHeight="1">
      <x:c r="A16" s="3" t="str">
        <x:v>Technique</x:v>
      </x:c>
      <x:c r="B16" s="3" t="str">
        <x:v>1</x:v>
      </x:c>
      <x:c r="C16" s="3" t="str">
        <x:v>Light technique</x:v>
      </x:c>
      <x:c r="D16" s="3" t="str">
        <x:v>Easy handstand practice. Record the variation and hold time.</x:v>
      </x:c>
      <x:c r="E16" s="3"/>
      <x:c r="F16" s="3"/>
      <x:c r="G16" s="3"/>
    </x:row>
    <x:row r="17" ht="110" customHeight="1">
      <x:c r="A17" s="3" t="str">
        <x:v>Core</x:v>
      </x:c>
      <x:c r="B17" s="3" t="str">
        <x:v>1</x:v>
      </x:c>
      <x:c r="C17" s="3" t="str">
        <x:v>Core circuit — 16 min 40 sec</x:v>
      </x:c>
      <x:c r="D17" s="3" t="str">
        <x:v>5 rounds: pull-ups, push-ups, weighted squats, upside-down hanging shoulder/ab work. Each exercise: 30 sec work + 20 sec rest, then continue around the circuit. 5 × 4 × 50 sec = 16 min 40 sec including the final rest.</x:v>
      </x:c>
      <x:c r="E17" s="3"/>
      <x:c r="F17" s="3"/>
      <x:c r="G17" s="3"/>
    </x:row>
    <x:row r="18" ht="18" customHeight="1">
      <x:c r="A18" s="3"/>
      <x:c r="B18" s="3"/>
      <x:c r="C18" s="3"/>
      <x:c r="D18" s="3"/>
      <x:c r="E18" s="3"/>
      <x:c r="F18" s="3"/>
      <x:c r="G18" s="3"/>
    </x:row>
    <x:row r="19" ht="28" customHeight="1">
      <x:c r="A19" s="7" t="str">
        <x:v>PartGoals</x:v>
      </x:c>
      <x:c r="B19" s="7"/>
      <x:c r="C19" s="7"/>
      <x:c r="D19" s="3"/>
      <x:c r="E19" s="3"/>
      <x:c r="F19" s="3"/>
      <x:c r="G19" s="3"/>
    </x:row>
    <x:row r="20" ht="32" customHeight="1">
      <x:c r="A20" s="10" t="str">
        <x:v>part_id</x:v>
      </x:c>
      <x:c r="B20" s="10" t="str">
        <x:v>version</x:v>
      </x:c>
      <x:c r="C20" s="10" t="str">
        <x:v>goal_id</x:v>
      </x:c>
      <x:c r="D20" s="3"/>
      <x:c r="E20" s="3"/>
      <x:c r="F20" s="3"/>
      <x:c r="G20" s="3"/>
    </x:row>
    <x:row r="21" ht="54" customHeight="1">
      <x:c r="A21" s="3" t="str">
        <x:v>A</x:v>
      </x:c>
      <x:c r="B21" s="3" t="str">
        <x:v>1</x:v>
      </x:c>
      <x:c r="C21" s="3" t="str">
        <x:v>muscle-up</x:v>
      </x:c>
      <x:c r="D21" s="3"/>
      <x:c r="E21" s="3"/>
      <x:c r="F21" s="3"/>
      <x:c r="G21" s="3"/>
    </x:row>
    <x:row r="22" ht="54" customHeight="1">
      <x:c r="A22" s="3" t="str">
        <x:v>A</x:v>
      </x:c>
      <x:c r="B22" s="3" t="str">
        <x:v>1</x:v>
      </x:c>
      <x:c r="C22" s="3" t="str">
        <x:v>pistol</x:v>
      </x:c>
      <x:c r="D22" s="3"/>
      <x:c r="E22" s="3"/>
      <x:c r="F22" s="3"/>
      <x:c r="G22" s="3"/>
    </x:row>
    <x:row r="23" ht="54" customHeight="1">
      <x:c r="A23" s="3" t="str">
        <x:v>B</x:v>
      </x:c>
      <x:c r="B23" s="3" t="str">
        <x:v>1</x:v>
      </x:c>
      <x:c r="C23" s="3" t="str">
        <x:v>hspu</x:v>
      </x:c>
      <x:c r="D23" s="3"/>
      <x:c r="E23" s="3"/>
      <x:c r="F23" s="3"/>
      <x:c r="G23" s="3"/>
    </x:row>
    <x:row r="24" ht="54" customHeight="1">
      <x:c r="A24" s="3" t="str">
        <x:v>B</x:v>
      </x:c>
      <x:c r="B24" s="3" t="str">
        <x:v>1</x:v>
      </x:c>
      <x:c r="C24" s="3" t="str">
        <x:v>pistol</x:v>
      </x:c>
      <x:c r="D24" s="3"/>
      <x:c r="E24" s="3"/>
      <x:c r="F24" s="3"/>
      <x:c r="G24" s="3"/>
    </x:row>
    <x:row r="25" ht="54" customHeight="1">
      <x:c r="A25" s="3" t="str">
        <x:v>Technique</x:v>
      </x:c>
      <x:c r="B25" s="3" t="str">
        <x:v>1</x:v>
      </x:c>
      <x:c r="C25" s="3" t="str">
        <x:v>hspu</x:v>
      </x:c>
      <x:c r="D25" s="3"/>
      <x:c r="E25" s="3"/>
      <x:c r="F25" s="3"/>
      <x:c r="G25" s="3"/>
    </x:row>
    <x:row r="26" ht="18" customHeight="1">
      <x:c r="A26" s="3"/>
      <x:c r="B26" s="3"/>
      <x:c r="C26" s="3"/>
      <x:c r="D26" s="3"/>
      <x:c r="E26" s="3"/>
      <x:c r="F26" s="3"/>
      <x:c r="G26" s="3"/>
    </x:row>
    <x:row r="27" ht="28" customHeight="1">
      <x:c r="A27" s="7" t="str">
        <x:v>Week plans</x:v>
      </x:c>
      <x:c r="B27" s="7"/>
      <x:c r="C27" s="7"/>
      <x:c r="D27" s="7"/>
      <x:c r="E27" s="7"/>
      <x:c r="F27" s="7"/>
      <x:c r="G27" s="7"/>
    </x:row>
    <x:row r="28" ht="32" customHeight="1">
      <x:c r="A28" s="10" t="str">
        <x:v>Week</x:v>
      </x:c>
      <x:c r="B28" s="10" t="str">
        <x:v>Start</x:v>
      </x:c>
      <x:c r="C28" s="10" t="str">
        <x:v>Phase</x:v>
      </x:c>
      <x:c r="D28" s="10" t="str">
        <x:v>Focus</x:v>
      </x:c>
      <x:c r="E28" s="10" t="str">
        <x:v>Targets</x:v>
      </x:c>
      <x:c r="F28" s="10" t="str">
        <x:v>Advance when</x:v>
      </x:c>
      <x:c r="G28" s="10" t="str">
        <x:v>Minutes</x:v>
      </x:c>
    </x:row>
    <x:row r="29" ht="82" customHeight="1">
      <x:c r="A29" s="3" t="n">
        <x:v>1</x:v>
      </x:c>
      <x:c r="B29" s="4" t="n">
        <x:f>$E$3+7*(A29-1)</x:f>
        <x:v>46293.5</x:v>
      </x:c>
      <x:c r="C29" s="3" t="str">
        <x:v>Foundation</x:v>
      </x:c>
      <x:c r="D29" s="11" t="str">
        <x:v>35 min skills before each circuit; leave reps in reserve</x:v>
      </x:c>
      <x:c r="E29" s="11" t="str">
        <x:v>Muscle-up: Scapular pulls + chest-to-bar intent; HSPU: Chest-to-wall hold + pike push-up; Pistol: Box pistol + ankle mobility</x:v>
      </x:c>
      <x:c r="F29" s="11" t="str">
        <x:v>Review recorded results and comfort. Repeat or adjust the week if needed.</x:v>
      </x:c>
      <x:c r="G29" s="3" t="n">
        <x:v>605</x:v>
      </x:c>
    </x:row>
    <x:row r="30" ht="82" customHeight="1">
      <x:c r="A30" s="3" t="n">
        <x:v>2</x:v>
      </x:c>
      <x:c r="B30" s="4" t="n">
        <x:f>$E$3+7*(A30-1)</x:f>
        <x:v>46300.5</x:v>
      </x:c>
      <x:c r="C30" s="3" t="str">
        <x:v>Foundation</x:v>
      </x:c>
      <x:c r="D30" s="11" t="str">
        <x:v>35 min skills before each circuit; leave reps in reserve</x:v>
      </x:c>
      <x:c r="E30" s="11" t="str">
        <x:v>Muscle-up: Band transition drill + high pull; HSPU: Wall hold + elevated pike push-up; Pistol: Lower box pistol + counterweight</x:v>
      </x:c>
      <x:c r="F30" s="11" t="str">
        <x:v>Review recorded results and comfort. Repeat or adjust the week if needed.</x:v>
      </x:c>
      <x:c r="G30" s="3" t="n">
        <x:v>605</x:v>
      </x:c>
    </x:row>
    <x:row r="31" ht="82" customHeight="1">
      <x:c r="A31" s="3" t="n">
        <x:v>3</x:v>
      </x:c>
      <x:c r="B31" s="4" t="n">
        <x:f>$E$3+7*(A31-1)</x:f>
        <x:v>46307.5</x:v>
      </x:c>
      <x:c r="C31" s="3" t="str">
        <x:v>Foundation</x:v>
      </x:c>
      <x:c r="D31" s="11" t="str">
        <x:v>35 min skills before each circuit; leave reps in reserve</x:v>
      </x:c>
      <x:c r="E31" s="11" t="str">
        <x:v>Muscle-up: Explosive pull + low-bar transition; HSPU: Wall negative + pike push-up; Pistol: Assisted pistol to depth</x:v>
      </x:c>
      <x:c r="F31" s="11" t="str">
        <x:v>Review recorded results and comfort. Repeat or adjust the week if needed.</x:v>
      </x:c>
      <x:c r="G31" s="3" t="n">
        <x:v>605</x:v>
      </x:c>
    </x:row>
    <x:row r="32" ht="82" customHeight="1">
      <x:c r="A32" s="3" t="n">
        <x:v>4</x:v>
      </x:c>
      <x:c r="B32" s="4" t="n">
        <x:f>$E$3+7*(A32-1)</x:f>
        <x:v>46314.5</x:v>
      </x:c>
      <x:c r="C32" s="3" t="str">
        <x:v>Deload</x:v>
      </x:c>
      <x:c r="D32" s="11" t="str">
        <x:v>3 rounds; skip optional strength</x:v>
      </x:c>
      <x:c r="E32" s="11" t="str">
        <x:v>Muscle-up: Easy technique only; HSPU: Easy holds + mobility; Pistol: Easy assisted reps</x:v>
      </x:c>
      <x:c r="F32" s="11" t="str">
        <x:v>Review recorded results and comfort. Repeat or adjust the week if needed.</x:v>
      </x:c>
      <x:c r="G32" s="3" t="n">
        <x:v>391</x:v>
      </x:c>
    </x:row>
    <x:row r="33" ht="82" customHeight="1">
      <x:c r="A33" s="3" t="n">
        <x:v>5</x:v>
      </x:c>
      <x:c r="B33" s="4" t="n">
        <x:f>$E$3+7*(A33-1)</x:f>
        <x:v>46321.5</x:v>
      </x:c>
      <x:c r="C33" s="3" t="str">
        <x:v>Build</x:v>
      </x:c>
      <x:c r="D33" s="11" t="str">
        <x:v>35 min skills before each circuit; leave reps in reserve</x:v>
      </x:c>
      <x:c r="E33" s="11" t="str">
        <x:v>Muscle-up: Chest-to-bar + band muscle-up; HSPU: Deficit pike + wall negative; Pistol: Counterweight pistol</x:v>
      </x:c>
      <x:c r="F33" s="11" t="str">
        <x:v>Review recorded results and comfort. Repeat or adjust the week if needed.</x:v>
      </x:c>
      <x:c r="G33" s="3" t="n">
        <x:v>605</x:v>
      </x:c>
    </x:row>
    <x:row r="34" ht="82" customHeight="1">
      <x:c r="A34" s="3" t="n">
        <x:v>6</x:v>
      </x:c>
      <x:c r="B34" s="4" t="n">
        <x:f>$E$3+7*(A34-1)</x:f>
        <x:v>46328.5</x:v>
      </x:c>
      <x:c r="C34" s="3" t="str">
        <x:v>Build</x:v>
      </x:c>
      <x:c r="D34" s="11" t="str">
        <x:v>35 min skills before each circuit; leave reps in reserve</x:v>
      </x:c>
      <x:c r="E34" s="11" t="str">
        <x:v>Muscle-up: Jumping muscle-up + slow transition; HSPU: Partial wall HSPU + negative; Pistol: Light counterweight pistol</x:v>
      </x:c>
      <x:c r="F34" s="11" t="str">
        <x:v>Review recorded results and comfort. Repeat or adjust the week if needed.</x:v>
      </x:c>
      <x:c r="G34" s="3" t="n">
        <x:v>605</x:v>
      </x:c>
    </x:row>
    <x:row r="35" ht="82" customHeight="1">
      <x:c r="A35" s="3" t="n">
        <x:v>7</x:v>
      </x:c>
      <x:c r="B35" s="4" t="n">
        <x:f>$E$3+7*(A35-1)</x:f>
        <x:v>46335.5</x:v>
      </x:c>
      <x:c r="C35" s="3" t="str">
        <x:v>Build</x:v>
      </x:c>
      <x:c r="D35" s="11" t="str">
        <x:v>35 min skills before each circuit; leave reps in reserve</x:v>
      </x:c>
      <x:c r="E35" s="11" t="str">
        <x:v>Muscle-up: Light-band muscle-up singles; HSPU: Deeper wall HSPU; Pistol: Unassisted singles to target</x:v>
      </x:c>
      <x:c r="F35" s="11" t="str">
        <x:v>Review recorded results and comfort. Repeat or adjust the week if needed.</x:v>
      </x:c>
      <x:c r="G35" s="3" t="n">
        <x:v>605</x:v>
      </x:c>
    </x:row>
    <x:row r="36" ht="82" customHeight="1">
      <x:c r="A36" s="3" t="n">
        <x:v>8</x:v>
      </x:c>
      <x:c r="B36" s="4" t="n">
        <x:f>$E$3+7*(A36-1)</x:f>
        <x:v>46342.5</x:v>
      </x:c>
      <x:c r="C36" s="3" t="str">
        <x:v>Deload</x:v>
      </x:c>
      <x:c r="D36" s="11" t="str">
        <x:v>3 rounds; skip optional strength</x:v>
      </x:c>
      <x:c r="E36" s="11" t="str">
        <x:v>Muscle-up: Easy high pulls + transitions; HSPU: Easy holds + pike reps; Pistol: Assisted smooth reps</x:v>
      </x:c>
      <x:c r="F36" s="11" t="str">
        <x:v>Review recorded results and comfort. Repeat or adjust the week if needed.</x:v>
      </x:c>
      <x:c r="G36" s="3" t="n">
        <x:v>396</x:v>
      </x:c>
    </x:row>
    <x:row r="37" ht="82" customHeight="1">
      <x:c r="A37" s="3" t="n">
        <x:v>9</x:v>
      </x:c>
      <x:c r="B37" s="4" t="n">
        <x:f>$E$3+7*(A37-1)</x:f>
        <x:v>46349.5</x:v>
      </x:c>
      <x:c r="C37" s="3" t="str">
        <x:v>Specific</x:v>
      </x:c>
      <x:c r="D37" s="11" t="str">
        <x:v>35 min skills before each circuit; leave reps in reserve</x:v>
      </x:c>
      <x:c r="E37" s="11" t="str">
        <x:v>Muscle-up: Light-band or strict attempts, then back-off; HSPU: Full-ROM negatives + partial reps; Pistol: Unassisted singles</x:v>
      </x:c>
      <x:c r="F37" s="11" t="str">
        <x:v>Review recorded results and comfort. Repeat or adjust the week if needed.</x:v>
      </x:c>
      <x:c r="G37" s="3" t="n">
        <x:v>605</x:v>
      </x:c>
    </x:row>
    <x:row r="38" ht="82" customHeight="1">
      <x:c r="A38" s="3" t="n">
        <x:v>10</x:v>
      </x:c>
      <x:c r="B38" s="4" t="n">
        <x:f>$E$3+7*(A38-1)</x:f>
        <x:v>46356.5</x:v>
      </x:c>
      <x:c r="C38" s="3" t="str">
        <x:v>Specific</x:v>
      </x:c>
      <x:c r="D38" s="11" t="str">
        <x:v>35 min skills before each circuit; leave reps in reserve</x:v>
      </x:c>
      <x:c r="E38" s="11" t="str">
        <x:v>Muscle-up: 3-5 quality attempts + band reps; HSPU: Wall HSPU clusters; Pistol: Pistol clusters</x:v>
      </x:c>
      <x:c r="F38" s="11" t="str">
        <x:v>Review recorded results and comfort. Repeat or adjust the week if needed.</x:v>
      </x:c>
      <x:c r="G38" s="3" t="n">
        <x:v>605</x:v>
      </x:c>
    </x:row>
    <x:row r="39" ht="82" customHeight="1">
      <x:c r="A39" s="3" t="n">
        <x:v>11</x:v>
      </x:c>
      <x:c r="B39" s="4" t="n">
        <x:f>$E$3+7*(A39-1)</x:f>
        <x:v>46363.5</x:v>
      </x:c>
      <x:c r="C39" s="3" t="str">
        <x:v>Specific</x:v>
      </x:c>
      <x:c r="D39" s="11" t="str">
        <x:v>35 min skills before each circuit; leave reps in reserve</x:v>
      </x:c>
      <x:c r="E39" s="11" t="str">
        <x:v>Muscle-up: 3 quality attempts + crisp high pulls; HSPU: Full-ROM attempts + back-off; Pistol: Sets of clean pistols</x:v>
      </x:c>
      <x:c r="F39" s="11" t="str">
        <x:v>Review recorded results and comfort. Repeat or adjust the week if needed.</x:v>
      </x:c>
      <x:c r="G39" s="3" t="n">
        <x:v>605</x:v>
      </x:c>
    </x:row>
    <x:row r="40" ht="82" customHeight="1">
      <x:c r="A40" s="3" t="n">
        <x:v>12</x:v>
      </x:c>
      <x:c r="B40" s="4" t="n">
        <x:f>$E$3+7*(A40-1)</x:f>
        <x:v>46370.5</x:v>
      </x:c>
      <x:c r="C40" s="3" t="str">
        <x:v>Test</x:v>
      </x:c>
      <x:c r="D40" s="11" t="str">
        <x:v>2 easy rounds; tests replace extras</x:v>
      </x:c>
      <x:c r="E40" s="11" t="str">
        <x:v>Muscle-up: Test after warm-up; HSPU: Test after warm-up; Pistol: Test after warm-up</x:v>
      </x:c>
      <x:c r="F40" s="11" t="str">
        <x:v>Review recorded results and comfort. Repeat or adjust the week if needed.</x:v>
      </x:c>
      <x:c r="G40" s="3" t="n">
        <x:v>425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17D9E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66" hidden="0" customWidth="1"/>
    <x:col min="4" max="4" width="4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42" customHeight="1">
      <x:c r="A1" s="10" t="str">
        <x:v>Date</x:v>
      </x:c>
      <x:c r="B1" s="10" t="str">
        <x:v>Block</x:v>
      </x:c>
      <x:c r="C1" s="10" t="str">
        <x:v>Plan</x:v>
      </x:c>
      <x:c r="D1" s="10" t="str">
        <x:v>Title</x:v>
      </x:c>
      <x:c r="E1" s="10" t="str">
        <x:v>Planned minutes</x:v>
      </x:c>
      <x:c r="F1" s="10" t="str">
        <x:v>Actual minutes</x:v>
      </x:c>
      <x:c r="G1" s="10" t="str">
        <x:v>Status</x:v>
      </x:c>
      <x:c r="H1" s="10" t="str">
        <x:v>Core done</x:v>
      </x:c>
      <x:c r="I1" s="10" t="str">
        <x:v>Muscle-up result</x:v>
      </x:c>
      <x:c r="J1" s="10" t="str">
        <x:v>HSPU result</x:v>
      </x:c>
      <x:c r="K1" s="10" t="str">
        <x:v>Pistol result</x:v>
      </x:c>
      <x:c r="L1" s="10" t="str">
        <x:v>Notes</x:v>
      </x:c>
      <x:c r="M1" s="10" t="str">
        <x:v>Session ID</x:v>
      </x:c>
      <x:c r="N1" s="10" t="str">
        <x:v>Sport</x:v>
      </x:c>
      <x:c r="O1" s="10" t="str">
        <x:v>Part version</x:v>
      </x:c>
    </x:row>
    <x:row r="2" ht="54" customHeight="1">
      <x:c r="A2" s="4" t="n">
        <x:f>Strategy!$E$3+0</x:f>
        <x:v>46293.5</x:v>
      </x:c>
      <x:c r="B2" s="3" t="str">
        <x:v>A</x:v>
      </x:c>
      <x:c r="C2" s="3" t="str">
        <x:v>35 min skill A + 5 circuit rounds</x:v>
      </x:c>
      <x:c r="D2" s="3" t="str">
        <x:v>Skill A + interval circuit (Mon)</x:v>
      </x:c>
      <x:c r="E2" s="3" t="n">
        <x:v>65</x:v>
      </x:c>
      <x:c r="F2" s="11"/>
      <x:c r="G2" s="11" t="str">
        <x:v>planned</x:v>
      </x:c>
      <x:c r="H2" s="11"/>
      <x:c r="I2" s="11"/>
      <x:c r="J2" s="11"/>
      <x:c r="K2" s="11"/>
      <x:c r="L2" s="11"/>
      <x:c r="M2" s="3" t="str">
        <x:v>hybrid-w01-1</x:v>
      </x:c>
      <x:c r="N2" s="3" t="str">
        <x:v>training</x:v>
      </x:c>
      <x:c r="O2" s="3" t="str">
        <x:v>1</x:v>
      </x:c>
    </x:row>
    <x:row r="3" ht="54" customHeight="1">
      <x:c r="A3" s="4" t="n">
        <x:f>Strategy!$E$3+0</x:f>
        <x:v>46293.5</x:v>
      </x:c>
      <x:c r="B3" s="3" t="str"/>
      <x:c r="C3" s="3" t="str">
        <x:v>Follow coached session</x:v>
      </x:c>
      <x:c r="D3" s="3" t="str">
        <x:v>Guided swim (Mon PM)</x:v>
      </x:c>
      <x:c r="E3" s="3" t="n">
        <x:v>60</x:v>
      </x:c>
      <x:c r="F3" s="11"/>
      <x:c r="G3" s="11" t="str">
        <x:v>planned</x:v>
      </x:c>
      <x:c r="H3" s="11"/>
      <x:c r="I3" s="11"/>
      <x:c r="J3" s="11"/>
      <x:c r="K3" s="11"/>
      <x:c r="L3" s="11"/>
      <x:c r="M3" s="3" t="str">
        <x:v>hybrid-w01-2</x:v>
      </x:c>
      <x:c r="N3" s="3" t="str">
        <x:v>swimming</x:v>
      </x:c>
      <x:c r="O3" s="3"/>
    </x:row>
    <x:row r="4" ht="54" customHeight="1">
      <x:c r="A4" s="4" t="n">
        <x:f>Strategy!$E$3+1</x:f>
        <x:v>46294.5</x:v>
      </x:c>
      <x:c r="B4" s="3" t="str">
        <x:v>Technique</x:v>
      </x:c>
      <x:c r="C4" s="3" t="str">
        <x:v>10 min handstand + easy run; 60 min run; conversational effort. 60 min easy.</x:v>
      </x:c>
      <x:c r="D4" s="3" t="str">
        <x:v>Easy run + handstand (Tue)</x:v>
      </x:c>
      <x:c r="E4" s="3" t="n">
        <x:v>70</x:v>
      </x:c>
      <x:c r="F4" s="11"/>
      <x:c r="G4" s="11" t="str">
        <x:v>planned</x:v>
      </x:c>
      <x:c r="H4" s="11"/>
      <x:c r="I4" s="11"/>
      <x:c r="J4" s="11"/>
      <x:c r="K4" s="11"/>
      <x:c r="L4" s="11"/>
      <x:c r="M4" s="3" t="str">
        <x:v>hybrid-w01-3</x:v>
      </x:c>
      <x:c r="N4" s="3" t="str">
        <x:v>running</x:v>
      </x:c>
      <x:c r="O4" s="3" t="str">
        <x:v>1</x:v>
      </x:c>
    </x:row>
    <x:row r="5" ht="54" customHeight="1">
      <x:c r="A5" s="4" t="n">
        <x:f>Strategy!$E$3+1</x:f>
        <x:v>46294.5</x:v>
      </x:c>
      <x:c r="B5" s="3" t="str"/>
      <x:c r="C5" s="3" t="str">
        <x:v>Follow coached session</x:v>
      </x:c>
      <x:c r="D5" s="3" t="str">
        <x:v>Guided swim (Tue PM)</x:v>
      </x:c>
      <x:c r="E5" s="3" t="n">
        <x:v>60</x:v>
      </x:c>
      <x:c r="F5" s="11"/>
      <x:c r="G5" s="11" t="str">
        <x:v>planned</x:v>
      </x:c>
      <x:c r="H5" s="11"/>
      <x:c r="I5" s="11"/>
      <x:c r="J5" s="11"/>
      <x:c r="K5" s="11"/>
      <x:c r="L5" s="11"/>
      <x:c r="M5" s="3" t="str">
        <x:v>hybrid-w01-4</x:v>
      </x:c>
      <x:c r="N5" s="3" t="str">
        <x:v>swimming</x:v>
      </x:c>
      <x:c r="O5" s="3"/>
    </x:row>
    <x:row r="6" ht="54" customHeight="1">
      <x:c r="A6" s="4" t="n">
        <x:f>Strategy!$E$3+2</x:f>
        <x:v>46295.5</x:v>
      </x:c>
      <x:c r="B6" s="3" t="str"/>
      <x:c r="C6" s="3" t="str">
        <x:v>Recover and restore range</x:v>
      </x:c>
      <x:c r="D6" s="3" t="str">
        <x:v>Rest / mobility (Wed)</x:v>
      </x:c>
      <x:c r="E6" s="3" t="n">
        <x:v>25</x:v>
      </x:c>
      <x:c r="F6" s="11"/>
      <x:c r="G6" s="11" t="str">
        <x:v>planned</x:v>
      </x:c>
      <x:c r="H6" s="11"/>
      <x:c r="I6" s="11"/>
      <x:c r="J6" s="11"/>
      <x:c r="K6" s="11"/>
      <x:c r="L6" s="11"/>
      <x:c r="M6" s="3" t="str">
        <x:v>hybrid-w01-5</x:v>
      </x:c>
      <x:c r="N6" s="3" t="str">
        <x:v>training</x:v>
      </x:c>
      <x:c r="O6" s="3"/>
    </x:row>
    <x:row r="7" ht="54" customHeight="1">
      <x:c r="A7" s="4" t="n">
        <x:f>Strategy!$E$3+3</x:f>
        <x:v>46296.5</x:v>
      </x:c>
      <x:c r="B7" s="3" t="str">
        <x:v>B</x:v>
      </x:c>
      <x:c r="C7" s="3" t="str">
        <x:v>35 min skills + 5 rounds + 60 min easy bike</x:v>
      </x:c>
      <x:c r="D7" s="3" t="str">
        <x:v>Skill B + circuit + easy bike (Thu)</x:v>
      </x:c>
      <x:c r="E7" s="3" t="n">
        <x:v>125</x:v>
      </x:c>
      <x:c r="F7" s="11"/>
      <x:c r="G7" s="11" t="str">
        <x:v>planned</x:v>
      </x:c>
      <x:c r="H7" s="11"/>
      <x:c r="I7" s="11"/>
      <x:c r="J7" s="11"/>
      <x:c r="K7" s="11"/>
      <x:c r="L7" s="11"/>
      <x:c r="M7" s="3" t="str">
        <x:v>hybrid-w01-6</x:v>
      </x:c>
      <x:c r="N7" s="3" t="str">
        <x:v>cycling</x:v>
      </x:c>
      <x:c r="O7" s="3" t="str">
        <x:v>1</x:v>
      </x:c>
    </x:row>
    <x:row r="8" ht="54" customHeight="1">
      <x:c r="A8" s="4" t="n">
        <x:f>Strategy!$E$3+4</x:f>
        <x:v>46297.5</x:v>
      </x:c>
      <x:c r="B8" s="3" t="str"/>
      <x:c r="C8" s="3" t="str">
        <x:v>Complete prescribed pace in control. 6 x 2 min @ 4:40-4:50 / 2 min easy.</x:v>
      </x:c>
      <x:c r="D8" s="3" t="str">
        <x:v>Quality run (Fri)</x:v>
      </x:c>
      <x:c r="E8" s="3" t="n">
        <x:v>60</x:v>
      </x:c>
      <x:c r="F8" s="11"/>
      <x:c r="G8" s="11" t="str">
        <x:v>planned</x:v>
      </x:c>
      <x:c r="H8" s="11"/>
      <x:c r="I8" s="11"/>
      <x:c r="J8" s="11"/>
      <x:c r="K8" s="11"/>
      <x:c r="L8" s="11"/>
      <x:c r="M8" s="3" t="str">
        <x:v>hybrid-w01-7</x:v>
      </x:c>
      <x:c r="N8" s="3" t="str">
        <x:v>running</x:v>
      </x:c>
      <x:c r="O8" s="3"/>
    </x:row>
    <x:row r="9" ht="54" customHeight="1">
      <x:c r="A9" s="4" t="n">
        <x:f>Strategy!$E$3+4</x:f>
        <x:v>46297.5</x:v>
      </x:c>
      <x:c r="B9" s="3" t="str"/>
      <x:c r="C9" s="3" t="str">
        <x:v>Optional; follow coach and reduce run intensity if needed</x:v>
      </x:c>
      <x:c r="D9" s="3" t="str">
        <x:v>Guided swim (Fri PM) · optional</x:v>
      </x:c>
      <x:c r="E9" s="3" t="n">
        <x:v>60</x:v>
      </x:c>
      <x:c r="F9" s="11"/>
      <x:c r="G9" s="11" t="str">
        <x:v>planned</x:v>
      </x:c>
      <x:c r="H9" s="11"/>
      <x:c r="I9" s="11"/>
      <x:c r="J9" s="11"/>
      <x:c r="K9" s="11"/>
      <x:c r="L9" s="11" t="str">
        <x:v>Optional session; omit if not selected.</x:v>
      </x:c>
      <x:c r="M9" s="3" t="str">
        <x:v>hybrid-w01-8</x:v>
      </x:c>
      <x:c r="N9" s="3" t="str">
        <x:v>swimming</x:v>
      </x:c>
      <x:c r="O9" s="3"/>
    </x:row>
    <x:row r="10" ht="54" customHeight="1">
      <x:c r="A10" s="4" t="n">
        <x:f>Strategy!$E$3+5</x:f>
        <x:v>46298.5</x:v>
      </x:c>
      <x:c r="B10" s="3" t="str"/>
      <x:c r="C10" s="3" t="str">
        <x:v>Follow coached session</x:v>
      </x:c>
      <x:c r="D10" s="3" t="str">
        <x:v>Guided swim (Sat AM)</x:v>
      </x:c>
      <x:c r="E10" s="3" t="n">
        <x:v>60</x:v>
      </x:c>
      <x:c r="F10" s="11"/>
      <x:c r="G10" s="11" t="str">
        <x:v>planned</x:v>
      </x:c>
      <x:c r="H10" s="11"/>
      <x:c r="I10" s="11"/>
      <x:c r="J10" s="11"/>
      <x:c r="K10" s="11"/>
      <x:c r="L10" s="11"/>
      <x:c r="M10" s="3" t="str">
        <x:v>hybrid-w01-9</x:v>
      </x:c>
      <x:c r="N10" s="3" t="str">
        <x:v>swimming</x:v>
      </x:c>
      <x:c r="O10" s="3"/>
    </x:row>
    <x:row r="11" ht="54" customHeight="1">
      <x:c r="A11" s="4" t="n">
        <x:f>Strategy!$E$3+5</x:f>
        <x:v>46298.5</x:v>
      </x:c>
      <x:c r="B11" s="3" t="str">
        <x:v>Technique</x:v>
      </x:c>
      <x:c r="C11" s="3" t="str">
        <x:v>Easy technique, no fatigue</x:v>
      </x:c>
      <x:c r="D11" s="3" t="str">
        <x:v>Skill micro-session (Sat PM)</x:v>
      </x:c>
      <x:c r="E11" s="3" t="n">
        <x:v>20</x:v>
      </x:c>
      <x:c r="F11" s="11"/>
      <x:c r="G11" s="11" t="str">
        <x:v>planned</x:v>
      </x:c>
      <x:c r="H11" s="11"/>
      <x:c r="I11" s="11"/>
      <x:c r="J11" s="11"/>
      <x:c r="K11" s="11"/>
      <x:c r="L11" s="11"/>
      <x:c r="M11" s="3" t="str">
        <x:v>hybrid-w01-10</x:v>
      </x:c>
      <x:c r="N11" s="3" t="str">
        <x:v>training</x:v>
      </x:c>
      <x:c r="O11" s="3" t="str">
        <x:v>1</x:v>
      </x:c>
    </x:row>
    <x:row r="12" ht="54" customHeight="1">
      <x:c r="A12" s="4" t="n">
        <x:f>Strategy!$E$3+6</x:f>
        <x:v>46299.5</x:v>
      </x:c>
      <x:c r="B12" s="3" t="str"/>
      <x:c r="C12" s="3" t="str">
        <x:v>Easy aerobic durability. 60 min easy.</x:v>
      </x:c>
      <x:c r="D12" s="3" t="str">
        <x:v>Long easy run (Sun)</x:v>
      </x:c>
      <x:c r="E12" s="3" t="n">
        <x:v>60</x:v>
      </x:c>
      <x:c r="F12" s="11"/>
      <x:c r="G12" s="11" t="str">
        <x:v>planned</x:v>
      </x:c>
      <x:c r="H12" s="11"/>
      <x:c r="I12" s="11"/>
      <x:c r="J12" s="11"/>
      <x:c r="K12" s="11"/>
      <x:c r="L12" s="11"/>
      <x:c r="M12" s="3" t="str">
        <x:v>hybrid-w01-11</x:v>
      </x:c>
      <x:c r="N12" s="3" t="str">
        <x:v>running</x:v>
      </x:c>
      <x:c r="O12" s="3"/>
    </x:row>
    <x:row r="13" ht="54" customHeight="1">
      <x:c r="A13" s="4" t="n">
        <x:f>Strategy!$E$3+7</x:f>
        <x:v>46300.5</x:v>
      </x:c>
      <x:c r="B13" s="3" t="str">
        <x:v>A</x:v>
      </x:c>
      <x:c r="C13" s="3" t="str">
        <x:v>35 min skill A + 5 circuit rounds</x:v>
      </x:c>
      <x:c r="D13" s="3" t="str">
        <x:v>Skill A + interval circuit (Mon)</x:v>
      </x:c>
      <x:c r="E13" s="3" t="n">
        <x:v>65</x:v>
      </x:c>
      <x:c r="F13" s="11"/>
      <x:c r="G13" s="11" t="str">
        <x:v>planned</x:v>
      </x:c>
      <x:c r="H13" s="11"/>
      <x:c r="I13" s="11"/>
      <x:c r="J13" s="11"/>
      <x:c r="K13" s="11"/>
      <x:c r="L13" s="11"/>
      <x:c r="M13" s="3" t="str">
        <x:v>hybrid-w02-1</x:v>
      </x:c>
      <x:c r="N13" s="3" t="str">
        <x:v>training</x:v>
      </x:c>
      <x:c r="O13" s="3" t="str">
        <x:v>1</x:v>
      </x:c>
    </x:row>
    <x:row r="14" ht="54" customHeight="1">
      <x:c r="A14" s="4" t="n">
        <x:f>Strategy!$E$3+7</x:f>
        <x:v>46300.5</x:v>
      </x:c>
      <x:c r="B14" s="3" t="str"/>
      <x:c r="C14" s="3" t="str">
        <x:v>Follow coached session</x:v>
      </x:c>
      <x:c r="D14" s="3" t="str">
        <x:v>Guided swim (Mon PM)</x:v>
      </x:c>
      <x:c r="E14" s="3" t="n">
        <x:v>60</x:v>
      </x:c>
      <x:c r="F14" s="11"/>
      <x:c r="G14" s="11" t="str">
        <x:v>planned</x:v>
      </x:c>
      <x:c r="H14" s="11"/>
      <x:c r="I14" s="11"/>
      <x:c r="J14" s="11"/>
      <x:c r="K14" s="11"/>
      <x:c r="L14" s="11"/>
      <x:c r="M14" s="3" t="str">
        <x:v>hybrid-w02-2</x:v>
      </x:c>
      <x:c r="N14" s="3" t="str">
        <x:v>swimming</x:v>
      </x:c>
      <x:c r="O14" s="3"/>
    </x:row>
    <x:row r="15" ht="54" customHeight="1">
      <x:c r="A15" s="4" t="n">
        <x:f>Strategy!$E$3+8</x:f>
        <x:v>46301.5</x:v>
      </x:c>
      <x:c r="B15" s="3" t="str">
        <x:v>Technique</x:v>
      </x:c>
      <x:c r="C15" s="3" t="str">
        <x:v>10 min handstand + easy run; 60 min run; conversational effort. 60 min easy.</x:v>
      </x:c>
      <x:c r="D15" s="3" t="str">
        <x:v>Easy run + handstand (Tue)</x:v>
      </x:c>
      <x:c r="E15" s="3" t="n">
        <x:v>70</x:v>
      </x:c>
      <x:c r="F15" s="11"/>
      <x:c r="G15" s="11" t="str">
        <x:v>planned</x:v>
      </x:c>
      <x:c r="H15" s="11"/>
      <x:c r="I15" s="11"/>
      <x:c r="J15" s="11"/>
      <x:c r="K15" s="11"/>
      <x:c r="L15" s="11"/>
      <x:c r="M15" s="3" t="str">
        <x:v>hybrid-w02-3</x:v>
      </x:c>
      <x:c r="N15" s="3" t="str">
        <x:v>running</x:v>
      </x:c>
      <x:c r="O15" s="3" t="str">
        <x:v>1</x:v>
      </x:c>
    </x:row>
    <x:row r="16" ht="54" customHeight="1">
      <x:c r="A16" s="4" t="n">
        <x:f>Strategy!$E$3+8</x:f>
        <x:v>46301.5</x:v>
      </x:c>
      <x:c r="B16" s="3" t="str"/>
      <x:c r="C16" s="3" t="str">
        <x:v>Follow coached session</x:v>
      </x:c>
      <x:c r="D16" s="3" t="str">
        <x:v>Guided swim (Tue PM)</x:v>
      </x:c>
      <x:c r="E16" s="3" t="n">
        <x:v>60</x:v>
      </x:c>
      <x:c r="F16" s="11"/>
      <x:c r="G16" s="11" t="str">
        <x:v>planned</x:v>
      </x:c>
      <x:c r="H16" s="11"/>
      <x:c r="I16" s="11"/>
      <x:c r="J16" s="11"/>
      <x:c r="K16" s="11"/>
      <x:c r="L16" s="11"/>
      <x:c r="M16" s="3" t="str">
        <x:v>hybrid-w02-4</x:v>
      </x:c>
      <x:c r="N16" s="3" t="str">
        <x:v>swimming</x:v>
      </x:c>
      <x:c r="O16" s="3"/>
    </x:row>
    <x:row r="17" ht="54" customHeight="1">
      <x:c r="A17" s="4" t="n">
        <x:f>Strategy!$E$3+9</x:f>
        <x:v>46302.5</x:v>
      </x:c>
      <x:c r="B17" s="3" t="str"/>
      <x:c r="C17" s="3" t="str">
        <x:v>Recover and restore range</x:v>
      </x:c>
      <x:c r="D17" s="3" t="str">
        <x:v>Rest / mobility (Wed)</x:v>
      </x:c>
      <x:c r="E17" s="3" t="n">
        <x:v>25</x:v>
      </x:c>
      <x:c r="F17" s="11"/>
      <x:c r="G17" s="11" t="str">
        <x:v>planned</x:v>
      </x:c>
      <x:c r="H17" s="11"/>
      <x:c r="I17" s="11"/>
      <x:c r="J17" s="11"/>
      <x:c r="K17" s="11"/>
      <x:c r="L17" s="11"/>
      <x:c r="M17" s="3" t="str">
        <x:v>hybrid-w02-5</x:v>
      </x:c>
      <x:c r="N17" s="3" t="str">
        <x:v>training</x:v>
      </x:c>
      <x:c r="O17" s="3"/>
    </x:row>
    <x:row r="18" ht="54" customHeight="1">
      <x:c r="A18" s="4" t="n">
        <x:f>Strategy!$E$3+10</x:f>
        <x:v>46303.5</x:v>
      </x:c>
      <x:c r="B18" s="3" t="str">
        <x:v>B</x:v>
      </x:c>
      <x:c r="C18" s="3" t="str">
        <x:v>35 min skills + 5 rounds + 60 min easy bike</x:v>
      </x:c>
      <x:c r="D18" s="3" t="str">
        <x:v>Skill B + circuit + easy bike (Thu)</x:v>
      </x:c>
      <x:c r="E18" s="3" t="n">
        <x:v>125</x:v>
      </x:c>
      <x:c r="F18" s="11"/>
      <x:c r="G18" s="11" t="str">
        <x:v>planned</x:v>
      </x:c>
      <x:c r="H18" s="11"/>
      <x:c r="I18" s="11"/>
      <x:c r="J18" s="11"/>
      <x:c r="K18" s="11"/>
      <x:c r="L18" s="11"/>
      <x:c r="M18" s="3" t="str">
        <x:v>hybrid-w02-6</x:v>
      </x:c>
      <x:c r="N18" s="3" t="str">
        <x:v>cycling</x:v>
      </x:c>
      <x:c r="O18" s="3" t="str">
        <x:v>1</x:v>
      </x:c>
    </x:row>
    <x:row r="19" ht="54" customHeight="1">
      <x:c r="A19" s="4" t="n">
        <x:f>Strategy!$E$3+11</x:f>
        <x:v>46304.5</x:v>
      </x:c>
      <x:c r="B19" s="3" t="str"/>
      <x:c r="C19" s="3" t="str">
        <x:v>Complete prescribed pace in control. 5 x 3 min @ 4:40-4:50 / 2 min easy.</x:v>
      </x:c>
      <x:c r="D19" s="3" t="str">
        <x:v>Quality run (Fri)</x:v>
      </x:c>
      <x:c r="E19" s="3" t="n">
        <x:v>60</x:v>
      </x:c>
      <x:c r="F19" s="11"/>
      <x:c r="G19" s="11" t="str">
        <x:v>planned</x:v>
      </x:c>
      <x:c r="H19" s="11"/>
      <x:c r="I19" s="11"/>
      <x:c r="J19" s="11"/>
      <x:c r="K19" s="11"/>
      <x:c r="L19" s="11"/>
      <x:c r="M19" s="3" t="str">
        <x:v>hybrid-w02-7</x:v>
      </x:c>
      <x:c r="N19" s="3" t="str">
        <x:v>running</x:v>
      </x:c>
      <x:c r="O19" s="3"/>
    </x:row>
    <x:row r="20" ht="54" customHeight="1">
      <x:c r="A20" s="4" t="n">
        <x:f>Strategy!$E$3+11</x:f>
        <x:v>46304.5</x:v>
      </x:c>
      <x:c r="B20" s="3" t="str"/>
      <x:c r="C20" s="3" t="str">
        <x:v>Optional; follow coach and reduce run intensity if needed</x:v>
      </x:c>
      <x:c r="D20" s="3" t="str">
        <x:v>Guided swim (Fri PM) · optional</x:v>
      </x:c>
      <x:c r="E20" s="3" t="n">
        <x:v>60</x:v>
      </x:c>
      <x:c r="F20" s="11"/>
      <x:c r="G20" s="11" t="str">
        <x:v>planned</x:v>
      </x:c>
      <x:c r="H20" s="11"/>
      <x:c r="I20" s="11"/>
      <x:c r="J20" s="11"/>
      <x:c r="K20" s="11"/>
      <x:c r="L20" s="11" t="str">
        <x:v>Optional session; omit if not selected.</x:v>
      </x:c>
      <x:c r="M20" s="3" t="str">
        <x:v>hybrid-w02-8</x:v>
      </x:c>
      <x:c r="N20" s="3" t="str">
        <x:v>swimming</x:v>
      </x:c>
      <x:c r="O20" s="3"/>
    </x:row>
    <x:row r="21" ht="54" customHeight="1">
      <x:c r="A21" s="4" t="n">
        <x:f>Strategy!$E$3+12</x:f>
        <x:v>46305.5</x:v>
      </x:c>
      <x:c r="B21" s="3" t="str"/>
      <x:c r="C21" s="3" t="str">
        <x:v>Follow coached session</x:v>
      </x:c>
      <x:c r="D21" s="3" t="str">
        <x:v>Guided swim (Sat AM)</x:v>
      </x:c>
      <x:c r="E21" s="3" t="n">
        <x:v>60</x:v>
      </x:c>
      <x:c r="F21" s="11"/>
      <x:c r="G21" s="11" t="str">
        <x:v>planned</x:v>
      </x:c>
      <x:c r="H21" s="11"/>
      <x:c r="I21" s="11"/>
      <x:c r="J21" s="11"/>
      <x:c r="K21" s="11"/>
      <x:c r="L21" s="11"/>
      <x:c r="M21" s="3" t="str">
        <x:v>hybrid-w02-9</x:v>
      </x:c>
      <x:c r="N21" s="3" t="str">
        <x:v>swimming</x:v>
      </x:c>
      <x:c r="O21" s="3"/>
    </x:row>
    <x:row r="22" ht="54" customHeight="1">
      <x:c r="A22" s="4" t="n">
        <x:f>Strategy!$E$3+12</x:f>
        <x:v>46305.5</x:v>
      </x:c>
      <x:c r="B22" s="3" t="str">
        <x:v>Technique</x:v>
      </x:c>
      <x:c r="C22" s="3" t="str">
        <x:v>Easy technique, no fatigue</x:v>
      </x:c>
      <x:c r="D22" s="3" t="str">
        <x:v>Skill micro-session (Sat PM)</x:v>
      </x:c>
      <x:c r="E22" s="3" t="n">
        <x:v>20</x:v>
      </x:c>
      <x:c r="F22" s="11"/>
      <x:c r="G22" s="11" t="str">
        <x:v>planned</x:v>
      </x:c>
      <x:c r="H22" s="11"/>
      <x:c r="I22" s="11"/>
      <x:c r="J22" s="11"/>
      <x:c r="K22" s="11"/>
      <x:c r="L22" s="11"/>
      <x:c r="M22" s="3" t="str">
        <x:v>hybrid-w02-10</x:v>
      </x:c>
      <x:c r="N22" s="3" t="str">
        <x:v>training</x:v>
      </x:c>
      <x:c r="O22" s="3" t="str">
        <x:v>1</x:v>
      </x:c>
    </x:row>
    <x:row r="23" ht="54" customHeight="1">
      <x:c r="A23" s="4" t="n">
        <x:f>Strategy!$E$3+13</x:f>
        <x:v>46306.5</x:v>
      </x:c>
      <x:c r="B23" s="3" t="str"/>
      <x:c r="C23" s="3" t="str">
        <x:v>Easy aerobic durability. 60 min easy.</x:v>
      </x:c>
      <x:c r="D23" s="3" t="str">
        <x:v>Long easy run (Sun)</x:v>
      </x:c>
      <x:c r="E23" s="3" t="n">
        <x:v>60</x:v>
      </x:c>
      <x:c r="F23" s="11"/>
      <x:c r="G23" s="11" t="str">
        <x:v>planned</x:v>
      </x:c>
      <x:c r="H23" s="11"/>
      <x:c r="I23" s="11"/>
      <x:c r="J23" s="11"/>
      <x:c r="K23" s="11"/>
      <x:c r="L23" s="11"/>
      <x:c r="M23" s="3" t="str">
        <x:v>hybrid-w02-11</x:v>
      </x:c>
      <x:c r="N23" s="3" t="str">
        <x:v>running</x:v>
      </x:c>
      <x:c r="O23" s="3"/>
    </x:row>
    <x:row r="24" ht="54" customHeight="1">
      <x:c r="A24" s="4" t="n">
        <x:f>Strategy!$E$3+14</x:f>
        <x:v>46307.5</x:v>
      </x:c>
      <x:c r="B24" s="3" t="str">
        <x:v>A</x:v>
      </x:c>
      <x:c r="C24" s="3" t="str">
        <x:v>35 min skill A + 5 circuit rounds</x:v>
      </x:c>
      <x:c r="D24" s="3" t="str">
        <x:v>Skill A + interval circuit (Mon)</x:v>
      </x:c>
      <x:c r="E24" s="3" t="n">
        <x:v>65</x:v>
      </x:c>
      <x:c r="F24" s="11"/>
      <x:c r="G24" s="11" t="str">
        <x:v>planned</x:v>
      </x:c>
      <x:c r="H24" s="11"/>
      <x:c r="I24" s="11"/>
      <x:c r="J24" s="11"/>
      <x:c r="K24" s="11"/>
      <x:c r="L24" s="11"/>
      <x:c r="M24" s="3" t="str">
        <x:v>hybrid-w03-1</x:v>
      </x:c>
      <x:c r="N24" s="3" t="str">
        <x:v>training</x:v>
      </x:c>
      <x:c r="O24" s="3" t="str">
        <x:v>1</x:v>
      </x:c>
    </x:row>
    <x:row r="25" ht="54" customHeight="1">
      <x:c r="A25" s="4" t="n">
        <x:f>Strategy!$E$3+14</x:f>
        <x:v>46307.5</x:v>
      </x:c>
      <x:c r="B25" s="3" t="str"/>
      <x:c r="C25" s="3" t="str">
        <x:v>Follow coached session</x:v>
      </x:c>
      <x:c r="D25" s="3" t="str">
        <x:v>Guided swim (Mon PM)</x:v>
      </x:c>
      <x:c r="E25" s="3" t="n">
        <x:v>60</x:v>
      </x:c>
      <x:c r="F25" s="11"/>
      <x:c r="G25" s="11" t="str">
        <x:v>planned</x:v>
      </x:c>
      <x:c r="H25" s="11"/>
      <x:c r="I25" s="11"/>
      <x:c r="J25" s="11"/>
      <x:c r="K25" s="11"/>
      <x:c r="L25" s="11"/>
      <x:c r="M25" s="3" t="str">
        <x:v>hybrid-w03-2</x:v>
      </x:c>
      <x:c r="N25" s="3" t="str">
        <x:v>swimming</x:v>
      </x:c>
      <x:c r="O25" s="3"/>
    </x:row>
    <x:row r="26" ht="54" customHeight="1">
      <x:c r="A26" s="4" t="n">
        <x:f>Strategy!$E$3+15</x:f>
        <x:v>46308.5</x:v>
      </x:c>
      <x:c r="B26" s="3" t="str">
        <x:v>Technique</x:v>
      </x:c>
      <x:c r="C26" s="3" t="str">
        <x:v>10 min handstand + easy run; 60 min run; conversational effort. 60 min easy.</x:v>
      </x:c>
      <x:c r="D26" s="3" t="str">
        <x:v>Easy run + handstand (Tue)</x:v>
      </x:c>
      <x:c r="E26" s="3" t="n">
        <x:v>70</x:v>
      </x:c>
      <x:c r="F26" s="11"/>
      <x:c r="G26" s="11" t="str">
        <x:v>planned</x:v>
      </x:c>
      <x:c r="H26" s="11"/>
      <x:c r="I26" s="11"/>
      <x:c r="J26" s="11"/>
      <x:c r="K26" s="11"/>
      <x:c r="L26" s="11"/>
      <x:c r="M26" s="3" t="str">
        <x:v>hybrid-w03-3</x:v>
      </x:c>
      <x:c r="N26" s="3" t="str">
        <x:v>running</x:v>
      </x:c>
      <x:c r="O26" s="3" t="str">
        <x:v>1</x:v>
      </x:c>
    </x:row>
    <x:row r="27" ht="54" customHeight="1">
      <x:c r="A27" s="4" t="n">
        <x:f>Strategy!$E$3+15</x:f>
        <x:v>46308.5</x:v>
      </x:c>
      <x:c r="B27" s="3" t="str"/>
      <x:c r="C27" s="3" t="str">
        <x:v>Follow coached session</x:v>
      </x:c>
      <x:c r="D27" s="3" t="str">
        <x:v>Guided swim (Tue PM)</x:v>
      </x:c>
      <x:c r="E27" s="3" t="n">
        <x:v>60</x:v>
      </x:c>
      <x:c r="F27" s="11"/>
      <x:c r="G27" s="11" t="str">
        <x:v>planned</x:v>
      </x:c>
      <x:c r="H27" s="11"/>
      <x:c r="I27" s="11"/>
      <x:c r="J27" s="11"/>
      <x:c r="K27" s="11"/>
      <x:c r="L27" s="11"/>
      <x:c r="M27" s="3" t="str">
        <x:v>hybrid-w03-4</x:v>
      </x:c>
      <x:c r="N27" s="3" t="str">
        <x:v>swimming</x:v>
      </x:c>
      <x:c r="O27" s="3"/>
    </x:row>
    <x:row r="28" ht="54" customHeight="1">
      <x:c r="A28" s="4" t="n">
        <x:f>Strategy!$E$3+16</x:f>
        <x:v>46309.5</x:v>
      </x:c>
      <x:c r="B28" s="3" t="str"/>
      <x:c r="C28" s="3" t="str">
        <x:v>Recover and restore range</x:v>
      </x:c>
      <x:c r="D28" s="3" t="str">
        <x:v>Rest / mobility (Wed)</x:v>
      </x:c>
      <x:c r="E28" s="3" t="n">
        <x:v>25</x:v>
      </x:c>
      <x:c r="F28" s="11"/>
      <x:c r="G28" s="11" t="str">
        <x:v>planned</x:v>
      </x:c>
      <x:c r="H28" s="11"/>
      <x:c r="I28" s="11"/>
      <x:c r="J28" s="11"/>
      <x:c r="K28" s="11"/>
      <x:c r="L28" s="11"/>
      <x:c r="M28" s="3" t="str">
        <x:v>hybrid-w03-5</x:v>
      </x:c>
      <x:c r="N28" s="3" t="str">
        <x:v>training</x:v>
      </x:c>
      <x:c r="O28" s="3"/>
    </x:row>
    <x:row r="29" ht="54" customHeight="1">
      <x:c r="A29" s="4" t="n">
        <x:f>Strategy!$E$3+17</x:f>
        <x:v>46310.5</x:v>
      </x:c>
      <x:c r="B29" s="3" t="str">
        <x:v>B</x:v>
      </x:c>
      <x:c r="C29" s="3" t="str">
        <x:v>35 min skills + 5 rounds + 60 min easy bike</x:v>
      </x:c>
      <x:c r="D29" s="3" t="str">
        <x:v>Skill B + circuit + easy bike (Thu)</x:v>
      </x:c>
      <x:c r="E29" s="3" t="n">
        <x:v>125</x:v>
      </x:c>
      <x:c r="F29" s="11"/>
      <x:c r="G29" s="11" t="str">
        <x:v>planned</x:v>
      </x:c>
      <x:c r="H29" s="11"/>
      <x:c r="I29" s="11"/>
      <x:c r="J29" s="11"/>
      <x:c r="K29" s="11"/>
      <x:c r="L29" s="11"/>
      <x:c r="M29" s="3" t="str">
        <x:v>hybrid-w03-6</x:v>
      </x:c>
      <x:c r="N29" s="3" t="str">
        <x:v>cycling</x:v>
      </x:c>
      <x:c r="O29" s="3" t="str">
        <x:v>1</x:v>
      </x:c>
    </x:row>
    <x:row r="30" ht="54" customHeight="1">
      <x:c r="A30" s="4" t="n">
        <x:f>Strategy!$E$3+18</x:f>
        <x:v>46311.5</x:v>
      </x:c>
      <x:c r="B30" s="3" t="str"/>
      <x:c r="C30" s="3" t="str">
        <x:v>Complete prescribed pace in control. 3 x 8 min @ 4:50-5:00 / 3 min easy.</x:v>
      </x:c>
      <x:c r="D30" s="3" t="str">
        <x:v>Quality run (Fri)</x:v>
      </x:c>
      <x:c r="E30" s="3" t="n">
        <x:v>60</x:v>
      </x:c>
      <x:c r="F30" s="11"/>
      <x:c r="G30" s="11" t="str">
        <x:v>planned</x:v>
      </x:c>
      <x:c r="H30" s="11"/>
      <x:c r="I30" s="11"/>
      <x:c r="J30" s="11"/>
      <x:c r="K30" s="11"/>
      <x:c r="L30" s="11"/>
      <x:c r="M30" s="3" t="str">
        <x:v>hybrid-w03-7</x:v>
      </x:c>
      <x:c r="N30" s="3" t="str">
        <x:v>running</x:v>
      </x:c>
      <x:c r="O30" s="3"/>
    </x:row>
    <x:row r="31" ht="54" customHeight="1">
      <x:c r="A31" s="4" t="n">
        <x:f>Strategy!$E$3+18</x:f>
        <x:v>46311.5</x:v>
      </x:c>
      <x:c r="B31" s="3" t="str"/>
      <x:c r="C31" s="3" t="str">
        <x:v>Optional; follow coach and reduce run intensity if needed</x:v>
      </x:c>
      <x:c r="D31" s="3" t="str">
        <x:v>Guided swim (Fri PM) · optional</x:v>
      </x:c>
      <x:c r="E31" s="3" t="n">
        <x:v>60</x:v>
      </x:c>
      <x:c r="F31" s="11"/>
      <x:c r="G31" s="11" t="str">
        <x:v>planned</x:v>
      </x:c>
      <x:c r="H31" s="11"/>
      <x:c r="I31" s="11"/>
      <x:c r="J31" s="11"/>
      <x:c r="K31" s="11"/>
      <x:c r="L31" s="11" t="str">
        <x:v>Optional session; omit if not selected.</x:v>
      </x:c>
      <x:c r="M31" s="3" t="str">
        <x:v>hybrid-w03-8</x:v>
      </x:c>
      <x:c r="N31" s="3" t="str">
        <x:v>swimming</x:v>
      </x:c>
      <x:c r="O31" s="3"/>
    </x:row>
    <x:row r="32" ht="54" customHeight="1">
      <x:c r="A32" s="4" t="n">
        <x:f>Strategy!$E$3+19</x:f>
        <x:v>46312.5</x:v>
      </x:c>
      <x:c r="B32" s="3" t="str"/>
      <x:c r="C32" s="3" t="str">
        <x:v>Follow coached session</x:v>
      </x:c>
      <x:c r="D32" s="3" t="str">
        <x:v>Guided swim (Sat AM)</x:v>
      </x:c>
      <x:c r="E32" s="3" t="n">
        <x:v>60</x:v>
      </x:c>
      <x:c r="F32" s="11"/>
      <x:c r="G32" s="11" t="str">
        <x:v>planned</x:v>
      </x:c>
      <x:c r="H32" s="11"/>
      <x:c r="I32" s="11"/>
      <x:c r="J32" s="11"/>
      <x:c r="K32" s="11"/>
      <x:c r="L32" s="11"/>
      <x:c r="M32" s="3" t="str">
        <x:v>hybrid-w03-9</x:v>
      </x:c>
      <x:c r="N32" s="3" t="str">
        <x:v>swimming</x:v>
      </x:c>
      <x:c r="O32" s="3"/>
    </x:row>
    <x:row r="33" ht="54" customHeight="1">
      <x:c r="A33" s="4" t="n">
        <x:f>Strategy!$E$3+19</x:f>
        <x:v>46312.5</x:v>
      </x:c>
      <x:c r="B33" s="3" t="str">
        <x:v>Technique</x:v>
      </x:c>
      <x:c r="C33" s="3" t="str">
        <x:v>Easy technique, no fatigue</x:v>
      </x:c>
      <x:c r="D33" s="3" t="str">
        <x:v>Skill micro-session (Sat PM)</x:v>
      </x:c>
      <x:c r="E33" s="3" t="n">
        <x:v>20</x:v>
      </x:c>
      <x:c r="F33" s="11"/>
      <x:c r="G33" s="11" t="str">
        <x:v>planned</x:v>
      </x:c>
      <x:c r="H33" s="11"/>
      <x:c r="I33" s="11"/>
      <x:c r="J33" s="11"/>
      <x:c r="K33" s="11"/>
      <x:c r="L33" s="11"/>
      <x:c r="M33" s="3" t="str">
        <x:v>hybrid-w03-10</x:v>
      </x:c>
      <x:c r="N33" s="3" t="str">
        <x:v>training</x:v>
      </x:c>
      <x:c r="O33" s="3" t="str">
        <x:v>1</x:v>
      </x:c>
    </x:row>
    <x:row r="34" ht="54" customHeight="1">
      <x:c r="A34" s="4" t="n">
        <x:f>Strategy!$E$3+20</x:f>
        <x:v>46313.5</x:v>
      </x:c>
      <x:c r="B34" s="3" t="str"/>
      <x:c r="C34" s="3" t="str">
        <x:v>Easy aerobic durability. 60 min easy.</x:v>
      </x:c>
      <x:c r="D34" s="3" t="str">
        <x:v>Long easy run (Sun)</x:v>
      </x:c>
      <x:c r="E34" s="3" t="n">
        <x:v>60</x:v>
      </x:c>
      <x:c r="F34" s="11"/>
      <x:c r="G34" s="11" t="str">
        <x:v>planned</x:v>
      </x:c>
      <x:c r="H34" s="11"/>
      <x:c r="I34" s="11"/>
      <x:c r="J34" s="11"/>
      <x:c r="K34" s="11"/>
      <x:c r="L34" s="11"/>
      <x:c r="M34" s="3" t="str">
        <x:v>hybrid-w03-11</x:v>
      </x:c>
      <x:c r="N34" s="3" t="str">
        <x:v>running</x:v>
      </x:c>
      <x:c r="O34" s="3"/>
    </x:row>
    <x:row r="35" ht="54" customHeight="1">
      <x:c r="A35" s="4" t="n">
        <x:f>Strategy!$E$3+21</x:f>
        <x:v>46314.5</x:v>
      </x:c>
      <x:c r="B35" s="3" t="str">
        <x:v>A</x:v>
      </x:c>
      <x:c r="C35" s="3" t="str">
        <x:v>10 min skill A + 3 circuit rounds</x:v>
      </x:c>
      <x:c r="D35" s="3" t="str">
        <x:v>Skill A + interval circuit (Mon)</x:v>
      </x:c>
      <x:c r="E35" s="3" t="n">
        <x:v>33</x:v>
      </x:c>
      <x:c r="F35" s="11"/>
      <x:c r="G35" s="11" t="str">
        <x:v>planned</x:v>
      </x:c>
      <x:c r="H35" s="11"/>
      <x:c r="I35" s="11"/>
      <x:c r="J35" s="11"/>
      <x:c r="K35" s="11"/>
      <x:c r="L35" s="11"/>
      <x:c r="M35" s="3" t="str">
        <x:v>hybrid-w04-1</x:v>
      </x:c>
      <x:c r="N35" s="3" t="str">
        <x:v>training</x:v>
      </x:c>
      <x:c r="O35" s="3" t="str">
        <x:v>1</x:v>
      </x:c>
    </x:row>
    <x:row r="36" ht="54" customHeight="1">
      <x:c r="A36" s="4" t="n">
        <x:f>Strategy!$E$3+21</x:f>
        <x:v>46314.5</x:v>
      </x:c>
      <x:c r="B36" s="3" t="str"/>
      <x:c r="C36" s="3" t="str">
        <x:v>Follow coached session</x:v>
      </x:c>
      <x:c r="D36" s="3" t="str">
        <x:v>Guided swim (Mon PM)</x:v>
      </x:c>
      <x:c r="E36" s="3" t="n">
        <x:v>60</x:v>
      </x:c>
      <x:c r="F36" s="11"/>
      <x:c r="G36" s="11" t="str">
        <x:v>planned</x:v>
      </x:c>
      <x:c r="H36" s="11"/>
      <x:c r="I36" s="11"/>
      <x:c r="J36" s="11"/>
      <x:c r="K36" s="11"/>
      <x:c r="L36" s="11"/>
      <x:c r="M36" s="3" t="str">
        <x:v>hybrid-w04-2</x:v>
      </x:c>
      <x:c r="N36" s="3" t="str">
        <x:v>swimming</x:v>
      </x:c>
      <x:c r="O36" s="3"/>
    </x:row>
    <x:row r="37" ht="54" customHeight="1">
      <x:c r="A37" s="4" t="n">
        <x:f>Strategy!$E$3+22</x:f>
        <x:v>46315.5</x:v>
      </x:c>
      <x:c r="B37" s="3" t="str">
        <x:v>Technique</x:v>
      </x:c>
      <x:c r="C37" s="3" t="str">
        <x:v>5 min handstand + easy run; 30 min run; conversational effort. 30 min easy.</x:v>
      </x:c>
      <x:c r="D37" s="3" t="str">
        <x:v>Easy run + handstand (Tue)</x:v>
      </x:c>
      <x:c r="E37" s="3" t="n">
        <x:v>35</x:v>
      </x:c>
      <x:c r="F37" s="11"/>
      <x:c r="G37" s="11" t="str">
        <x:v>planned</x:v>
      </x:c>
      <x:c r="H37" s="11"/>
      <x:c r="I37" s="11"/>
      <x:c r="J37" s="11"/>
      <x:c r="K37" s="11"/>
      <x:c r="L37" s="11"/>
      <x:c r="M37" s="3" t="str">
        <x:v>hybrid-w04-3</x:v>
      </x:c>
      <x:c r="N37" s="3" t="str">
        <x:v>running</x:v>
      </x:c>
      <x:c r="O37" s="3" t="str">
        <x:v>1</x:v>
      </x:c>
    </x:row>
    <x:row r="38" ht="54" customHeight="1">
      <x:c r="A38" s="4" t="n">
        <x:f>Strategy!$E$3+22</x:f>
        <x:v>46315.5</x:v>
      </x:c>
      <x:c r="B38" s="3" t="str"/>
      <x:c r="C38" s="3" t="str">
        <x:v>Follow coached session</x:v>
      </x:c>
      <x:c r="D38" s="3" t="str">
        <x:v>Guided swim (Tue PM)</x:v>
      </x:c>
      <x:c r="E38" s="3" t="n">
        <x:v>60</x:v>
      </x:c>
      <x:c r="F38" s="11"/>
      <x:c r="G38" s="11" t="str">
        <x:v>planned</x:v>
      </x:c>
      <x:c r="H38" s="11"/>
      <x:c r="I38" s="11"/>
      <x:c r="J38" s="11"/>
      <x:c r="K38" s="11"/>
      <x:c r="L38" s="11"/>
      <x:c r="M38" s="3" t="str">
        <x:v>hybrid-w04-4</x:v>
      </x:c>
      <x:c r="N38" s="3" t="str">
        <x:v>swimming</x:v>
      </x:c>
      <x:c r="O38" s="3"/>
    </x:row>
    <x:row r="39" ht="54" customHeight="1">
      <x:c r="A39" s="4" t="n">
        <x:f>Strategy!$E$3+23</x:f>
        <x:v>46316.5</x:v>
      </x:c>
      <x:c r="B39" s="3" t="str"/>
      <x:c r="C39" s="3" t="str">
        <x:v>Recover and restore range</x:v>
      </x:c>
      <x:c r="D39" s="3" t="str">
        <x:v>Rest / mobility (Wed)</x:v>
      </x:c>
      <x:c r="E39" s="3" t="n">
        <x:v>25</x:v>
      </x:c>
      <x:c r="F39" s="11"/>
      <x:c r="G39" s="11" t="str">
        <x:v>planned</x:v>
      </x:c>
      <x:c r="H39" s="11"/>
      <x:c r="I39" s="11"/>
      <x:c r="J39" s="11"/>
      <x:c r="K39" s="11"/>
      <x:c r="L39" s="11"/>
      <x:c r="M39" s="3" t="str">
        <x:v>hybrid-w04-5</x:v>
      </x:c>
      <x:c r="N39" s="3" t="str">
        <x:v>training</x:v>
      </x:c>
      <x:c r="O39" s="3"/>
    </x:row>
    <x:row r="40" ht="54" customHeight="1">
      <x:c r="A40" s="4" t="n">
        <x:f>Strategy!$E$3+24</x:f>
        <x:v>46317.5</x:v>
      </x:c>
      <x:c r="B40" s="3" t="str">
        <x:v>B</x:v>
      </x:c>
      <x:c r="C40" s="3" t="str">
        <x:v>10 min skills + 3 rounds</x:v>
      </x:c>
      <x:c r="D40" s="3" t="str">
        <x:v>Skill B + interval circuit (Thu)</x:v>
      </x:c>
      <x:c r="E40" s="3" t="n">
        <x:v>33</x:v>
      </x:c>
      <x:c r="F40" s="11"/>
      <x:c r="G40" s="11" t="str">
        <x:v>planned</x:v>
      </x:c>
      <x:c r="H40" s="11"/>
      <x:c r="I40" s="11"/>
      <x:c r="J40" s="11"/>
      <x:c r="K40" s="11"/>
      <x:c r="L40" s="11"/>
      <x:c r="M40" s="3" t="str">
        <x:v>hybrid-w04-6</x:v>
      </x:c>
      <x:c r="N40" s="3" t="str">
        <x:v>training</x:v>
      </x:c>
      <x:c r="O40" s="3" t="str">
        <x:v>1</x:v>
      </x:c>
    </x:row>
    <x:row r="41" ht="54" customHeight="1">
      <x:c r="A41" s="4" t="n">
        <x:f>Strategy!$E$3+25</x:f>
        <x:v>46318.5</x:v>
      </x:c>
      <x:c r="B41" s="3" t="str"/>
      <x:c r="C41" s="3" t="str">
        <x:v>Complete prescribed pace in control. 6 x 20 sec relaxed strides.</x:v>
      </x:c>
      <x:c r="D41" s="3" t="str">
        <x:v>Quality run (Fri)</x:v>
      </x:c>
      <x:c r="E41" s="3" t="n">
        <x:v>35</x:v>
      </x:c>
      <x:c r="F41" s="11"/>
      <x:c r="G41" s="11" t="str">
        <x:v>planned</x:v>
      </x:c>
      <x:c r="H41" s="11"/>
      <x:c r="I41" s="11"/>
      <x:c r="J41" s="11"/>
      <x:c r="K41" s="11"/>
      <x:c r="L41" s="11"/>
      <x:c r="M41" s="3" t="str">
        <x:v>hybrid-w04-7</x:v>
      </x:c>
      <x:c r="N41" s="3" t="str">
        <x:v>running</x:v>
      </x:c>
      <x:c r="O41" s="3"/>
    </x:row>
    <x:row r="42" ht="54" customHeight="1">
      <x:c r="A42" s="4" t="n">
        <x:f>Strategy!$E$3+25</x:f>
        <x:v>46318.5</x:v>
      </x:c>
      <x:c r="B42" s="3" t="str"/>
      <x:c r="C42" s="3" t="str">
        <x:v>Optional guided swim or rest</x:v>
      </x:c>
      <x:c r="D42" s="3" t="str">
        <x:v>Optional guided swim (Fri PM) · optional</x:v>
      </x:c>
      <x:c r="E42" s="3" t="n">
        <x:v>60</x:v>
      </x:c>
      <x:c r="F42" s="11"/>
      <x:c r="G42" s="11" t="str">
        <x:v>planned</x:v>
      </x:c>
      <x:c r="H42" s="11"/>
      <x:c r="I42" s="11"/>
      <x:c r="J42" s="11"/>
      <x:c r="K42" s="11"/>
      <x:c r="L42" s="11" t="str">
        <x:v>Optional session; omit if not selected.</x:v>
      </x:c>
      <x:c r="M42" s="3" t="str">
        <x:v>hybrid-w04-8</x:v>
      </x:c>
      <x:c r="N42" s="3" t="str">
        <x:v>swimming</x:v>
      </x:c>
      <x:c r="O42" s="3"/>
    </x:row>
    <x:row r="43" ht="54" customHeight="1">
      <x:c r="A43" s="4" t="n">
        <x:f>Strategy!$E$3+26</x:f>
        <x:v>46319.5</x:v>
      </x:c>
      <x:c r="B43" s="3" t="str"/>
      <x:c r="C43" s="3" t="str">
        <x:v>Follow coached session</x:v>
      </x:c>
      <x:c r="D43" s="3" t="str">
        <x:v>Guided swim (Sat AM)</x:v>
      </x:c>
      <x:c r="E43" s="3" t="n">
        <x:v>60</x:v>
      </x:c>
      <x:c r="F43" s="11"/>
      <x:c r="G43" s="11" t="str">
        <x:v>planned</x:v>
      </x:c>
      <x:c r="H43" s="11"/>
      <x:c r="I43" s="11"/>
      <x:c r="J43" s="11"/>
      <x:c r="K43" s="11"/>
      <x:c r="L43" s="11"/>
      <x:c r="M43" s="3" t="str">
        <x:v>hybrid-w04-9</x:v>
      </x:c>
      <x:c r="N43" s="3" t="str">
        <x:v>swimming</x:v>
      </x:c>
      <x:c r="O43" s="3"/>
    </x:row>
    <x:row r="44" ht="54" customHeight="1">
      <x:c r="A44" s="4" t="n">
        <x:f>Strategy!$E$3+26</x:f>
        <x:v>46319.5</x:v>
      </x:c>
      <x:c r="B44" s="3" t="str">
        <x:v>Technique</x:v>
      </x:c>
      <x:c r="C44" s="3" t="str">
        <x:v>Easy technique, no fatigue</x:v>
      </x:c>
      <x:c r="D44" s="3" t="str">
        <x:v>Skill micro-session (Sat PM)</x:v>
      </x:c>
      <x:c r="E44" s="3" t="n">
        <x:v>10</x:v>
      </x:c>
      <x:c r="F44" s="11"/>
      <x:c r="G44" s="11" t="str">
        <x:v>planned</x:v>
      </x:c>
      <x:c r="H44" s="11"/>
      <x:c r="I44" s="11"/>
      <x:c r="J44" s="11"/>
      <x:c r="K44" s="11"/>
      <x:c r="L44" s="11"/>
      <x:c r="M44" s="3" t="str">
        <x:v>hybrid-w04-10</x:v>
      </x:c>
      <x:c r="N44" s="3" t="str">
        <x:v>training</x:v>
      </x:c>
      <x:c r="O44" s="3" t="str">
        <x:v>1</x:v>
      </x:c>
    </x:row>
    <x:row r="45" ht="54" customHeight="1">
      <x:c r="A45" s="4" t="n">
        <x:f>Strategy!$E$3+27</x:f>
        <x:v>46320.5</x:v>
      </x:c>
      <x:c r="B45" s="3" t="str"/>
      <x:c r="C45" s="3" t="str">
        <x:v>Easy aerobic durability. 40 min easy.</x:v>
      </x:c>
      <x:c r="D45" s="3" t="str">
        <x:v>Long easy run (Sun)</x:v>
      </x:c>
      <x:c r="E45" s="3" t="n">
        <x:v>40</x:v>
      </x:c>
      <x:c r="F45" s="11"/>
      <x:c r="G45" s="11" t="str">
        <x:v>planned</x:v>
      </x:c>
      <x:c r="H45" s="11"/>
      <x:c r="I45" s="11"/>
      <x:c r="J45" s="11"/>
      <x:c r="K45" s="11"/>
      <x:c r="L45" s="11"/>
      <x:c r="M45" s="3" t="str">
        <x:v>hybrid-w04-11</x:v>
      </x:c>
      <x:c r="N45" s="3" t="str">
        <x:v>running</x:v>
      </x:c>
      <x:c r="O45" s="3"/>
    </x:row>
    <x:row r="46" ht="54" customHeight="1">
      <x:c r="A46" s="4" t="n">
        <x:f>Strategy!$E$3+28</x:f>
        <x:v>46321.5</x:v>
      </x:c>
      <x:c r="B46" s="3" t="str">
        <x:v>A</x:v>
      </x:c>
      <x:c r="C46" s="3" t="str">
        <x:v>35 min skill A + 5 circuit rounds</x:v>
      </x:c>
      <x:c r="D46" s="3" t="str">
        <x:v>Skill A + interval circuit (Mon)</x:v>
      </x:c>
      <x:c r="E46" s="3" t="n">
        <x:v>65</x:v>
      </x:c>
      <x:c r="F46" s="11"/>
      <x:c r="G46" s="11" t="str">
        <x:v>planned</x:v>
      </x:c>
      <x:c r="H46" s="11"/>
      <x:c r="I46" s="11"/>
      <x:c r="J46" s="11"/>
      <x:c r="K46" s="11"/>
      <x:c r="L46" s="11"/>
      <x:c r="M46" s="3" t="str">
        <x:v>hybrid-w05-1</x:v>
      </x:c>
      <x:c r="N46" s="3" t="str">
        <x:v>training</x:v>
      </x:c>
      <x:c r="O46" s="3" t="str">
        <x:v>1</x:v>
      </x:c>
    </x:row>
    <x:row r="47" ht="54" customHeight="1">
      <x:c r="A47" s="4" t="n">
        <x:f>Strategy!$E$3+28</x:f>
        <x:v>46321.5</x:v>
      </x:c>
      <x:c r="B47" s="3" t="str"/>
      <x:c r="C47" s="3" t="str">
        <x:v>Follow coached session</x:v>
      </x:c>
      <x:c r="D47" s="3" t="str">
        <x:v>Guided swim (Mon PM)</x:v>
      </x:c>
      <x:c r="E47" s="3" t="n">
        <x:v>60</x:v>
      </x:c>
      <x:c r="F47" s="11"/>
      <x:c r="G47" s="11" t="str">
        <x:v>planned</x:v>
      </x:c>
      <x:c r="H47" s="11"/>
      <x:c r="I47" s="11"/>
      <x:c r="J47" s="11"/>
      <x:c r="K47" s="11"/>
      <x:c r="L47" s="11"/>
      <x:c r="M47" s="3" t="str">
        <x:v>hybrid-w05-2</x:v>
      </x:c>
      <x:c r="N47" s="3" t="str">
        <x:v>swimming</x:v>
      </x:c>
      <x:c r="O47" s="3"/>
    </x:row>
    <x:row r="48" ht="54" customHeight="1">
      <x:c r="A48" s="4" t="n">
        <x:f>Strategy!$E$3+29</x:f>
        <x:v>46322.5</x:v>
      </x:c>
      <x:c r="B48" s="3" t="str">
        <x:v>Technique</x:v>
      </x:c>
      <x:c r="C48" s="3" t="str">
        <x:v>10 min handstand + easy run; 60 min run; conversational effort. 60 min easy.</x:v>
      </x:c>
      <x:c r="D48" s="3" t="str">
        <x:v>Easy run + handstand (Tue)</x:v>
      </x:c>
      <x:c r="E48" s="3" t="n">
        <x:v>70</x:v>
      </x:c>
      <x:c r="F48" s="11"/>
      <x:c r="G48" s="11" t="str">
        <x:v>planned</x:v>
      </x:c>
      <x:c r="H48" s="11"/>
      <x:c r="I48" s="11"/>
      <x:c r="J48" s="11"/>
      <x:c r="K48" s="11"/>
      <x:c r="L48" s="11"/>
      <x:c r="M48" s="3" t="str">
        <x:v>hybrid-w05-3</x:v>
      </x:c>
      <x:c r="N48" s="3" t="str">
        <x:v>running</x:v>
      </x:c>
      <x:c r="O48" s="3" t="str">
        <x:v>1</x:v>
      </x:c>
    </x:row>
    <x:row r="49" ht="54" customHeight="1">
      <x:c r="A49" s="4" t="n">
        <x:f>Strategy!$E$3+29</x:f>
        <x:v>46322.5</x:v>
      </x:c>
      <x:c r="B49" s="3" t="str"/>
      <x:c r="C49" s="3" t="str">
        <x:v>Follow coached session</x:v>
      </x:c>
      <x:c r="D49" s="3" t="str">
        <x:v>Guided swim (Tue PM)</x:v>
      </x:c>
      <x:c r="E49" s="3" t="n">
        <x:v>60</x:v>
      </x:c>
      <x:c r="F49" s="11"/>
      <x:c r="G49" s="11" t="str">
        <x:v>planned</x:v>
      </x:c>
      <x:c r="H49" s="11"/>
      <x:c r="I49" s="11"/>
      <x:c r="J49" s="11"/>
      <x:c r="K49" s="11"/>
      <x:c r="L49" s="11"/>
      <x:c r="M49" s="3" t="str">
        <x:v>hybrid-w05-4</x:v>
      </x:c>
      <x:c r="N49" s="3" t="str">
        <x:v>swimming</x:v>
      </x:c>
      <x:c r="O49" s="3"/>
    </x:row>
    <x:row r="50" ht="54" customHeight="1">
      <x:c r="A50" s="4" t="n">
        <x:f>Strategy!$E$3+30</x:f>
        <x:v>46323.5</x:v>
      </x:c>
      <x:c r="B50" s="3" t="str"/>
      <x:c r="C50" s="3" t="str">
        <x:v>Recover and restore range</x:v>
      </x:c>
      <x:c r="D50" s="3" t="str">
        <x:v>Rest / mobility (Wed)</x:v>
      </x:c>
      <x:c r="E50" s="3" t="n">
        <x:v>25</x:v>
      </x:c>
      <x:c r="F50" s="11"/>
      <x:c r="G50" s="11" t="str">
        <x:v>planned</x:v>
      </x:c>
      <x:c r="H50" s="11"/>
      <x:c r="I50" s="11"/>
      <x:c r="J50" s="11"/>
      <x:c r="K50" s="11"/>
      <x:c r="L50" s="11"/>
      <x:c r="M50" s="3" t="str">
        <x:v>hybrid-w05-5</x:v>
      </x:c>
      <x:c r="N50" s="3" t="str">
        <x:v>training</x:v>
      </x:c>
      <x:c r="O50" s="3"/>
    </x:row>
    <x:row r="51" ht="54" customHeight="1">
      <x:c r="A51" s="4" t="n">
        <x:f>Strategy!$E$3+31</x:f>
        <x:v>46324.5</x:v>
      </x:c>
      <x:c r="B51" s="3" t="str">
        <x:v>B</x:v>
      </x:c>
      <x:c r="C51" s="3" t="str">
        <x:v>35 min skills + 5 rounds + 60 min easy bike</x:v>
      </x:c>
      <x:c r="D51" s="3" t="str">
        <x:v>Skill B + circuit + easy bike (Thu)</x:v>
      </x:c>
      <x:c r="E51" s="3" t="n">
        <x:v>125</x:v>
      </x:c>
      <x:c r="F51" s="11"/>
      <x:c r="G51" s="11" t="str">
        <x:v>planned</x:v>
      </x:c>
      <x:c r="H51" s="11"/>
      <x:c r="I51" s="11"/>
      <x:c r="J51" s="11"/>
      <x:c r="K51" s="11"/>
      <x:c r="L51" s="11"/>
      <x:c r="M51" s="3" t="str">
        <x:v>hybrid-w05-6</x:v>
      </x:c>
      <x:c r="N51" s="3" t="str">
        <x:v>cycling</x:v>
      </x:c>
      <x:c r="O51" s="3" t="str">
        <x:v>1</x:v>
      </x:c>
    </x:row>
    <x:row r="52" ht="54" customHeight="1">
      <x:c r="A52" s="4" t="n">
        <x:f>Strategy!$E$3+32</x:f>
        <x:v>46325.5</x:v>
      </x:c>
      <x:c r="B52" s="3" t="str"/>
      <x:c r="C52" s="3" t="str">
        <x:v>Complete prescribed pace in control. 6 x 3 min @ 4:30-4:40 / 2 min easy.</x:v>
      </x:c>
      <x:c r="D52" s="3" t="str">
        <x:v>Quality run (Fri)</x:v>
      </x:c>
      <x:c r="E52" s="3" t="n">
        <x:v>60</x:v>
      </x:c>
      <x:c r="F52" s="11"/>
      <x:c r="G52" s="11" t="str">
        <x:v>planned</x:v>
      </x:c>
      <x:c r="H52" s="11"/>
      <x:c r="I52" s="11"/>
      <x:c r="J52" s="11"/>
      <x:c r="K52" s="11"/>
      <x:c r="L52" s="11"/>
      <x:c r="M52" s="3" t="str">
        <x:v>hybrid-w05-7</x:v>
      </x:c>
      <x:c r="N52" s="3" t="str">
        <x:v>running</x:v>
      </x:c>
      <x:c r="O52" s="3"/>
    </x:row>
    <x:row r="53" ht="54" customHeight="1">
      <x:c r="A53" s="4" t="n">
        <x:f>Strategy!$E$3+32</x:f>
        <x:v>46325.5</x:v>
      </x:c>
      <x:c r="B53" s="3" t="str"/>
      <x:c r="C53" s="3" t="str">
        <x:v>Optional; follow coach and reduce run intensity if needed</x:v>
      </x:c>
      <x:c r="D53" s="3" t="str">
        <x:v>Guided swim (Fri PM) · optional</x:v>
      </x:c>
      <x:c r="E53" s="3" t="n">
        <x:v>60</x:v>
      </x:c>
      <x:c r="F53" s="11"/>
      <x:c r="G53" s="11" t="str">
        <x:v>planned</x:v>
      </x:c>
      <x:c r="H53" s="11"/>
      <x:c r="I53" s="11"/>
      <x:c r="J53" s="11"/>
      <x:c r="K53" s="11"/>
      <x:c r="L53" s="11" t="str">
        <x:v>Optional session; omit if not selected.</x:v>
      </x:c>
      <x:c r="M53" s="3" t="str">
        <x:v>hybrid-w05-8</x:v>
      </x:c>
      <x:c r="N53" s="3" t="str">
        <x:v>swimming</x:v>
      </x:c>
      <x:c r="O53" s="3"/>
    </x:row>
    <x:row r="54" ht="54" customHeight="1">
      <x:c r="A54" s="4" t="n">
        <x:f>Strategy!$E$3+33</x:f>
        <x:v>46326.5</x:v>
      </x:c>
      <x:c r="B54" s="3" t="str"/>
      <x:c r="C54" s="3" t="str">
        <x:v>Follow coached session</x:v>
      </x:c>
      <x:c r="D54" s="3" t="str">
        <x:v>Guided swim (Sat AM)</x:v>
      </x:c>
      <x:c r="E54" s="3" t="n">
        <x:v>60</x:v>
      </x:c>
      <x:c r="F54" s="11"/>
      <x:c r="G54" s="11" t="str">
        <x:v>planned</x:v>
      </x:c>
      <x:c r="H54" s="11"/>
      <x:c r="I54" s="11"/>
      <x:c r="J54" s="11"/>
      <x:c r="K54" s="11"/>
      <x:c r="L54" s="11"/>
      <x:c r="M54" s="3" t="str">
        <x:v>hybrid-w05-9</x:v>
      </x:c>
      <x:c r="N54" s="3" t="str">
        <x:v>swimming</x:v>
      </x:c>
      <x:c r="O54" s="3"/>
    </x:row>
    <x:row r="55" ht="54" customHeight="1">
      <x:c r="A55" s="4" t="n">
        <x:f>Strategy!$E$3+33</x:f>
        <x:v>46326.5</x:v>
      </x:c>
      <x:c r="B55" s="3" t="str">
        <x:v>Technique</x:v>
      </x:c>
      <x:c r="C55" s="3" t="str">
        <x:v>Easy technique, no fatigue</x:v>
      </x:c>
      <x:c r="D55" s="3" t="str">
        <x:v>Skill micro-session (Sat PM)</x:v>
      </x:c>
      <x:c r="E55" s="3" t="n">
        <x:v>20</x:v>
      </x:c>
      <x:c r="F55" s="11"/>
      <x:c r="G55" s="11" t="str">
        <x:v>planned</x:v>
      </x:c>
      <x:c r="H55" s="11"/>
      <x:c r="I55" s="11"/>
      <x:c r="J55" s="11"/>
      <x:c r="K55" s="11"/>
      <x:c r="L55" s="11"/>
      <x:c r="M55" s="3" t="str">
        <x:v>hybrid-w05-10</x:v>
      </x:c>
      <x:c r="N55" s="3" t="str">
        <x:v>training</x:v>
      </x:c>
      <x:c r="O55" s="3" t="str">
        <x:v>1</x:v>
      </x:c>
    </x:row>
    <x:row r="56" ht="54" customHeight="1">
      <x:c r="A56" s="4" t="n">
        <x:f>Strategy!$E$3+34</x:f>
        <x:v>46327.5</x:v>
      </x:c>
      <x:c r="B56" s="3" t="str"/>
      <x:c r="C56" s="3" t="str">
        <x:v>Easy aerobic durability. 60 min easy.</x:v>
      </x:c>
      <x:c r="D56" s="3" t="str">
        <x:v>Long easy run (Sun)</x:v>
      </x:c>
      <x:c r="E56" s="3" t="n">
        <x:v>60</x:v>
      </x:c>
      <x:c r="F56" s="11"/>
      <x:c r="G56" s="11" t="str">
        <x:v>planned</x:v>
      </x:c>
      <x:c r="H56" s="11"/>
      <x:c r="I56" s="11"/>
      <x:c r="J56" s="11"/>
      <x:c r="K56" s="11"/>
      <x:c r="L56" s="11"/>
      <x:c r="M56" s="3" t="str">
        <x:v>hybrid-w05-11</x:v>
      </x:c>
      <x:c r="N56" s="3" t="str">
        <x:v>running</x:v>
      </x:c>
      <x:c r="O56" s="3"/>
    </x:row>
    <x:row r="57" ht="54" customHeight="1">
      <x:c r="A57" s="4" t="n">
        <x:f>Strategy!$E$3+35</x:f>
        <x:v>46328.5</x:v>
      </x:c>
      <x:c r="B57" s="3" t="str">
        <x:v>A</x:v>
      </x:c>
      <x:c r="C57" s="3" t="str">
        <x:v>35 min skill A + 5 circuit rounds</x:v>
      </x:c>
      <x:c r="D57" s="3" t="str">
        <x:v>Skill A + interval circuit (Mon)</x:v>
      </x:c>
      <x:c r="E57" s="3" t="n">
        <x:v>65</x:v>
      </x:c>
      <x:c r="F57" s="11"/>
      <x:c r="G57" s="11" t="str">
        <x:v>planned</x:v>
      </x:c>
      <x:c r="H57" s="11"/>
      <x:c r="I57" s="11"/>
      <x:c r="J57" s="11"/>
      <x:c r="K57" s="11"/>
      <x:c r="L57" s="11"/>
      <x:c r="M57" s="3" t="str">
        <x:v>hybrid-w06-1</x:v>
      </x:c>
      <x:c r="N57" s="3" t="str">
        <x:v>training</x:v>
      </x:c>
      <x:c r="O57" s="3" t="str">
        <x:v>1</x:v>
      </x:c>
    </x:row>
    <x:row r="58" ht="54" customHeight="1">
      <x:c r="A58" s="4" t="n">
        <x:f>Strategy!$E$3+35</x:f>
        <x:v>46328.5</x:v>
      </x:c>
      <x:c r="B58" s="3" t="str"/>
      <x:c r="C58" s="3" t="str">
        <x:v>Follow coached session</x:v>
      </x:c>
      <x:c r="D58" s="3" t="str">
        <x:v>Guided swim (Mon PM)</x:v>
      </x:c>
      <x:c r="E58" s="3" t="n">
        <x:v>60</x:v>
      </x:c>
      <x:c r="F58" s="11"/>
      <x:c r="G58" s="11" t="str">
        <x:v>planned</x:v>
      </x:c>
      <x:c r="H58" s="11"/>
      <x:c r="I58" s="11"/>
      <x:c r="J58" s="11"/>
      <x:c r="K58" s="11"/>
      <x:c r="L58" s="11"/>
      <x:c r="M58" s="3" t="str">
        <x:v>hybrid-w06-2</x:v>
      </x:c>
      <x:c r="N58" s="3" t="str">
        <x:v>swimming</x:v>
      </x:c>
      <x:c r="O58" s="3"/>
    </x:row>
    <x:row r="59" ht="54" customHeight="1">
      <x:c r="A59" s="4" t="n">
        <x:f>Strategy!$E$3+36</x:f>
        <x:v>46329.5</x:v>
      </x:c>
      <x:c r="B59" s="3" t="str">
        <x:v>Technique</x:v>
      </x:c>
      <x:c r="C59" s="3" t="str">
        <x:v>10 min handstand + easy run; 60 min run; conversational effort. 60 min easy.</x:v>
      </x:c>
      <x:c r="D59" s="3" t="str">
        <x:v>Easy run + handstand (Tue)</x:v>
      </x:c>
      <x:c r="E59" s="3" t="n">
        <x:v>70</x:v>
      </x:c>
      <x:c r="F59" s="11"/>
      <x:c r="G59" s="11" t="str">
        <x:v>planned</x:v>
      </x:c>
      <x:c r="H59" s="11"/>
      <x:c r="I59" s="11"/>
      <x:c r="J59" s="11"/>
      <x:c r="K59" s="11"/>
      <x:c r="L59" s="11"/>
      <x:c r="M59" s="3" t="str">
        <x:v>hybrid-w06-3</x:v>
      </x:c>
      <x:c r="N59" s="3" t="str">
        <x:v>running</x:v>
      </x:c>
      <x:c r="O59" s="3" t="str">
        <x:v>1</x:v>
      </x:c>
    </x:row>
    <x:row r="60" ht="54" customHeight="1">
      <x:c r="A60" s="4" t="n">
        <x:f>Strategy!$E$3+36</x:f>
        <x:v>46329.5</x:v>
      </x:c>
      <x:c r="B60" s="3" t="str"/>
      <x:c r="C60" s="3" t="str">
        <x:v>Follow coached session</x:v>
      </x:c>
      <x:c r="D60" s="3" t="str">
        <x:v>Guided swim (Tue PM)</x:v>
      </x:c>
      <x:c r="E60" s="3" t="n">
        <x:v>60</x:v>
      </x:c>
      <x:c r="F60" s="11"/>
      <x:c r="G60" s="11" t="str">
        <x:v>planned</x:v>
      </x:c>
      <x:c r="H60" s="11"/>
      <x:c r="I60" s="11"/>
      <x:c r="J60" s="11"/>
      <x:c r="K60" s="11"/>
      <x:c r="L60" s="11"/>
      <x:c r="M60" s="3" t="str">
        <x:v>hybrid-w06-4</x:v>
      </x:c>
      <x:c r="N60" s="3" t="str">
        <x:v>swimming</x:v>
      </x:c>
      <x:c r="O60" s="3"/>
    </x:row>
    <x:row r="61" ht="54" customHeight="1">
      <x:c r="A61" s="4" t="n">
        <x:f>Strategy!$E$3+37</x:f>
        <x:v>46330.5</x:v>
      </x:c>
      <x:c r="B61" s="3" t="str"/>
      <x:c r="C61" s="3" t="str">
        <x:v>Recover and restore range</x:v>
      </x:c>
      <x:c r="D61" s="3" t="str">
        <x:v>Rest / mobility (Wed)</x:v>
      </x:c>
      <x:c r="E61" s="3" t="n">
        <x:v>25</x:v>
      </x:c>
      <x:c r="F61" s="11"/>
      <x:c r="G61" s="11" t="str">
        <x:v>planned</x:v>
      </x:c>
      <x:c r="H61" s="11"/>
      <x:c r="I61" s="11"/>
      <x:c r="J61" s="11"/>
      <x:c r="K61" s="11"/>
      <x:c r="L61" s="11"/>
      <x:c r="M61" s="3" t="str">
        <x:v>hybrid-w06-5</x:v>
      </x:c>
      <x:c r="N61" s="3" t="str">
        <x:v>training</x:v>
      </x:c>
      <x:c r="O61" s="3"/>
    </x:row>
    <x:row r="62" ht="54" customHeight="1">
      <x:c r="A62" s="4" t="n">
        <x:f>Strategy!$E$3+38</x:f>
        <x:v>46331.5</x:v>
      </x:c>
      <x:c r="B62" s="3" t="str">
        <x:v>B</x:v>
      </x:c>
      <x:c r="C62" s="3" t="str">
        <x:v>35 min skills + 5 rounds + 60 min easy bike</x:v>
      </x:c>
      <x:c r="D62" s="3" t="str">
        <x:v>Skill B + circuit + easy bike (Thu)</x:v>
      </x:c>
      <x:c r="E62" s="3" t="n">
        <x:v>125</x:v>
      </x:c>
      <x:c r="F62" s="11"/>
      <x:c r="G62" s="11" t="str">
        <x:v>planned</x:v>
      </x:c>
      <x:c r="H62" s="11"/>
      <x:c r="I62" s="11"/>
      <x:c r="J62" s="11"/>
      <x:c r="K62" s="11"/>
      <x:c r="L62" s="11"/>
      <x:c r="M62" s="3" t="str">
        <x:v>hybrid-w06-6</x:v>
      </x:c>
      <x:c r="N62" s="3" t="str">
        <x:v>cycling</x:v>
      </x:c>
      <x:c r="O62" s="3" t="str">
        <x:v>1</x:v>
      </x:c>
    </x:row>
    <x:row r="63" ht="54" customHeight="1">
      <x:c r="A63" s="4" t="n">
        <x:f>Strategy!$E$3+39</x:f>
        <x:v>46332.5</x:v>
      </x:c>
      <x:c r="B63" s="3" t="str"/>
      <x:c r="C63" s="3" t="str">
        <x:v>Complete prescribed pace in control. 4 x 5 min @ 4:40-4:50 / 2 min easy.</x:v>
      </x:c>
      <x:c r="D63" s="3" t="str">
        <x:v>Quality run (Fri)</x:v>
      </x:c>
      <x:c r="E63" s="3" t="n">
        <x:v>60</x:v>
      </x:c>
      <x:c r="F63" s="11"/>
      <x:c r="G63" s="11" t="str">
        <x:v>planned</x:v>
      </x:c>
      <x:c r="H63" s="11"/>
      <x:c r="I63" s="11"/>
      <x:c r="J63" s="11"/>
      <x:c r="K63" s="11"/>
      <x:c r="L63" s="11"/>
      <x:c r="M63" s="3" t="str">
        <x:v>hybrid-w06-7</x:v>
      </x:c>
      <x:c r="N63" s="3" t="str">
        <x:v>running</x:v>
      </x:c>
      <x:c r="O63" s="3"/>
    </x:row>
    <x:row r="64" ht="54" customHeight="1">
      <x:c r="A64" s="4" t="n">
        <x:f>Strategy!$E$3+39</x:f>
        <x:v>46332.5</x:v>
      </x:c>
      <x:c r="B64" s="3" t="str"/>
      <x:c r="C64" s="3" t="str">
        <x:v>Optional; follow coach and reduce run intensity if needed</x:v>
      </x:c>
      <x:c r="D64" s="3" t="str">
        <x:v>Guided swim (Fri PM) · optional</x:v>
      </x:c>
      <x:c r="E64" s="3" t="n">
        <x:v>60</x:v>
      </x:c>
      <x:c r="F64" s="11"/>
      <x:c r="G64" s="11" t="str">
        <x:v>planned</x:v>
      </x:c>
      <x:c r="H64" s="11"/>
      <x:c r="I64" s="11"/>
      <x:c r="J64" s="11"/>
      <x:c r="K64" s="11"/>
      <x:c r="L64" s="11" t="str">
        <x:v>Optional session; omit if not selected.</x:v>
      </x:c>
      <x:c r="M64" s="3" t="str">
        <x:v>hybrid-w06-8</x:v>
      </x:c>
      <x:c r="N64" s="3" t="str">
        <x:v>swimming</x:v>
      </x:c>
      <x:c r="O64" s="3"/>
    </x:row>
    <x:row r="65" ht="54" customHeight="1">
      <x:c r="A65" s="4" t="n">
        <x:f>Strategy!$E$3+40</x:f>
        <x:v>46333.5</x:v>
      </x:c>
      <x:c r="B65" s="3" t="str"/>
      <x:c r="C65" s="3" t="str">
        <x:v>Follow coached session</x:v>
      </x:c>
      <x:c r="D65" s="3" t="str">
        <x:v>Guided swim (Sat AM)</x:v>
      </x:c>
      <x:c r="E65" s="3" t="n">
        <x:v>60</x:v>
      </x:c>
      <x:c r="F65" s="11"/>
      <x:c r="G65" s="11" t="str">
        <x:v>planned</x:v>
      </x:c>
      <x:c r="H65" s="11"/>
      <x:c r="I65" s="11"/>
      <x:c r="J65" s="11"/>
      <x:c r="K65" s="11"/>
      <x:c r="L65" s="11"/>
      <x:c r="M65" s="3" t="str">
        <x:v>hybrid-w06-9</x:v>
      </x:c>
      <x:c r="N65" s="3" t="str">
        <x:v>swimming</x:v>
      </x:c>
      <x:c r="O65" s="3"/>
    </x:row>
    <x:row r="66" ht="54" customHeight="1">
      <x:c r="A66" s="4" t="n">
        <x:f>Strategy!$E$3+40</x:f>
        <x:v>46333.5</x:v>
      </x:c>
      <x:c r="B66" s="3" t="str">
        <x:v>Technique</x:v>
      </x:c>
      <x:c r="C66" s="3" t="str">
        <x:v>Easy technique, no fatigue</x:v>
      </x:c>
      <x:c r="D66" s="3" t="str">
        <x:v>Skill micro-session (Sat PM)</x:v>
      </x:c>
      <x:c r="E66" s="3" t="n">
        <x:v>20</x:v>
      </x:c>
      <x:c r="F66" s="11"/>
      <x:c r="G66" s="11" t="str">
        <x:v>planned</x:v>
      </x:c>
      <x:c r="H66" s="11"/>
      <x:c r="I66" s="11"/>
      <x:c r="J66" s="11"/>
      <x:c r="K66" s="11"/>
      <x:c r="L66" s="11"/>
      <x:c r="M66" s="3" t="str">
        <x:v>hybrid-w06-10</x:v>
      </x:c>
      <x:c r="N66" s="3" t="str">
        <x:v>training</x:v>
      </x:c>
      <x:c r="O66" s="3" t="str">
        <x:v>1</x:v>
      </x:c>
    </x:row>
    <x:row r="67" ht="54" customHeight="1">
      <x:c r="A67" s="4" t="n">
        <x:f>Strategy!$E$3+41</x:f>
        <x:v>46334.5</x:v>
      </x:c>
      <x:c r="B67" s="3" t="str"/>
      <x:c r="C67" s="3" t="str">
        <x:v>Easy aerobic durability. 60 min easy.</x:v>
      </x:c>
      <x:c r="D67" s="3" t="str">
        <x:v>Long easy run (Sun)</x:v>
      </x:c>
      <x:c r="E67" s="3" t="n">
        <x:v>60</x:v>
      </x:c>
      <x:c r="F67" s="11"/>
      <x:c r="G67" s="11" t="str">
        <x:v>planned</x:v>
      </x:c>
      <x:c r="H67" s="11"/>
      <x:c r="I67" s="11"/>
      <x:c r="J67" s="11"/>
      <x:c r="K67" s="11"/>
      <x:c r="L67" s="11"/>
      <x:c r="M67" s="3" t="str">
        <x:v>hybrid-w06-11</x:v>
      </x:c>
      <x:c r="N67" s="3" t="str">
        <x:v>running</x:v>
      </x:c>
      <x:c r="O67" s="3"/>
    </x:row>
    <x:row r="68" ht="54" customHeight="1">
      <x:c r="A68" s="4" t="n">
        <x:f>Strategy!$E$3+42</x:f>
        <x:v>46335.5</x:v>
      </x:c>
      <x:c r="B68" s="3" t="str">
        <x:v>A</x:v>
      </x:c>
      <x:c r="C68" s="3" t="str">
        <x:v>35 min skill A + 5 circuit rounds</x:v>
      </x:c>
      <x:c r="D68" s="3" t="str">
        <x:v>Skill A + interval circuit (Mon)</x:v>
      </x:c>
      <x:c r="E68" s="3" t="n">
        <x:v>65</x:v>
      </x:c>
      <x:c r="F68" s="11"/>
      <x:c r="G68" s="11" t="str">
        <x:v>planned</x:v>
      </x:c>
      <x:c r="H68" s="11"/>
      <x:c r="I68" s="11"/>
      <x:c r="J68" s="11"/>
      <x:c r="K68" s="11"/>
      <x:c r="L68" s="11"/>
      <x:c r="M68" s="3" t="str">
        <x:v>hybrid-w07-1</x:v>
      </x:c>
      <x:c r="N68" s="3" t="str">
        <x:v>training</x:v>
      </x:c>
      <x:c r="O68" s="3" t="str">
        <x:v>1</x:v>
      </x:c>
    </x:row>
    <x:row r="69" ht="54" customHeight="1">
      <x:c r="A69" s="4" t="n">
        <x:f>Strategy!$E$3+42</x:f>
        <x:v>46335.5</x:v>
      </x:c>
      <x:c r="B69" s="3" t="str"/>
      <x:c r="C69" s="3" t="str">
        <x:v>Follow coached session</x:v>
      </x:c>
      <x:c r="D69" s="3" t="str">
        <x:v>Guided swim (Mon PM)</x:v>
      </x:c>
      <x:c r="E69" s="3" t="n">
        <x:v>60</x:v>
      </x:c>
      <x:c r="F69" s="11"/>
      <x:c r="G69" s="11" t="str">
        <x:v>planned</x:v>
      </x:c>
      <x:c r="H69" s="11"/>
      <x:c r="I69" s="11"/>
      <x:c r="J69" s="11"/>
      <x:c r="K69" s="11"/>
      <x:c r="L69" s="11"/>
      <x:c r="M69" s="3" t="str">
        <x:v>hybrid-w07-2</x:v>
      </x:c>
      <x:c r="N69" s="3" t="str">
        <x:v>swimming</x:v>
      </x:c>
      <x:c r="O69" s="3"/>
    </x:row>
    <x:row r="70" ht="54" customHeight="1">
      <x:c r="A70" s="4" t="n">
        <x:f>Strategy!$E$3+43</x:f>
        <x:v>46336.5</x:v>
      </x:c>
      <x:c r="B70" s="3" t="str">
        <x:v>Technique</x:v>
      </x:c>
      <x:c r="C70" s="3" t="str">
        <x:v>10 min handstand + easy run; 60 min run; conversational effort. 60 min easy.</x:v>
      </x:c>
      <x:c r="D70" s="3" t="str">
        <x:v>Easy run + handstand (Tue)</x:v>
      </x:c>
      <x:c r="E70" s="3" t="n">
        <x:v>70</x:v>
      </x:c>
      <x:c r="F70" s="11"/>
      <x:c r="G70" s="11" t="str">
        <x:v>planned</x:v>
      </x:c>
      <x:c r="H70" s="11"/>
      <x:c r="I70" s="11"/>
      <x:c r="J70" s="11"/>
      <x:c r="K70" s="11"/>
      <x:c r="L70" s="11"/>
      <x:c r="M70" s="3" t="str">
        <x:v>hybrid-w07-3</x:v>
      </x:c>
      <x:c r="N70" s="3" t="str">
        <x:v>running</x:v>
      </x:c>
      <x:c r="O70" s="3" t="str">
        <x:v>1</x:v>
      </x:c>
    </x:row>
    <x:row r="71" ht="54" customHeight="1">
      <x:c r="A71" s="4" t="n">
        <x:f>Strategy!$E$3+43</x:f>
        <x:v>46336.5</x:v>
      </x:c>
      <x:c r="B71" s="3" t="str"/>
      <x:c r="C71" s="3" t="str">
        <x:v>Follow coached session</x:v>
      </x:c>
      <x:c r="D71" s="3" t="str">
        <x:v>Guided swim (Tue PM)</x:v>
      </x:c>
      <x:c r="E71" s="3" t="n">
        <x:v>60</x:v>
      </x:c>
      <x:c r="F71" s="11"/>
      <x:c r="G71" s="11" t="str">
        <x:v>planned</x:v>
      </x:c>
      <x:c r="H71" s="11"/>
      <x:c r="I71" s="11"/>
      <x:c r="J71" s="11"/>
      <x:c r="K71" s="11"/>
      <x:c r="L71" s="11"/>
      <x:c r="M71" s="3" t="str">
        <x:v>hybrid-w07-4</x:v>
      </x:c>
      <x:c r="N71" s="3" t="str">
        <x:v>swimming</x:v>
      </x:c>
      <x:c r="O71" s="3"/>
    </x:row>
    <x:row r="72" ht="54" customHeight="1">
      <x:c r="A72" s="4" t="n">
        <x:f>Strategy!$E$3+44</x:f>
        <x:v>46337.5</x:v>
      </x:c>
      <x:c r="B72" s="3" t="str"/>
      <x:c r="C72" s="3" t="str">
        <x:v>Recover and restore range</x:v>
      </x:c>
      <x:c r="D72" s="3" t="str">
        <x:v>Rest / mobility (Wed)</x:v>
      </x:c>
      <x:c r="E72" s="3" t="n">
        <x:v>25</x:v>
      </x:c>
      <x:c r="F72" s="11"/>
      <x:c r="G72" s="11" t="str">
        <x:v>planned</x:v>
      </x:c>
      <x:c r="H72" s="11"/>
      <x:c r="I72" s="11"/>
      <x:c r="J72" s="11"/>
      <x:c r="K72" s="11"/>
      <x:c r="L72" s="11"/>
      <x:c r="M72" s="3" t="str">
        <x:v>hybrid-w07-5</x:v>
      </x:c>
      <x:c r="N72" s="3" t="str">
        <x:v>training</x:v>
      </x:c>
      <x:c r="O72" s="3"/>
    </x:row>
    <x:row r="73" ht="54" customHeight="1">
      <x:c r="A73" s="4" t="n">
        <x:f>Strategy!$E$3+45</x:f>
        <x:v>46338.5</x:v>
      </x:c>
      <x:c r="B73" s="3" t="str">
        <x:v>B</x:v>
      </x:c>
      <x:c r="C73" s="3" t="str">
        <x:v>35 min skills + 5 rounds + 60 min easy bike</x:v>
      </x:c>
      <x:c r="D73" s="3" t="str">
        <x:v>Skill B + circuit + easy bike (Thu)</x:v>
      </x:c>
      <x:c r="E73" s="3" t="n">
        <x:v>125</x:v>
      </x:c>
      <x:c r="F73" s="11"/>
      <x:c r="G73" s="11" t="str">
        <x:v>planned</x:v>
      </x:c>
      <x:c r="H73" s="11"/>
      <x:c r="I73" s="11"/>
      <x:c r="J73" s="11"/>
      <x:c r="K73" s="11"/>
      <x:c r="L73" s="11"/>
      <x:c r="M73" s="3" t="str">
        <x:v>hybrid-w07-6</x:v>
      </x:c>
      <x:c r="N73" s="3" t="str">
        <x:v>cycling</x:v>
      </x:c>
      <x:c r="O73" s="3" t="str">
        <x:v>1</x:v>
      </x:c>
    </x:row>
    <x:row r="74" ht="54" customHeight="1">
      <x:c r="A74" s="4" t="n">
        <x:f>Strategy!$E$3+46</x:f>
        <x:v>46339.5</x:v>
      </x:c>
      <x:c r="B74" s="3" t="str"/>
      <x:c r="C74" s="3" t="str">
        <x:v>Complete prescribed pace in control. 20 min tempo @ 4:50-5:00.</x:v>
      </x:c>
      <x:c r="D74" s="3" t="str">
        <x:v>Quality run (Fri)</x:v>
      </x:c>
      <x:c r="E74" s="3" t="n">
        <x:v>60</x:v>
      </x:c>
      <x:c r="F74" s="11"/>
      <x:c r="G74" s="11" t="str">
        <x:v>planned</x:v>
      </x:c>
      <x:c r="H74" s="11"/>
      <x:c r="I74" s="11"/>
      <x:c r="J74" s="11"/>
      <x:c r="K74" s="11"/>
      <x:c r="L74" s="11"/>
      <x:c r="M74" s="3" t="str">
        <x:v>hybrid-w07-7</x:v>
      </x:c>
      <x:c r="N74" s="3" t="str">
        <x:v>running</x:v>
      </x:c>
      <x:c r="O74" s="3"/>
    </x:row>
    <x:row r="75" ht="54" customHeight="1">
      <x:c r="A75" s="4" t="n">
        <x:f>Strategy!$E$3+46</x:f>
        <x:v>46339.5</x:v>
      </x:c>
      <x:c r="B75" s="3" t="str"/>
      <x:c r="C75" s="3" t="str">
        <x:v>Optional; follow coach and reduce run intensity if needed</x:v>
      </x:c>
      <x:c r="D75" s="3" t="str">
        <x:v>Guided swim (Fri PM) · optional</x:v>
      </x:c>
      <x:c r="E75" s="3" t="n">
        <x:v>60</x:v>
      </x:c>
      <x:c r="F75" s="11"/>
      <x:c r="G75" s="11" t="str">
        <x:v>planned</x:v>
      </x:c>
      <x:c r="H75" s="11"/>
      <x:c r="I75" s="11"/>
      <x:c r="J75" s="11"/>
      <x:c r="K75" s="11"/>
      <x:c r="L75" s="11" t="str">
        <x:v>Optional session; omit if not selected.</x:v>
      </x:c>
      <x:c r="M75" s="3" t="str">
        <x:v>hybrid-w07-8</x:v>
      </x:c>
      <x:c r="N75" s="3" t="str">
        <x:v>swimming</x:v>
      </x:c>
      <x:c r="O75" s="3"/>
    </x:row>
    <x:row r="76" ht="54" customHeight="1">
      <x:c r="A76" s="4" t="n">
        <x:f>Strategy!$E$3+47</x:f>
        <x:v>46340.5</x:v>
      </x:c>
      <x:c r="B76" s="3" t="str"/>
      <x:c r="C76" s="3" t="str">
        <x:v>Follow coached session</x:v>
      </x:c>
      <x:c r="D76" s="3" t="str">
        <x:v>Guided swim (Sat AM)</x:v>
      </x:c>
      <x:c r="E76" s="3" t="n">
        <x:v>60</x:v>
      </x:c>
      <x:c r="F76" s="11"/>
      <x:c r="G76" s="11" t="str">
        <x:v>planned</x:v>
      </x:c>
      <x:c r="H76" s="11"/>
      <x:c r="I76" s="11"/>
      <x:c r="J76" s="11"/>
      <x:c r="K76" s="11"/>
      <x:c r="L76" s="11"/>
      <x:c r="M76" s="3" t="str">
        <x:v>hybrid-w07-9</x:v>
      </x:c>
      <x:c r="N76" s="3" t="str">
        <x:v>swimming</x:v>
      </x:c>
      <x:c r="O76" s="3"/>
    </x:row>
    <x:row r="77" ht="54" customHeight="1">
      <x:c r="A77" s="4" t="n">
        <x:f>Strategy!$E$3+47</x:f>
        <x:v>46340.5</x:v>
      </x:c>
      <x:c r="B77" s="3" t="str">
        <x:v>Technique</x:v>
      </x:c>
      <x:c r="C77" s="3" t="str">
        <x:v>Easy technique, no fatigue</x:v>
      </x:c>
      <x:c r="D77" s="3" t="str">
        <x:v>Skill micro-session (Sat PM)</x:v>
      </x:c>
      <x:c r="E77" s="3" t="n">
        <x:v>20</x:v>
      </x:c>
      <x:c r="F77" s="11"/>
      <x:c r="G77" s="11" t="str">
        <x:v>planned</x:v>
      </x:c>
      <x:c r="H77" s="11"/>
      <x:c r="I77" s="11"/>
      <x:c r="J77" s="11"/>
      <x:c r="K77" s="11"/>
      <x:c r="L77" s="11"/>
      <x:c r="M77" s="3" t="str">
        <x:v>hybrid-w07-10</x:v>
      </x:c>
      <x:c r="N77" s="3" t="str">
        <x:v>training</x:v>
      </x:c>
      <x:c r="O77" s="3" t="str">
        <x:v>1</x:v>
      </x:c>
    </x:row>
    <x:row r="78" ht="54" customHeight="1">
      <x:c r="A78" s="4" t="n">
        <x:f>Strategy!$E$3+48</x:f>
        <x:v>46341.5</x:v>
      </x:c>
      <x:c r="B78" s="3" t="str"/>
      <x:c r="C78" s="3" t="str">
        <x:v>Easy aerobic durability. 60 min easy.</x:v>
      </x:c>
      <x:c r="D78" s="3" t="str">
        <x:v>Long easy run (Sun)</x:v>
      </x:c>
      <x:c r="E78" s="3" t="n">
        <x:v>60</x:v>
      </x:c>
      <x:c r="F78" s="11"/>
      <x:c r="G78" s="11" t="str">
        <x:v>planned</x:v>
      </x:c>
      <x:c r="H78" s="11"/>
      <x:c r="I78" s="11"/>
      <x:c r="J78" s="11"/>
      <x:c r="K78" s="11"/>
      <x:c r="L78" s="11"/>
      <x:c r="M78" s="3" t="str">
        <x:v>hybrid-w07-11</x:v>
      </x:c>
      <x:c r="N78" s="3" t="str">
        <x:v>running</x:v>
      </x:c>
      <x:c r="O78" s="3"/>
    </x:row>
    <x:row r="79" ht="54" customHeight="1">
      <x:c r="A79" s="4" t="n">
        <x:f>Strategy!$E$3+49</x:f>
        <x:v>46342.5</x:v>
      </x:c>
      <x:c r="B79" s="3" t="str">
        <x:v>A</x:v>
      </x:c>
      <x:c r="C79" s="3" t="str">
        <x:v>10 min skill A + 3 circuit rounds</x:v>
      </x:c>
      <x:c r="D79" s="3" t="str">
        <x:v>Skill A + interval circuit (Mon)</x:v>
      </x:c>
      <x:c r="E79" s="3" t="n">
        <x:v>33</x:v>
      </x:c>
      <x:c r="F79" s="11"/>
      <x:c r="G79" s="11" t="str">
        <x:v>planned</x:v>
      </x:c>
      <x:c r="H79" s="11"/>
      <x:c r="I79" s="11"/>
      <x:c r="J79" s="11"/>
      <x:c r="K79" s="11"/>
      <x:c r="L79" s="11"/>
      <x:c r="M79" s="3" t="str">
        <x:v>hybrid-w08-1</x:v>
      </x:c>
      <x:c r="N79" s="3" t="str">
        <x:v>training</x:v>
      </x:c>
      <x:c r="O79" s="3" t="str">
        <x:v>1</x:v>
      </x:c>
    </x:row>
    <x:row r="80" ht="54" customHeight="1">
      <x:c r="A80" s="4" t="n">
        <x:f>Strategy!$E$3+49</x:f>
        <x:v>46342.5</x:v>
      </x:c>
      <x:c r="B80" s="3" t="str"/>
      <x:c r="C80" s="3" t="str">
        <x:v>Follow coached session</x:v>
      </x:c>
      <x:c r="D80" s="3" t="str">
        <x:v>Guided swim (Mon PM)</x:v>
      </x:c>
      <x:c r="E80" s="3" t="n">
        <x:v>60</x:v>
      </x:c>
      <x:c r="F80" s="11"/>
      <x:c r="G80" s="11" t="str">
        <x:v>planned</x:v>
      </x:c>
      <x:c r="H80" s="11"/>
      <x:c r="I80" s="11"/>
      <x:c r="J80" s="11"/>
      <x:c r="K80" s="11"/>
      <x:c r="L80" s="11"/>
      <x:c r="M80" s="3" t="str">
        <x:v>hybrid-w08-2</x:v>
      </x:c>
      <x:c r="N80" s="3" t="str">
        <x:v>swimming</x:v>
      </x:c>
      <x:c r="O80" s="3"/>
    </x:row>
    <x:row r="81" ht="54" customHeight="1">
      <x:c r="A81" s="4" t="n">
        <x:f>Strategy!$E$3+50</x:f>
        <x:v>46343.5</x:v>
      </x:c>
      <x:c r="B81" s="3" t="str">
        <x:v>Technique</x:v>
      </x:c>
      <x:c r="C81" s="3" t="str">
        <x:v>5 min handstand + easy run; 30 min run; conversational effort. 30 min easy.</x:v>
      </x:c>
      <x:c r="D81" s="3" t="str">
        <x:v>Easy run + handstand (Tue)</x:v>
      </x:c>
      <x:c r="E81" s="3" t="n">
        <x:v>35</x:v>
      </x:c>
      <x:c r="F81" s="11"/>
      <x:c r="G81" s="11" t="str">
        <x:v>planned</x:v>
      </x:c>
      <x:c r="H81" s="11"/>
      <x:c r="I81" s="11"/>
      <x:c r="J81" s="11"/>
      <x:c r="K81" s="11"/>
      <x:c r="L81" s="11"/>
      <x:c r="M81" s="3" t="str">
        <x:v>hybrid-w08-3</x:v>
      </x:c>
      <x:c r="N81" s="3" t="str">
        <x:v>running</x:v>
      </x:c>
      <x:c r="O81" s="3" t="str">
        <x:v>1</x:v>
      </x:c>
    </x:row>
    <x:row r="82" ht="54" customHeight="1">
      <x:c r="A82" s="4" t="n">
        <x:f>Strategy!$E$3+50</x:f>
        <x:v>46343.5</x:v>
      </x:c>
      <x:c r="B82" s="3" t="str"/>
      <x:c r="C82" s="3" t="str">
        <x:v>Follow coached session</x:v>
      </x:c>
      <x:c r="D82" s="3" t="str">
        <x:v>Guided swim (Tue PM)</x:v>
      </x:c>
      <x:c r="E82" s="3" t="n">
        <x:v>60</x:v>
      </x:c>
      <x:c r="F82" s="11"/>
      <x:c r="G82" s="11" t="str">
        <x:v>planned</x:v>
      </x:c>
      <x:c r="H82" s="11"/>
      <x:c r="I82" s="11"/>
      <x:c r="J82" s="11"/>
      <x:c r="K82" s="11"/>
      <x:c r="L82" s="11"/>
      <x:c r="M82" s="3" t="str">
        <x:v>hybrid-w08-4</x:v>
      </x:c>
      <x:c r="N82" s="3" t="str">
        <x:v>swimming</x:v>
      </x:c>
      <x:c r="O82" s="3"/>
    </x:row>
    <x:row r="83" ht="54" customHeight="1">
      <x:c r="A83" s="4" t="n">
        <x:f>Strategy!$E$3+51</x:f>
        <x:v>46344.5</x:v>
      </x:c>
      <x:c r="B83" s="3" t="str"/>
      <x:c r="C83" s="3" t="str">
        <x:v>Recover and restore range</x:v>
      </x:c>
      <x:c r="D83" s="3" t="str">
        <x:v>Rest / mobility (Wed)</x:v>
      </x:c>
      <x:c r="E83" s="3" t="n">
        <x:v>25</x:v>
      </x:c>
      <x:c r="F83" s="11"/>
      <x:c r="G83" s="11" t="str">
        <x:v>planned</x:v>
      </x:c>
      <x:c r="H83" s="11"/>
      <x:c r="I83" s="11"/>
      <x:c r="J83" s="11"/>
      <x:c r="K83" s="11"/>
      <x:c r="L83" s="11"/>
      <x:c r="M83" s="3" t="str">
        <x:v>hybrid-w08-5</x:v>
      </x:c>
      <x:c r="N83" s="3" t="str">
        <x:v>training</x:v>
      </x:c>
      <x:c r="O83" s="3"/>
    </x:row>
    <x:row r="84" ht="54" customHeight="1">
      <x:c r="A84" s="4" t="n">
        <x:f>Strategy!$E$3+52</x:f>
        <x:v>46345.5</x:v>
      </x:c>
      <x:c r="B84" s="3" t="str">
        <x:v>B</x:v>
      </x:c>
      <x:c r="C84" s="3" t="str">
        <x:v>10 min skills + 3 rounds</x:v>
      </x:c>
      <x:c r="D84" s="3" t="str">
        <x:v>Skill B + interval circuit (Thu)</x:v>
      </x:c>
      <x:c r="E84" s="3" t="n">
        <x:v>33</x:v>
      </x:c>
      <x:c r="F84" s="11"/>
      <x:c r="G84" s="11" t="str">
        <x:v>planned</x:v>
      </x:c>
      <x:c r="H84" s="11"/>
      <x:c r="I84" s="11"/>
      <x:c r="J84" s="11"/>
      <x:c r="K84" s="11"/>
      <x:c r="L84" s="11"/>
      <x:c r="M84" s="3" t="str">
        <x:v>hybrid-w08-6</x:v>
      </x:c>
      <x:c r="N84" s="3" t="str">
        <x:v>training</x:v>
      </x:c>
      <x:c r="O84" s="3" t="str">
        <x:v>1</x:v>
      </x:c>
    </x:row>
    <x:row r="85" ht="54" customHeight="1">
      <x:c r="A85" s="4" t="n">
        <x:f>Strategy!$E$3+53</x:f>
        <x:v>46346.5</x:v>
      </x:c>
      <x:c r="B85" s="3" t="str"/>
      <x:c r="C85" s="3" t="str">
        <x:v>Complete prescribed pace in control. 8 x 20 sec relaxed strides.</x:v>
      </x:c>
      <x:c r="D85" s="3" t="str">
        <x:v>Quality run (Fri)</x:v>
      </x:c>
      <x:c r="E85" s="3" t="n">
        <x:v>35</x:v>
      </x:c>
      <x:c r="F85" s="11"/>
      <x:c r="G85" s="11" t="str">
        <x:v>planned</x:v>
      </x:c>
      <x:c r="H85" s="11"/>
      <x:c r="I85" s="11"/>
      <x:c r="J85" s="11"/>
      <x:c r="K85" s="11"/>
      <x:c r="L85" s="11"/>
      <x:c r="M85" s="3" t="str">
        <x:v>hybrid-w08-7</x:v>
      </x:c>
      <x:c r="N85" s="3" t="str">
        <x:v>running</x:v>
      </x:c>
      <x:c r="O85" s="3"/>
    </x:row>
    <x:row r="86" ht="54" customHeight="1">
      <x:c r="A86" s="4" t="n">
        <x:f>Strategy!$E$3+53</x:f>
        <x:v>46346.5</x:v>
      </x:c>
      <x:c r="B86" s="3" t="str"/>
      <x:c r="C86" s="3" t="str">
        <x:v>Optional guided swim or rest</x:v>
      </x:c>
      <x:c r="D86" s="3" t="str">
        <x:v>Optional guided swim (Fri PM) · optional</x:v>
      </x:c>
      <x:c r="E86" s="3" t="n">
        <x:v>60</x:v>
      </x:c>
      <x:c r="F86" s="11"/>
      <x:c r="G86" s="11" t="str">
        <x:v>planned</x:v>
      </x:c>
      <x:c r="H86" s="11"/>
      <x:c r="I86" s="11"/>
      <x:c r="J86" s="11"/>
      <x:c r="K86" s="11"/>
      <x:c r="L86" s="11" t="str">
        <x:v>Optional session; omit if not selected.</x:v>
      </x:c>
      <x:c r="M86" s="3" t="str">
        <x:v>hybrid-w08-8</x:v>
      </x:c>
      <x:c r="N86" s="3" t="str">
        <x:v>swimming</x:v>
      </x:c>
      <x:c r="O86" s="3"/>
    </x:row>
    <x:row r="87" ht="54" customHeight="1">
      <x:c r="A87" s="4" t="n">
        <x:f>Strategy!$E$3+54</x:f>
        <x:v>46347.5</x:v>
      </x:c>
      <x:c r="B87" s="3" t="str"/>
      <x:c r="C87" s="3" t="str">
        <x:v>Follow coached session</x:v>
      </x:c>
      <x:c r="D87" s="3" t="str">
        <x:v>Guided swim (Sat AM)</x:v>
      </x:c>
      <x:c r="E87" s="3" t="n">
        <x:v>60</x:v>
      </x:c>
      <x:c r="F87" s="11"/>
      <x:c r="G87" s="11" t="str">
        <x:v>planned</x:v>
      </x:c>
      <x:c r="H87" s="11"/>
      <x:c r="I87" s="11"/>
      <x:c r="J87" s="11"/>
      <x:c r="K87" s="11"/>
      <x:c r="L87" s="11"/>
      <x:c r="M87" s="3" t="str">
        <x:v>hybrid-w08-9</x:v>
      </x:c>
      <x:c r="N87" s="3" t="str">
        <x:v>swimming</x:v>
      </x:c>
      <x:c r="O87" s="3"/>
    </x:row>
    <x:row r="88" ht="54" customHeight="1">
      <x:c r="A88" s="4" t="n">
        <x:f>Strategy!$E$3+54</x:f>
        <x:v>46347.5</x:v>
      </x:c>
      <x:c r="B88" s="3" t="str">
        <x:v>Technique</x:v>
      </x:c>
      <x:c r="C88" s="3" t="str">
        <x:v>Easy technique, no fatigue</x:v>
      </x:c>
      <x:c r="D88" s="3" t="str">
        <x:v>Skill micro-session (Sat PM)</x:v>
      </x:c>
      <x:c r="E88" s="3" t="n">
        <x:v>10</x:v>
      </x:c>
      <x:c r="F88" s="11"/>
      <x:c r="G88" s="11" t="str">
        <x:v>planned</x:v>
      </x:c>
      <x:c r="H88" s="11"/>
      <x:c r="I88" s="11"/>
      <x:c r="J88" s="11"/>
      <x:c r="K88" s="11"/>
      <x:c r="L88" s="11"/>
      <x:c r="M88" s="3" t="str">
        <x:v>hybrid-w08-10</x:v>
      </x:c>
      <x:c r="N88" s="3" t="str">
        <x:v>training</x:v>
      </x:c>
      <x:c r="O88" s="3" t="str">
        <x:v>1</x:v>
      </x:c>
    </x:row>
    <x:row r="89" ht="54" customHeight="1">
      <x:c r="A89" s="4" t="n">
        <x:f>Strategy!$E$3+55</x:f>
        <x:v>46348.5</x:v>
      </x:c>
      <x:c r="B89" s="3" t="str"/>
      <x:c r="C89" s="3" t="str">
        <x:v>Easy aerobic durability. 45 min easy.</x:v>
      </x:c>
      <x:c r="D89" s="3" t="str">
        <x:v>Long easy run (Sun)</x:v>
      </x:c>
      <x:c r="E89" s="3" t="n">
        <x:v>45</x:v>
      </x:c>
      <x:c r="F89" s="11"/>
      <x:c r="G89" s="11" t="str">
        <x:v>planned</x:v>
      </x:c>
      <x:c r="H89" s="11"/>
      <x:c r="I89" s="11"/>
      <x:c r="J89" s="11"/>
      <x:c r="K89" s="11"/>
      <x:c r="L89" s="11"/>
      <x:c r="M89" s="3" t="str">
        <x:v>hybrid-w08-11</x:v>
      </x:c>
      <x:c r="N89" s="3" t="str">
        <x:v>running</x:v>
      </x:c>
      <x:c r="O89" s="3"/>
    </x:row>
    <x:row r="90" ht="54" customHeight="1">
      <x:c r="A90" s="4" t="n">
        <x:f>Strategy!$E$3+56</x:f>
        <x:v>46349.5</x:v>
      </x:c>
      <x:c r="B90" s="3" t="str">
        <x:v>A</x:v>
      </x:c>
      <x:c r="C90" s="3" t="str">
        <x:v>35 min skill A + 5 circuit rounds</x:v>
      </x:c>
      <x:c r="D90" s="3" t="str">
        <x:v>Skill A + interval circuit (Mon)</x:v>
      </x:c>
      <x:c r="E90" s="3" t="n">
        <x:v>65</x:v>
      </x:c>
      <x:c r="F90" s="11"/>
      <x:c r="G90" s="11" t="str">
        <x:v>planned</x:v>
      </x:c>
      <x:c r="H90" s="11"/>
      <x:c r="I90" s="11"/>
      <x:c r="J90" s="11"/>
      <x:c r="K90" s="11"/>
      <x:c r="L90" s="11"/>
      <x:c r="M90" s="3" t="str">
        <x:v>hybrid-w09-1</x:v>
      </x:c>
      <x:c r="N90" s="3" t="str">
        <x:v>training</x:v>
      </x:c>
      <x:c r="O90" s="3" t="str">
        <x:v>1</x:v>
      </x:c>
    </x:row>
    <x:row r="91" ht="54" customHeight="1">
      <x:c r="A91" s="4" t="n">
        <x:f>Strategy!$E$3+56</x:f>
        <x:v>46349.5</x:v>
      </x:c>
      <x:c r="B91" s="3" t="str"/>
      <x:c r="C91" s="3" t="str">
        <x:v>Follow coached session</x:v>
      </x:c>
      <x:c r="D91" s="3" t="str">
        <x:v>Guided swim (Mon PM)</x:v>
      </x:c>
      <x:c r="E91" s="3" t="n">
        <x:v>60</x:v>
      </x:c>
      <x:c r="F91" s="11"/>
      <x:c r="G91" s="11" t="str">
        <x:v>planned</x:v>
      </x:c>
      <x:c r="H91" s="11"/>
      <x:c r="I91" s="11"/>
      <x:c r="J91" s="11"/>
      <x:c r="K91" s="11"/>
      <x:c r="L91" s="11"/>
      <x:c r="M91" s="3" t="str">
        <x:v>hybrid-w09-2</x:v>
      </x:c>
      <x:c r="N91" s="3" t="str">
        <x:v>swimming</x:v>
      </x:c>
      <x:c r="O91" s="3"/>
    </x:row>
    <x:row r="92" ht="54" customHeight="1">
      <x:c r="A92" s="4" t="n">
        <x:f>Strategy!$E$3+57</x:f>
        <x:v>46350.5</x:v>
      </x:c>
      <x:c r="B92" s="3" t="str">
        <x:v>Technique</x:v>
      </x:c>
      <x:c r="C92" s="3" t="str">
        <x:v>10 min handstand + easy run; 60 min run; conversational effort. 60 min easy.</x:v>
      </x:c>
      <x:c r="D92" s="3" t="str">
        <x:v>Easy run + handstand (Tue)</x:v>
      </x:c>
      <x:c r="E92" s="3" t="n">
        <x:v>70</x:v>
      </x:c>
      <x:c r="F92" s="11"/>
      <x:c r="G92" s="11" t="str">
        <x:v>planned</x:v>
      </x:c>
      <x:c r="H92" s="11"/>
      <x:c r="I92" s="11"/>
      <x:c r="J92" s="11"/>
      <x:c r="K92" s="11"/>
      <x:c r="L92" s="11"/>
      <x:c r="M92" s="3" t="str">
        <x:v>hybrid-w09-3</x:v>
      </x:c>
      <x:c r="N92" s="3" t="str">
        <x:v>running</x:v>
      </x:c>
      <x:c r="O92" s="3" t="str">
        <x:v>1</x:v>
      </x:c>
    </x:row>
    <x:row r="93" ht="54" customHeight="1">
      <x:c r="A93" s="4" t="n">
        <x:f>Strategy!$E$3+57</x:f>
        <x:v>46350.5</x:v>
      </x:c>
      <x:c r="B93" s="3" t="str"/>
      <x:c r="C93" s="3" t="str">
        <x:v>Follow coached session</x:v>
      </x:c>
      <x:c r="D93" s="3" t="str">
        <x:v>Guided swim (Tue PM)</x:v>
      </x:c>
      <x:c r="E93" s="3" t="n">
        <x:v>60</x:v>
      </x:c>
      <x:c r="F93" s="11"/>
      <x:c r="G93" s="11" t="str">
        <x:v>planned</x:v>
      </x:c>
      <x:c r="H93" s="11"/>
      <x:c r="I93" s="11"/>
      <x:c r="J93" s="11"/>
      <x:c r="K93" s="11"/>
      <x:c r="L93" s="11"/>
      <x:c r="M93" s="3" t="str">
        <x:v>hybrid-w09-4</x:v>
      </x:c>
      <x:c r="N93" s="3" t="str">
        <x:v>swimming</x:v>
      </x:c>
      <x:c r="O93" s="3"/>
    </x:row>
    <x:row r="94" ht="54" customHeight="1">
      <x:c r="A94" s="4" t="n">
        <x:f>Strategy!$E$3+58</x:f>
        <x:v>46351.5</x:v>
      </x:c>
      <x:c r="B94" s="3" t="str"/>
      <x:c r="C94" s="3" t="str">
        <x:v>Recover and restore range</x:v>
      </x:c>
      <x:c r="D94" s="3" t="str">
        <x:v>Rest / mobility (Wed)</x:v>
      </x:c>
      <x:c r="E94" s="3" t="n">
        <x:v>25</x:v>
      </x:c>
      <x:c r="F94" s="11"/>
      <x:c r="G94" s="11" t="str">
        <x:v>planned</x:v>
      </x:c>
      <x:c r="H94" s="11"/>
      <x:c r="I94" s="11"/>
      <x:c r="J94" s="11"/>
      <x:c r="K94" s="11"/>
      <x:c r="L94" s="11"/>
      <x:c r="M94" s="3" t="str">
        <x:v>hybrid-w09-5</x:v>
      </x:c>
      <x:c r="N94" s="3" t="str">
        <x:v>training</x:v>
      </x:c>
      <x:c r="O94" s="3"/>
    </x:row>
    <x:row r="95" ht="54" customHeight="1">
      <x:c r="A95" s="4" t="n">
        <x:f>Strategy!$E$3+59</x:f>
        <x:v>46352.5</x:v>
      </x:c>
      <x:c r="B95" s="3" t="str">
        <x:v>B</x:v>
      </x:c>
      <x:c r="C95" s="3" t="str">
        <x:v>35 min skills + 5 rounds + 60 min easy bike</x:v>
      </x:c>
      <x:c r="D95" s="3" t="str">
        <x:v>Skill B + circuit + easy bike (Thu)</x:v>
      </x:c>
      <x:c r="E95" s="3" t="n">
        <x:v>125</x:v>
      </x:c>
      <x:c r="F95" s="11"/>
      <x:c r="G95" s="11" t="str">
        <x:v>planned</x:v>
      </x:c>
      <x:c r="H95" s="11"/>
      <x:c r="I95" s="11"/>
      <x:c r="J95" s="11"/>
      <x:c r="K95" s="11"/>
      <x:c r="L95" s="11"/>
      <x:c r="M95" s="3" t="str">
        <x:v>hybrid-w09-6</x:v>
      </x:c>
      <x:c r="N95" s="3" t="str">
        <x:v>cycling</x:v>
      </x:c>
      <x:c r="O95" s="3" t="str">
        <x:v>1</x:v>
      </x:c>
    </x:row>
    <x:row r="96" ht="54" customHeight="1">
      <x:c r="A96" s="4" t="n">
        <x:f>Strategy!$E$3+60</x:f>
        <x:v>46353.5</x:v>
      </x:c>
      <x:c r="B96" s="3" t="str"/>
      <x:c r="C96" s="3" t="str">
        <x:v>Complete prescribed pace in control. 5 x 4 min @ 4:30-4:40 / 2 min easy.</x:v>
      </x:c>
      <x:c r="D96" s="3" t="str">
        <x:v>Quality run (Fri)</x:v>
      </x:c>
      <x:c r="E96" s="3" t="n">
        <x:v>60</x:v>
      </x:c>
      <x:c r="F96" s="11"/>
      <x:c r="G96" s="11" t="str">
        <x:v>planned</x:v>
      </x:c>
      <x:c r="H96" s="11"/>
      <x:c r="I96" s="11"/>
      <x:c r="J96" s="11"/>
      <x:c r="K96" s="11"/>
      <x:c r="L96" s="11"/>
      <x:c r="M96" s="3" t="str">
        <x:v>hybrid-w09-7</x:v>
      </x:c>
      <x:c r="N96" s="3" t="str">
        <x:v>running</x:v>
      </x:c>
      <x:c r="O96" s="3"/>
    </x:row>
    <x:row r="97" ht="54" customHeight="1">
      <x:c r="A97" s="4" t="n">
        <x:f>Strategy!$E$3+60</x:f>
        <x:v>46353.5</x:v>
      </x:c>
      <x:c r="B97" s="3" t="str"/>
      <x:c r="C97" s="3" t="str">
        <x:v>Optional; follow coach and reduce run intensity if needed</x:v>
      </x:c>
      <x:c r="D97" s="3" t="str">
        <x:v>Guided swim (Fri PM) · optional</x:v>
      </x:c>
      <x:c r="E97" s="3" t="n">
        <x:v>60</x:v>
      </x:c>
      <x:c r="F97" s="11"/>
      <x:c r="G97" s="11" t="str">
        <x:v>planned</x:v>
      </x:c>
      <x:c r="H97" s="11"/>
      <x:c r="I97" s="11"/>
      <x:c r="J97" s="11"/>
      <x:c r="K97" s="11"/>
      <x:c r="L97" s="11" t="str">
        <x:v>Optional session; omit if not selected.</x:v>
      </x:c>
      <x:c r="M97" s="3" t="str">
        <x:v>hybrid-w09-8</x:v>
      </x:c>
      <x:c r="N97" s="3" t="str">
        <x:v>swimming</x:v>
      </x:c>
      <x:c r="O97" s="3"/>
    </x:row>
    <x:row r="98" ht="54" customHeight="1">
      <x:c r="A98" s="4" t="n">
        <x:f>Strategy!$E$3+61</x:f>
        <x:v>46354.5</x:v>
      </x:c>
      <x:c r="B98" s="3" t="str"/>
      <x:c r="C98" s="3" t="str">
        <x:v>Follow coached session</x:v>
      </x:c>
      <x:c r="D98" s="3" t="str">
        <x:v>Guided swim (Sat AM)</x:v>
      </x:c>
      <x:c r="E98" s="3" t="n">
        <x:v>60</x:v>
      </x:c>
      <x:c r="F98" s="11"/>
      <x:c r="G98" s="11" t="str">
        <x:v>planned</x:v>
      </x:c>
      <x:c r="H98" s="11"/>
      <x:c r="I98" s="11"/>
      <x:c r="J98" s="11"/>
      <x:c r="K98" s="11"/>
      <x:c r="L98" s="11"/>
      <x:c r="M98" s="3" t="str">
        <x:v>hybrid-w09-9</x:v>
      </x:c>
      <x:c r="N98" s="3" t="str">
        <x:v>swimming</x:v>
      </x:c>
      <x:c r="O98" s="3"/>
    </x:row>
    <x:row r="99" ht="54" customHeight="1">
      <x:c r="A99" s="4" t="n">
        <x:f>Strategy!$E$3+61</x:f>
        <x:v>46354.5</x:v>
      </x:c>
      <x:c r="B99" s="3" t="str">
        <x:v>Technique</x:v>
      </x:c>
      <x:c r="C99" s="3" t="str">
        <x:v>Easy technique, no fatigue</x:v>
      </x:c>
      <x:c r="D99" s="3" t="str">
        <x:v>Skill micro-session (Sat PM)</x:v>
      </x:c>
      <x:c r="E99" s="3" t="n">
        <x:v>20</x:v>
      </x:c>
      <x:c r="F99" s="11"/>
      <x:c r="G99" s="11" t="str">
        <x:v>planned</x:v>
      </x:c>
      <x:c r="H99" s="11"/>
      <x:c r="I99" s="11"/>
      <x:c r="J99" s="11"/>
      <x:c r="K99" s="11"/>
      <x:c r="L99" s="11"/>
      <x:c r="M99" s="3" t="str">
        <x:v>hybrid-w09-10</x:v>
      </x:c>
      <x:c r="N99" s="3" t="str">
        <x:v>training</x:v>
      </x:c>
      <x:c r="O99" s="3" t="str">
        <x:v>1</x:v>
      </x:c>
    </x:row>
    <x:row r="100" ht="54" customHeight="1">
      <x:c r="A100" s="4" t="n">
        <x:f>Strategy!$E$3+62</x:f>
        <x:v>46355.5</x:v>
      </x:c>
      <x:c r="B100" s="3" t="str"/>
      <x:c r="C100" s="3" t="str">
        <x:v>Easy aerobic durability. 60 min easy.</x:v>
      </x:c>
      <x:c r="D100" s="3" t="str">
        <x:v>Long easy run (Sun)</x:v>
      </x:c>
      <x:c r="E100" s="3" t="n">
        <x:v>60</x:v>
      </x:c>
      <x:c r="F100" s="11"/>
      <x:c r="G100" s="11" t="str">
        <x:v>planned</x:v>
      </x:c>
      <x:c r="H100" s="11"/>
      <x:c r="I100" s="11"/>
      <x:c r="J100" s="11"/>
      <x:c r="K100" s="11"/>
      <x:c r="L100" s="11"/>
      <x:c r="M100" s="3" t="str">
        <x:v>hybrid-w09-11</x:v>
      </x:c>
      <x:c r="N100" s="3" t="str">
        <x:v>running</x:v>
      </x:c>
      <x:c r="O100" s="3"/>
    </x:row>
    <x:row r="101" ht="54" customHeight="1">
      <x:c r="A101" s="4" t="n">
        <x:f>Strategy!$E$3+63</x:f>
        <x:v>46356.5</x:v>
      </x:c>
      <x:c r="B101" s="3" t="str">
        <x:v>A</x:v>
      </x:c>
      <x:c r="C101" s="3" t="str">
        <x:v>35 min skill A + 5 circuit rounds</x:v>
      </x:c>
      <x:c r="D101" s="3" t="str">
        <x:v>Skill A + interval circuit (Mon)</x:v>
      </x:c>
      <x:c r="E101" s="3" t="n">
        <x:v>65</x:v>
      </x:c>
      <x:c r="F101" s="11"/>
      <x:c r="G101" s="11" t="str">
        <x:v>planned</x:v>
      </x:c>
      <x:c r="H101" s="11"/>
      <x:c r="I101" s="11"/>
      <x:c r="J101" s="11"/>
      <x:c r="K101" s="11"/>
      <x:c r="L101" s="11"/>
      <x:c r="M101" s="3" t="str">
        <x:v>hybrid-w10-1</x:v>
      </x:c>
      <x:c r="N101" s="3" t="str">
        <x:v>training</x:v>
      </x:c>
      <x:c r="O101" s="3" t="str">
        <x:v>1</x:v>
      </x:c>
    </x:row>
    <x:row r="102" ht="54" customHeight="1">
      <x:c r="A102" s="4" t="n">
        <x:f>Strategy!$E$3+63</x:f>
        <x:v>46356.5</x:v>
      </x:c>
      <x:c r="B102" s="3" t="str"/>
      <x:c r="C102" s="3" t="str">
        <x:v>Follow coached session</x:v>
      </x:c>
      <x:c r="D102" s="3" t="str">
        <x:v>Guided swim (Mon PM)</x:v>
      </x:c>
      <x:c r="E102" s="3" t="n">
        <x:v>60</x:v>
      </x:c>
      <x:c r="F102" s="11"/>
      <x:c r="G102" s="11" t="str">
        <x:v>planned</x:v>
      </x:c>
      <x:c r="H102" s="11"/>
      <x:c r="I102" s="11"/>
      <x:c r="J102" s="11"/>
      <x:c r="K102" s="11"/>
      <x:c r="L102" s="11"/>
      <x:c r="M102" s="3" t="str">
        <x:v>hybrid-w10-2</x:v>
      </x:c>
      <x:c r="N102" s="3" t="str">
        <x:v>swimming</x:v>
      </x:c>
      <x:c r="O102" s="3"/>
    </x:row>
    <x:row r="103" ht="54" customHeight="1">
      <x:c r="A103" s="4" t="n">
        <x:f>Strategy!$E$3+64</x:f>
        <x:v>46357.5</x:v>
      </x:c>
      <x:c r="B103" s="3" t="str">
        <x:v>Technique</x:v>
      </x:c>
      <x:c r="C103" s="3" t="str">
        <x:v>10 min handstand + easy run; 60 min run; conversational effort. 60 min easy.</x:v>
      </x:c>
      <x:c r="D103" s="3" t="str">
        <x:v>Easy run + handstand (Tue)</x:v>
      </x:c>
      <x:c r="E103" s="3" t="n">
        <x:v>70</x:v>
      </x:c>
      <x:c r="F103" s="11"/>
      <x:c r="G103" s="11" t="str">
        <x:v>planned</x:v>
      </x:c>
      <x:c r="H103" s="11"/>
      <x:c r="I103" s="11"/>
      <x:c r="J103" s="11"/>
      <x:c r="K103" s="11"/>
      <x:c r="L103" s="11"/>
      <x:c r="M103" s="3" t="str">
        <x:v>hybrid-w10-3</x:v>
      </x:c>
      <x:c r="N103" s="3" t="str">
        <x:v>running</x:v>
      </x:c>
      <x:c r="O103" s="3" t="str">
        <x:v>1</x:v>
      </x:c>
    </x:row>
    <x:row r="104" ht="54" customHeight="1">
      <x:c r="A104" s="4" t="n">
        <x:f>Strategy!$E$3+64</x:f>
        <x:v>46357.5</x:v>
      </x:c>
      <x:c r="B104" s="3" t="str"/>
      <x:c r="C104" s="3" t="str">
        <x:v>Follow coached session</x:v>
      </x:c>
      <x:c r="D104" s="3" t="str">
        <x:v>Guided swim (Tue PM)</x:v>
      </x:c>
      <x:c r="E104" s="3" t="n">
        <x:v>60</x:v>
      </x:c>
      <x:c r="F104" s="11"/>
      <x:c r="G104" s="11" t="str">
        <x:v>planned</x:v>
      </x:c>
      <x:c r="H104" s="11"/>
      <x:c r="I104" s="11"/>
      <x:c r="J104" s="11"/>
      <x:c r="K104" s="11"/>
      <x:c r="L104" s="11"/>
      <x:c r="M104" s="3" t="str">
        <x:v>hybrid-w10-4</x:v>
      </x:c>
      <x:c r="N104" s="3" t="str">
        <x:v>swimming</x:v>
      </x:c>
      <x:c r="O104" s="3"/>
    </x:row>
    <x:row r="105" ht="54" customHeight="1">
      <x:c r="A105" s="4" t="n">
        <x:f>Strategy!$E$3+65</x:f>
        <x:v>46358.5</x:v>
      </x:c>
      <x:c r="B105" s="3" t="str"/>
      <x:c r="C105" s="3" t="str">
        <x:v>Recover and restore range</x:v>
      </x:c>
      <x:c r="D105" s="3" t="str">
        <x:v>Rest / mobility (Wed)</x:v>
      </x:c>
      <x:c r="E105" s="3" t="n">
        <x:v>25</x:v>
      </x:c>
      <x:c r="F105" s="11"/>
      <x:c r="G105" s="11" t="str">
        <x:v>planned</x:v>
      </x:c>
      <x:c r="H105" s="11"/>
      <x:c r="I105" s="11"/>
      <x:c r="J105" s="11"/>
      <x:c r="K105" s="11"/>
      <x:c r="L105" s="11"/>
      <x:c r="M105" s="3" t="str">
        <x:v>hybrid-w10-5</x:v>
      </x:c>
      <x:c r="N105" s="3" t="str">
        <x:v>training</x:v>
      </x:c>
      <x:c r="O105" s="3"/>
    </x:row>
    <x:row r="106" ht="54" customHeight="1">
      <x:c r="A106" s="4" t="n">
        <x:f>Strategy!$E$3+66</x:f>
        <x:v>46359.5</x:v>
      </x:c>
      <x:c r="B106" s="3" t="str">
        <x:v>B</x:v>
      </x:c>
      <x:c r="C106" s="3" t="str">
        <x:v>35 min skills + 5 rounds + 60 min easy bike</x:v>
      </x:c>
      <x:c r="D106" s="3" t="str">
        <x:v>Skill B + circuit + easy bike (Thu)</x:v>
      </x:c>
      <x:c r="E106" s="3" t="n">
        <x:v>125</x:v>
      </x:c>
      <x:c r="F106" s="11"/>
      <x:c r="G106" s="11" t="str">
        <x:v>planned</x:v>
      </x:c>
      <x:c r="H106" s="11"/>
      <x:c r="I106" s="11"/>
      <x:c r="J106" s="11"/>
      <x:c r="K106" s="11"/>
      <x:c r="L106" s="11"/>
      <x:c r="M106" s="3" t="str">
        <x:v>hybrid-w10-6</x:v>
      </x:c>
      <x:c r="N106" s="3" t="str">
        <x:v>cycling</x:v>
      </x:c>
      <x:c r="O106" s="3" t="str">
        <x:v>1</x:v>
      </x:c>
    </x:row>
    <x:row r="107" ht="54" customHeight="1">
      <x:c r="A107" s="4" t="n">
        <x:f>Strategy!$E$3+67</x:f>
        <x:v>46360.5</x:v>
      </x:c>
      <x:c r="B107" s="3" t="str"/>
      <x:c r="C107" s="3" t="str">
        <x:v>Complete prescribed pace in control. 2 x 12 min @ 4:45-4:55 / 4 min easy.</x:v>
      </x:c>
      <x:c r="D107" s="3" t="str">
        <x:v>Quality run (Fri)</x:v>
      </x:c>
      <x:c r="E107" s="3" t="n">
        <x:v>60</x:v>
      </x:c>
      <x:c r="F107" s="11"/>
      <x:c r="G107" s="11" t="str">
        <x:v>planned</x:v>
      </x:c>
      <x:c r="H107" s="11"/>
      <x:c r="I107" s="11"/>
      <x:c r="J107" s="11"/>
      <x:c r="K107" s="11"/>
      <x:c r="L107" s="11"/>
      <x:c r="M107" s="3" t="str">
        <x:v>hybrid-w10-7</x:v>
      </x:c>
      <x:c r="N107" s="3" t="str">
        <x:v>running</x:v>
      </x:c>
      <x:c r="O107" s="3"/>
    </x:row>
    <x:row r="108" ht="54" customHeight="1">
      <x:c r="A108" s="4" t="n">
        <x:f>Strategy!$E$3+67</x:f>
        <x:v>46360.5</x:v>
      </x:c>
      <x:c r="B108" s="3" t="str"/>
      <x:c r="C108" s="3" t="str">
        <x:v>Optional; follow coach and reduce run intensity if needed</x:v>
      </x:c>
      <x:c r="D108" s="3" t="str">
        <x:v>Guided swim (Fri PM) · optional</x:v>
      </x:c>
      <x:c r="E108" s="3" t="n">
        <x:v>60</x:v>
      </x:c>
      <x:c r="F108" s="11"/>
      <x:c r="G108" s="11" t="str">
        <x:v>planned</x:v>
      </x:c>
      <x:c r="H108" s="11"/>
      <x:c r="I108" s="11"/>
      <x:c r="J108" s="11"/>
      <x:c r="K108" s="11"/>
      <x:c r="L108" s="11" t="str">
        <x:v>Optional session; omit if not selected.</x:v>
      </x:c>
      <x:c r="M108" s="3" t="str">
        <x:v>hybrid-w10-8</x:v>
      </x:c>
      <x:c r="N108" s="3" t="str">
        <x:v>swimming</x:v>
      </x:c>
      <x:c r="O108" s="3"/>
    </x:row>
    <x:row r="109" ht="54" customHeight="1">
      <x:c r="A109" s="4" t="n">
        <x:f>Strategy!$E$3+68</x:f>
        <x:v>46361.5</x:v>
      </x:c>
      <x:c r="B109" s="3" t="str"/>
      <x:c r="C109" s="3" t="str">
        <x:v>Follow coached session</x:v>
      </x:c>
      <x:c r="D109" s="3" t="str">
        <x:v>Guided swim (Sat AM)</x:v>
      </x:c>
      <x:c r="E109" s="3" t="n">
        <x:v>60</x:v>
      </x:c>
      <x:c r="F109" s="11"/>
      <x:c r="G109" s="11" t="str">
        <x:v>planned</x:v>
      </x:c>
      <x:c r="H109" s="11"/>
      <x:c r="I109" s="11"/>
      <x:c r="J109" s="11"/>
      <x:c r="K109" s="11"/>
      <x:c r="L109" s="11"/>
      <x:c r="M109" s="3" t="str">
        <x:v>hybrid-w10-9</x:v>
      </x:c>
      <x:c r="N109" s="3" t="str">
        <x:v>swimming</x:v>
      </x:c>
      <x:c r="O109" s="3"/>
    </x:row>
    <x:row r="110" ht="54" customHeight="1">
      <x:c r="A110" s="4" t="n">
        <x:f>Strategy!$E$3+68</x:f>
        <x:v>46361.5</x:v>
      </x:c>
      <x:c r="B110" s="3" t="str">
        <x:v>Technique</x:v>
      </x:c>
      <x:c r="C110" s="3" t="str">
        <x:v>Easy technique, no fatigue</x:v>
      </x:c>
      <x:c r="D110" s="3" t="str">
        <x:v>Skill micro-session (Sat PM)</x:v>
      </x:c>
      <x:c r="E110" s="3" t="n">
        <x:v>20</x:v>
      </x:c>
      <x:c r="F110" s="11"/>
      <x:c r="G110" s="11" t="str">
        <x:v>planned</x:v>
      </x:c>
      <x:c r="H110" s="11"/>
      <x:c r="I110" s="11"/>
      <x:c r="J110" s="11"/>
      <x:c r="K110" s="11"/>
      <x:c r="L110" s="11"/>
      <x:c r="M110" s="3" t="str">
        <x:v>hybrid-w10-10</x:v>
      </x:c>
      <x:c r="N110" s="3" t="str">
        <x:v>training</x:v>
      </x:c>
      <x:c r="O110" s="3" t="str">
        <x:v>1</x:v>
      </x:c>
    </x:row>
    <x:row r="111" ht="54" customHeight="1">
      <x:c r="A111" s="4" t="n">
        <x:f>Strategy!$E$3+69</x:f>
        <x:v>46362.5</x:v>
      </x:c>
      <x:c r="B111" s="3" t="str"/>
      <x:c r="C111" s="3" t="str">
        <x:v>Easy aerobic durability. 60 min easy.</x:v>
      </x:c>
      <x:c r="D111" s="3" t="str">
        <x:v>Long easy run (Sun)</x:v>
      </x:c>
      <x:c r="E111" s="3" t="n">
        <x:v>60</x:v>
      </x:c>
      <x:c r="F111" s="11"/>
      <x:c r="G111" s="11" t="str">
        <x:v>planned</x:v>
      </x:c>
      <x:c r="H111" s="11"/>
      <x:c r="I111" s="11"/>
      <x:c r="J111" s="11"/>
      <x:c r="K111" s="11"/>
      <x:c r="L111" s="11"/>
      <x:c r="M111" s="3" t="str">
        <x:v>hybrid-w10-11</x:v>
      </x:c>
      <x:c r="N111" s="3" t="str">
        <x:v>running</x:v>
      </x:c>
      <x:c r="O111" s="3"/>
    </x:row>
    <x:row r="112" ht="54" customHeight="1">
      <x:c r="A112" s="4" t="n">
        <x:f>Strategy!$E$3+70</x:f>
        <x:v>46363.5</x:v>
      </x:c>
      <x:c r="B112" s="3" t="str">
        <x:v>A</x:v>
      </x:c>
      <x:c r="C112" s="3" t="str">
        <x:v>35 min skill A + 5 circuit rounds</x:v>
      </x:c>
      <x:c r="D112" s="3" t="str">
        <x:v>Skill A + interval circuit (Mon)</x:v>
      </x:c>
      <x:c r="E112" s="3" t="n">
        <x:v>65</x:v>
      </x:c>
      <x:c r="F112" s="11"/>
      <x:c r="G112" s="11" t="str">
        <x:v>planned</x:v>
      </x:c>
      <x:c r="H112" s="11"/>
      <x:c r="I112" s="11"/>
      <x:c r="J112" s="11"/>
      <x:c r="K112" s="11"/>
      <x:c r="L112" s="11"/>
      <x:c r="M112" s="3" t="str">
        <x:v>hybrid-w11-1</x:v>
      </x:c>
      <x:c r="N112" s="3" t="str">
        <x:v>training</x:v>
      </x:c>
      <x:c r="O112" s="3" t="str">
        <x:v>1</x:v>
      </x:c>
    </x:row>
    <x:row r="113" ht="54" customHeight="1">
      <x:c r="A113" s="4" t="n">
        <x:f>Strategy!$E$3+70</x:f>
        <x:v>46363.5</x:v>
      </x:c>
      <x:c r="B113" s="3" t="str"/>
      <x:c r="C113" s="3" t="str">
        <x:v>Follow coached session</x:v>
      </x:c>
      <x:c r="D113" s="3" t="str">
        <x:v>Guided swim (Mon PM)</x:v>
      </x:c>
      <x:c r="E113" s="3" t="n">
        <x:v>60</x:v>
      </x:c>
      <x:c r="F113" s="11"/>
      <x:c r="G113" s="11" t="str">
        <x:v>planned</x:v>
      </x:c>
      <x:c r="H113" s="11"/>
      <x:c r="I113" s="11"/>
      <x:c r="J113" s="11"/>
      <x:c r="K113" s="11"/>
      <x:c r="L113" s="11"/>
      <x:c r="M113" s="3" t="str">
        <x:v>hybrid-w11-2</x:v>
      </x:c>
      <x:c r="N113" s="3" t="str">
        <x:v>swimming</x:v>
      </x:c>
      <x:c r="O113" s="3"/>
    </x:row>
    <x:row r="114" ht="54" customHeight="1">
      <x:c r="A114" s="4" t="n">
        <x:f>Strategy!$E$3+71</x:f>
        <x:v>46364.5</x:v>
      </x:c>
      <x:c r="B114" s="3" t="str">
        <x:v>Technique</x:v>
      </x:c>
      <x:c r="C114" s="3" t="str">
        <x:v>10 min handstand + easy run; 60 min run; conversational effort. 60 min easy.</x:v>
      </x:c>
      <x:c r="D114" s="3" t="str">
        <x:v>Easy run + handstand (Tue)</x:v>
      </x:c>
      <x:c r="E114" s="3" t="n">
        <x:v>70</x:v>
      </x:c>
      <x:c r="F114" s="11"/>
      <x:c r="G114" s="11" t="str">
        <x:v>planned</x:v>
      </x:c>
      <x:c r="H114" s="11"/>
      <x:c r="I114" s="11"/>
      <x:c r="J114" s="11"/>
      <x:c r="K114" s="11"/>
      <x:c r="L114" s="11"/>
      <x:c r="M114" s="3" t="str">
        <x:v>hybrid-w11-3</x:v>
      </x:c>
      <x:c r="N114" s="3" t="str">
        <x:v>running</x:v>
      </x:c>
      <x:c r="O114" s="3" t="str">
        <x:v>1</x:v>
      </x:c>
    </x:row>
    <x:row r="115" ht="54" customHeight="1">
      <x:c r="A115" s="4" t="n">
        <x:f>Strategy!$E$3+71</x:f>
        <x:v>46364.5</x:v>
      </x:c>
      <x:c r="B115" s="3" t="str"/>
      <x:c r="C115" s="3" t="str">
        <x:v>Follow coached session</x:v>
      </x:c>
      <x:c r="D115" s="3" t="str">
        <x:v>Guided swim (Tue PM)</x:v>
      </x:c>
      <x:c r="E115" s="3" t="n">
        <x:v>60</x:v>
      </x:c>
      <x:c r="F115" s="11"/>
      <x:c r="G115" s="11" t="str">
        <x:v>planned</x:v>
      </x:c>
      <x:c r="H115" s="11"/>
      <x:c r="I115" s="11"/>
      <x:c r="J115" s="11"/>
      <x:c r="K115" s="11"/>
      <x:c r="L115" s="11"/>
      <x:c r="M115" s="3" t="str">
        <x:v>hybrid-w11-4</x:v>
      </x:c>
      <x:c r="N115" s="3" t="str">
        <x:v>swimming</x:v>
      </x:c>
      <x:c r="O115" s="3"/>
    </x:row>
    <x:row r="116" ht="54" customHeight="1">
      <x:c r="A116" s="4" t="n">
        <x:f>Strategy!$E$3+72</x:f>
        <x:v>46365.5</x:v>
      </x:c>
      <x:c r="B116" s="3" t="str"/>
      <x:c r="C116" s="3" t="str">
        <x:v>Recover and restore range</x:v>
      </x:c>
      <x:c r="D116" s="3" t="str">
        <x:v>Rest / mobility (Wed)</x:v>
      </x:c>
      <x:c r="E116" s="3" t="n">
        <x:v>25</x:v>
      </x:c>
      <x:c r="F116" s="11"/>
      <x:c r="G116" s="11" t="str">
        <x:v>planned</x:v>
      </x:c>
      <x:c r="H116" s="11"/>
      <x:c r="I116" s="11"/>
      <x:c r="J116" s="11"/>
      <x:c r="K116" s="11"/>
      <x:c r="L116" s="11"/>
      <x:c r="M116" s="3" t="str">
        <x:v>hybrid-w11-5</x:v>
      </x:c>
      <x:c r="N116" s="3" t="str">
        <x:v>training</x:v>
      </x:c>
      <x:c r="O116" s="3"/>
    </x:row>
    <x:row r="117" ht="54" customHeight="1">
      <x:c r="A117" s="4" t="n">
        <x:f>Strategy!$E$3+73</x:f>
        <x:v>46366.5</x:v>
      </x:c>
      <x:c r="B117" s="3" t="str">
        <x:v>B</x:v>
      </x:c>
      <x:c r="C117" s="3" t="str">
        <x:v>35 min skills + 5 rounds + 60 min easy bike</x:v>
      </x:c>
      <x:c r="D117" s="3" t="str">
        <x:v>Skill B + circuit + easy bike (Thu)</x:v>
      </x:c>
      <x:c r="E117" s="3" t="n">
        <x:v>125</x:v>
      </x:c>
      <x:c r="F117" s="11"/>
      <x:c r="G117" s="11" t="str">
        <x:v>planned</x:v>
      </x:c>
      <x:c r="H117" s="11"/>
      <x:c r="I117" s="11"/>
      <x:c r="J117" s="11"/>
      <x:c r="K117" s="11"/>
      <x:c r="L117" s="11"/>
      <x:c r="M117" s="3" t="str">
        <x:v>hybrid-w11-6</x:v>
      </x:c>
      <x:c r="N117" s="3" t="str">
        <x:v>cycling</x:v>
      </x:c>
      <x:c r="O117" s="3" t="str">
        <x:v>1</x:v>
      </x:c>
    </x:row>
    <x:row r="118" ht="54" customHeight="1">
      <x:c r="A118" s="4" t="n">
        <x:f>Strategy!$E$3+74</x:f>
        <x:v>46367.5</x:v>
      </x:c>
      <x:c r="B118" s="3" t="str"/>
      <x:c r="C118" s="3" t="str">
        <x:v>Complete prescribed pace in control. 4 x 1 km @ 4:30-4:40 / 2 min easy.</x:v>
      </x:c>
      <x:c r="D118" s="3" t="str">
        <x:v>Quality run (Fri)</x:v>
      </x:c>
      <x:c r="E118" s="3" t="n">
        <x:v>60</x:v>
      </x:c>
      <x:c r="F118" s="11"/>
      <x:c r="G118" s="11" t="str">
        <x:v>planned</x:v>
      </x:c>
      <x:c r="H118" s="11"/>
      <x:c r="I118" s="11"/>
      <x:c r="J118" s="11"/>
      <x:c r="K118" s="11"/>
      <x:c r="L118" s="11"/>
      <x:c r="M118" s="3" t="str">
        <x:v>hybrid-w11-7</x:v>
      </x:c>
      <x:c r="N118" s="3" t="str">
        <x:v>running</x:v>
      </x:c>
      <x:c r="O118" s="3"/>
    </x:row>
    <x:row r="119" ht="54" customHeight="1">
      <x:c r="A119" s="4" t="n">
        <x:f>Strategy!$E$3+74</x:f>
        <x:v>46367.5</x:v>
      </x:c>
      <x:c r="B119" s="3" t="str"/>
      <x:c r="C119" s="3" t="str">
        <x:v>Optional; follow coach and reduce run intensity if needed</x:v>
      </x:c>
      <x:c r="D119" s="3" t="str">
        <x:v>Guided swim (Fri PM) · optional</x:v>
      </x:c>
      <x:c r="E119" s="3" t="n">
        <x:v>60</x:v>
      </x:c>
      <x:c r="F119" s="11"/>
      <x:c r="G119" s="11" t="str">
        <x:v>planned</x:v>
      </x:c>
      <x:c r="H119" s="11"/>
      <x:c r="I119" s="11"/>
      <x:c r="J119" s="11"/>
      <x:c r="K119" s="11"/>
      <x:c r="L119" s="11" t="str">
        <x:v>Optional session; omit if not selected.</x:v>
      </x:c>
      <x:c r="M119" s="3" t="str">
        <x:v>hybrid-w11-8</x:v>
      </x:c>
      <x:c r="N119" s="3" t="str">
        <x:v>swimming</x:v>
      </x:c>
      <x:c r="O119" s="3"/>
    </x:row>
    <x:row r="120" ht="54" customHeight="1">
      <x:c r="A120" s="4" t="n">
        <x:f>Strategy!$E$3+75</x:f>
        <x:v>46368.5</x:v>
      </x:c>
      <x:c r="B120" s="3" t="str"/>
      <x:c r="C120" s="3" t="str">
        <x:v>Follow coached session</x:v>
      </x:c>
      <x:c r="D120" s="3" t="str">
        <x:v>Guided swim (Sat AM)</x:v>
      </x:c>
      <x:c r="E120" s="3" t="n">
        <x:v>60</x:v>
      </x:c>
      <x:c r="F120" s="11"/>
      <x:c r="G120" s="11" t="str">
        <x:v>planned</x:v>
      </x:c>
      <x:c r="H120" s="11"/>
      <x:c r="I120" s="11"/>
      <x:c r="J120" s="11"/>
      <x:c r="K120" s="11"/>
      <x:c r="L120" s="11"/>
      <x:c r="M120" s="3" t="str">
        <x:v>hybrid-w11-9</x:v>
      </x:c>
      <x:c r="N120" s="3" t="str">
        <x:v>swimming</x:v>
      </x:c>
      <x:c r="O120" s="3"/>
    </x:row>
    <x:row r="121" ht="54" customHeight="1">
      <x:c r="A121" s="4" t="n">
        <x:f>Strategy!$E$3+75</x:f>
        <x:v>46368.5</x:v>
      </x:c>
      <x:c r="B121" s="3" t="str">
        <x:v>Technique</x:v>
      </x:c>
      <x:c r="C121" s="3" t="str">
        <x:v>Easy technique, no fatigue</x:v>
      </x:c>
      <x:c r="D121" s="3" t="str">
        <x:v>Skill micro-session (Sat PM)</x:v>
      </x:c>
      <x:c r="E121" s="3" t="n">
        <x:v>20</x:v>
      </x:c>
      <x:c r="F121" s="11"/>
      <x:c r="G121" s="11" t="str">
        <x:v>planned</x:v>
      </x:c>
      <x:c r="H121" s="11"/>
      <x:c r="I121" s="11"/>
      <x:c r="J121" s="11"/>
      <x:c r="K121" s="11"/>
      <x:c r="L121" s="11"/>
      <x:c r="M121" s="3" t="str">
        <x:v>hybrid-w11-10</x:v>
      </x:c>
      <x:c r="N121" s="3" t="str">
        <x:v>training</x:v>
      </x:c>
      <x:c r="O121" s="3" t="str">
        <x:v>1</x:v>
      </x:c>
    </x:row>
    <x:row r="122" ht="54" customHeight="1">
      <x:c r="A122" s="4" t="n">
        <x:f>Strategy!$E$3+76</x:f>
        <x:v>46369.5</x:v>
      </x:c>
      <x:c r="B122" s="3" t="str"/>
      <x:c r="C122" s="3" t="str">
        <x:v>Easy aerobic durability. 60 min easy.</x:v>
      </x:c>
      <x:c r="D122" s="3" t="str">
        <x:v>Long easy run (Sun)</x:v>
      </x:c>
      <x:c r="E122" s="3" t="n">
        <x:v>60</x:v>
      </x:c>
      <x:c r="F122" s="11"/>
      <x:c r="G122" s="11" t="str">
        <x:v>planned</x:v>
      </x:c>
      <x:c r="H122" s="11"/>
      <x:c r="I122" s="11"/>
      <x:c r="J122" s="11"/>
      <x:c r="K122" s="11"/>
      <x:c r="L122" s="11"/>
      <x:c r="M122" s="3" t="str">
        <x:v>hybrid-w11-11</x:v>
      </x:c>
      <x:c r="N122" s="3" t="str">
        <x:v>running</x:v>
      </x:c>
      <x:c r="O122" s="3"/>
    </x:row>
    <x:row r="123" ht="54" customHeight="1">
      <x:c r="A123" s="4" t="n">
        <x:f>Strategy!$E$3+77</x:f>
        <x:v>46370.5</x:v>
      </x:c>
      <x:c r="B123" s="3" t="str">
        <x:v>A</x:v>
      </x:c>
      <x:c r="C123" s="3" t="str">
        <x:v>10 min skill A + 2 circuit rounds</x:v>
      </x:c>
      <x:c r="D123" s="3" t="str">
        <x:v>Skill A + interval circuit (Mon)</x:v>
      </x:c>
      <x:c r="E123" s="3" t="n">
        <x:v>30</x:v>
      </x:c>
      <x:c r="F123" s="11"/>
      <x:c r="G123" s="11" t="str">
        <x:v>planned</x:v>
      </x:c>
      <x:c r="H123" s="11"/>
      <x:c r="I123" s="11"/>
      <x:c r="J123" s="11"/>
      <x:c r="K123" s="11"/>
      <x:c r="L123" s="11"/>
      <x:c r="M123" s="3" t="str">
        <x:v>hybrid-w12-1</x:v>
      </x:c>
      <x:c r="N123" s="3" t="str">
        <x:v>training</x:v>
      </x:c>
      <x:c r="O123" s="3" t="str">
        <x:v>1</x:v>
      </x:c>
    </x:row>
    <x:row r="124" ht="54" customHeight="1">
      <x:c r="A124" s="4" t="n">
        <x:f>Strategy!$E$3+77</x:f>
        <x:v>46370.5</x:v>
      </x:c>
      <x:c r="B124" s="3" t="str"/>
      <x:c r="C124" s="3" t="str">
        <x:v>Follow coached session</x:v>
      </x:c>
      <x:c r="D124" s="3" t="str">
        <x:v>Guided swim (Mon PM)</x:v>
      </x:c>
      <x:c r="E124" s="3" t="n">
        <x:v>60</x:v>
      </x:c>
      <x:c r="F124" s="11"/>
      <x:c r="G124" s="11" t="str">
        <x:v>planned</x:v>
      </x:c>
      <x:c r="H124" s="11"/>
      <x:c r="I124" s="11"/>
      <x:c r="J124" s="11"/>
      <x:c r="K124" s="11"/>
      <x:c r="L124" s="11"/>
      <x:c r="M124" s="3" t="str">
        <x:v>hybrid-w12-2</x:v>
      </x:c>
      <x:c r="N124" s="3" t="str">
        <x:v>swimming</x:v>
      </x:c>
      <x:c r="O124" s="3"/>
    </x:row>
    <x:row r="125" ht="54" customHeight="1">
      <x:c r="A125" s="4" t="n">
        <x:f>Strategy!$E$3+78</x:f>
        <x:v>46371.5</x:v>
      </x:c>
      <x:c r="B125" s="3" t="str">
        <x:v>Technique</x:v>
      </x:c>
      <x:c r="C125" s="3" t="str">
        <x:v>5 min handstand + easy run; 30 min run; conversational effort. 30 min easy.</x:v>
      </x:c>
      <x:c r="D125" s="3" t="str">
        <x:v>Easy run + handstand (Tue)</x:v>
      </x:c>
      <x:c r="E125" s="3" t="n">
        <x:v>35</x:v>
      </x:c>
      <x:c r="F125" s="11"/>
      <x:c r="G125" s="11" t="str">
        <x:v>planned</x:v>
      </x:c>
      <x:c r="H125" s="11"/>
      <x:c r="I125" s="11"/>
      <x:c r="J125" s="11"/>
      <x:c r="K125" s="11"/>
      <x:c r="L125" s="11"/>
      <x:c r="M125" s="3" t="str">
        <x:v>hybrid-w12-3</x:v>
      </x:c>
      <x:c r="N125" s="3" t="str">
        <x:v>running</x:v>
      </x:c>
      <x:c r="O125" s="3" t="str">
        <x:v>1</x:v>
      </x:c>
    </x:row>
    <x:row r="126" ht="54" customHeight="1">
      <x:c r="A126" s="4" t="n">
        <x:f>Strategy!$E$3+78</x:f>
        <x:v>46371.5</x:v>
      </x:c>
      <x:c r="B126" s="3" t="str"/>
      <x:c r="C126" s="3" t="str">
        <x:v>Follow coached session</x:v>
      </x:c>
      <x:c r="D126" s="3" t="str">
        <x:v>Guided swim (Tue PM)</x:v>
      </x:c>
      <x:c r="E126" s="3" t="n">
        <x:v>60</x:v>
      </x:c>
      <x:c r="F126" s="11"/>
      <x:c r="G126" s="11" t="str">
        <x:v>planned</x:v>
      </x:c>
      <x:c r="H126" s="11"/>
      <x:c r="I126" s="11"/>
      <x:c r="J126" s="11"/>
      <x:c r="K126" s="11"/>
      <x:c r="L126" s="11"/>
      <x:c r="M126" s="3" t="str">
        <x:v>hybrid-w12-4</x:v>
      </x:c>
      <x:c r="N126" s="3" t="str">
        <x:v>swimming</x:v>
      </x:c>
      <x:c r="O126" s="3"/>
    </x:row>
    <x:row r="127" ht="54" customHeight="1">
      <x:c r="A127" s="4" t="n">
        <x:f>Strategy!$E$3+79</x:f>
        <x:v>46372.5</x:v>
      </x:c>
      <x:c r="B127" s="3" t="str"/>
      <x:c r="C127" s="3" t="str">
        <x:v>Recover and restore range</x:v>
      </x:c>
      <x:c r="D127" s="3" t="str">
        <x:v>Rest / mobility (Wed)</x:v>
      </x:c>
      <x:c r="E127" s="3" t="n">
        <x:v>25</x:v>
      </x:c>
      <x:c r="F127" s="11"/>
      <x:c r="G127" s="11" t="str">
        <x:v>planned</x:v>
      </x:c>
      <x:c r="H127" s="11"/>
      <x:c r="I127" s="11"/>
      <x:c r="J127" s="11"/>
      <x:c r="K127" s="11"/>
      <x:c r="L127" s="11"/>
      <x:c r="M127" s="3" t="str">
        <x:v>hybrid-w12-5</x:v>
      </x:c>
      <x:c r="N127" s="3" t="str">
        <x:v>training</x:v>
      </x:c>
      <x:c r="O127" s="3"/>
    </x:row>
    <x:row r="128" ht="54" customHeight="1">
      <x:c r="A128" s="4" t="n">
        <x:f>Strategy!$E$3+80</x:f>
        <x:v>46373.5</x:v>
      </x:c>
      <x:c r="B128" s="3" t="str">
        <x:v>B</x:v>
      </x:c>
      <x:c r="C128" s="3" t="str">
        <x:v>10 min skills + 2 rounds</x:v>
      </x:c>
      <x:c r="D128" s="3" t="str">
        <x:v>Skill B + interval circuit (Thu)</x:v>
      </x:c>
      <x:c r="E128" s="3" t="n">
        <x:v>30</x:v>
      </x:c>
      <x:c r="F128" s="11"/>
      <x:c r="G128" s="11" t="str">
        <x:v>planned</x:v>
      </x:c>
      <x:c r="H128" s="11"/>
      <x:c r="I128" s="11"/>
      <x:c r="J128" s="11"/>
      <x:c r="K128" s="11"/>
      <x:c r="L128" s="11"/>
      <x:c r="M128" s="3" t="str">
        <x:v>hybrid-w12-6</x:v>
      </x:c>
      <x:c r="N128" s="3" t="str">
        <x:v>training</x:v>
      </x:c>
      <x:c r="O128" s="3" t="str">
        <x:v>1</x:v>
      </x:c>
    </x:row>
    <x:row r="129" ht="54" customHeight="1">
      <x:c r="A129" s="4" t="n">
        <x:f>Strategy!$E$3+81</x:f>
        <x:v>46374.5</x:v>
      </x:c>
      <x:c r="B129" s="3" t="str"/>
      <x:c r="C129" s="3" t="str">
        <x:v>Complete prescribed pace in control. 4 x 20 sec strides.</x:v>
      </x:c>
      <x:c r="D129" s="3" t="str">
        <x:v>Quality run (Fri)</x:v>
      </x:c>
      <x:c r="E129" s="3" t="n">
        <x:v>35</x:v>
      </x:c>
      <x:c r="F129" s="11"/>
      <x:c r="G129" s="11" t="str">
        <x:v>planned</x:v>
      </x:c>
      <x:c r="H129" s="11"/>
      <x:c r="I129" s="11"/>
      <x:c r="J129" s="11"/>
      <x:c r="K129" s="11"/>
      <x:c r="L129" s="11"/>
      <x:c r="M129" s="3" t="str">
        <x:v>hybrid-w12-7</x:v>
      </x:c>
      <x:c r="N129" s="3" t="str">
        <x:v>running</x:v>
      </x:c>
      <x:c r="O129" s="3"/>
    </x:row>
    <x:row r="130" ht="54" customHeight="1">
      <x:c r="A130" s="4" t="n">
        <x:f>Strategy!$E$3+81</x:f>
        <x:v>46374.5</x:v>
      </x:c>
      <x:c r="B130" s="3" t="str"/>
      <x:c r="C130" s="3" t="str">
        <x:v>Optional guided swim or rest</x:v>
      </x:c>
      <x:c r="D130" s="3" t="str">
        <x:v>Optional guided swim (Fri PM) · optional</x:v>
      </x:c>
      <x:c r="E130" s="3" t="n">
        <x:v>60</x:v>
      </x:c>
      <x:c r="F130" s="11"/>
      <x:c r="G130" s="11" t="str">
        <x:v>planned</x:v>
      </x:c>
      <x:c r="H130" s="11"/>
      <x:c r="I130" s="11"/>
      <x:c r="J130" s="11"/>
      <x:c r="K130" s="11"/>
      <x:c r="L130" s="11" t="str">
        <x:v>Optional session; omit if not selected.</x:v>
      </x:c>
      <x:c r="M130" s="3" t="str">
        <x:v>hybrid-w12-8</x:v>
      </x:c>
      <x:c r="N130" s="3" t="str">
        <x:v>swimming</x:v>
      </x:c>
      <x:c r="O130" s="3"/>
    </x:row>
    <x:row r="131" ht="54" customHeight="1">
      <x:c r="A131" s="4" t="n">
        <x:f>Strategy!$E$3+82</x:f>
        <x:v>46375.5</x:v>
      </x:c>
      <x:c r="B131" s="3" t="str"/>
      <x:c r="C131" s="3" t="str">
        <x:v>Follow coached session</x:v>
      </x:c>
      <x:c r="D131" s="3" t="str">
        <x:v>Guided swim (Sat AM)</x:v>
      </x:c>
      <x:c r="E131" s="3" t="n">
        <x:v>60</x:v>
      </x:c>
      <x:c r="F131" s="11"/>
      <x:c r="G131" s="11" t="str">
        <x:v>planned</x:v>
      </x:c>
      <x:c r="H131" s="11"/>
      <x:c r="I131" s="11"/>
      <x:c r="J131" s="11"/>
      <x:c r="K131" s="11"/>
      <x:c r="L131" s="11"/>
      <x:c r="M131" s="3" t="str">
        <x:v>hybrid-w12-9</x:v>
      </x:c>
      <x:c r="N131" s="3" t="str">
        <x:v>swimming</x:v>
      </x:c>
      <x:c r="O131" s="3"/>
    </x:row>
    <x:row r="132" ht="54" customHeight="1">
      <x:c r="A132" s="4" t="n">
        <x:f>Strategy!$E$3+82</x:f>
        <x:v>46375.5</x:v>
      </x:c>
      <x:c r="B132" s="3" t="str">
        <x:v>Technique</x:v>
      </x:c>
      <x:c r="C132" s="3" t="str">
        <x:v>Easy technique, no fatigue</x:v>
      </x:c>
      <x:c r="D132" s="3" t="str">
        <x:v>Skill micro-session (Sat PM)</x:v>
      </x:c>
      <x:c r="E132" s="3" t="n">
        <x:v>10</x:v>
      </x:c>
      <x:c r="F132" s="11"/>
      <x:c r="G132" s="11" t="str">
        <x:v>planned</x:v>
      </x:c>
      <x:c r="H132" s="11"/>
      <x:c r="I132" s="11"/>
      <x:c r="J132" s="11"/>
      <x:c r="K132" s="11"/>
      <x:c r="L132" s="11"/>
      <x:c r="M132" s="3" t="str">
        <x:v>hybrid-w12-10</x:v>
      </x:c>
      <x:c r="N132" s="3" t="str">
        <x:v>training</x:v>
      </x:c>
      <x:c r="O132" s="3" t="str">
        <x:v>1</x:v>
      </x:c>
    </x:row>
    <x:row r="133" ht="54" customHeight="1">
      <x:c r="A133" s="4" t="n">
        <x:f>Strategy!$E$3+83</x:f>
        <x:v>46376.5</x:v>
      </x:c>
      <x:c r="B133" s="3" t="str"/>
      <x:c r="C133" s="3" t="str">
        <x:v>10 min warm-up + 60 min test + 10 min cooldown. 12 km steady test.</x:v>
      </x:c>
      <x:c r="D133" s="3" t="str">
        <x:v>12 km steady test (Sun)</x:v>
      </x:c>
      <x:c r="E133" s="3" t="n">
        <x:v>80</x:v>
      </x:c>
      <x:c r="F133" s="11"/>
      <x:c r="G133" s="11" t="str">
        <x:v>planned</x:v>
      </x:c>
      <x:c r="H133" s="11"/>
      <x:c r="I133" s="11"/>
      <x:c r="J133" s="11"/>
      <x:c r="K133" s="11"/>
      <x:c r="L133" s="11"/>
      <x:c r="M133" s="3" t="str">
        <x:v>hybrid-w12-11</x:v>
      </x:c>
      <x:c r="N133" s="3" t="str">
        <x:v>training</x:v>
      </x:c>
      <x:c r="O133" s="3"/>
    </x:row>
  </x:sheetData>
  <x:conditionalFormatting sqref="G2:G133">
    <x:cfRule type="containsText" dxfId="0" priority="1" operator="containsText" text="completed"/>
  </x:conditionalFormatting>
  <x:dataValidations count="3">
    <x:dataValidation type="list" sqref="G2:G133">
      <x:formula1>"planned,in-progress,completed,skipped,cancelled"</x:formula1>
    </x:dataValidation>
    <x:dataValidation type="list" sqref="H2:H133">
      <x:formula1>"TRUE,FALSE"</x:formula1>
    </x:dataValidation>
    <x:dataValidation type="list" sqref="B2:B133">
      <x:formula1>"A,B,Technique,Core,Empty"</x:formula1>
    </x:dataValidation>
  </x:dataValidations>
  <x:pageMargins left="0.7" right="0.7" top="0.75" bottom="0.75" header="0.3" footer="0.3"/>
</x:worksheet>
</file>
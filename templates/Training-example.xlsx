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3b3201a75c453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rategy" sheetId="1" r:id="R926f027438f44f44"/>
    <x:sheet xmlns:r="http://schemas.openxmlformats.org/officeDocument/2006/relationships" name="Recurring" sheetId="2" r:id="Rc8fe40f5bcce450d"/>
    <x:sheet xmlns:r="http://schemas.openxmlformats.org/officeDocument/2006/relationships" name="Daily" sheetId="3" r:id="R8ada640bb1774a79"/>
    <x:sheet xmlns:r="http://schemas.openxmlformats.org/officeDocument/2006/relationships" name="Scoring" sheetId="4" r:id="Rfff7e0a72eef4eb7"/>
  </x:sheets>
</x:workbook>
</file>

<file path=xl/sharedStrings.xml><?xml version="1.0" encoding="utf-8"?>
<x:sst xmlns:x="http://schemas.openxmlformats.org/spreadsheetml/2006/main">
  <x:si>
    <x:t xml:space="preserve">Plan</x:t>
  </x:si>
  <x:si>
    <x:t xml:space="preserve">schema_version</x:t>
  </x:si>
  <x:si>
    <x:t xml:space="preserve">plan_id</x:t>
  </x:si>
  <x:si>
    <x:t xml:space="preserve">plan_name</x:t>
  </x:si>
  <x:si>
    <x:t xml:space="preserve">timezone</x:t>
  </x:si>
  <x:si>
    <x:t xml:space="preserve">start_date</x:t>
  </x:si>
  <x:si>
    <x:t xml:space="preserve">1</x:t>
  </x:si>
  <x:si>
    <x:t xml:space="preserve">my-training</x:t>
  </x:si>
  <x:si>
    <x:t xml:space="preserve">12-week hybrid plan</x:t>
  </x:si>
  <x:si>
    <x:t xml:space="preserve">Europe/Berlin</x:t>
  </x:si>
  <x:si>
    <x:t xml:space="preserve">Goals</x:t>
  </x:si>
  <x:si>
    <x:t xml:space="preserve">goal_id</x:t>
  </x:si>
  <x:si>
    <x:t xml:space="preserve">title</x:t>
  </x:si>
  <x:si>
    <x:t xml:space="preserve">benchmark</x:t>
  </x:si>
  <x:si>
    <x:t xml:space="preserve">baseline</x:t>
  </x:si>
  <x:si>
    <x:t xml:space="preserve">test</x:t>
  </x:si>
  <x:si>
    <x:t xml:space="preserve">category</x:t>
  </x:si>
  <x:si>
    <x:t xml:space="preserve">result_column</x:t>
  </x:si>
  <x:si>
    <x:t xml:space="preserve">garmin_types</x:t>
  </x:si>
  <x:si>
    <x:t xml:space="preserve">muscle-up</x:t>
  </x:si>
  <x:si>
    <x:t xml:space="preserve">Muscle-up</x:t>
  </x:si>
  <x:si>
    <x:t xml:space="preserve">Band-assisted or first strict rep</x:t>
  </x:si>
  <x:si>
    <x:t xml:space="preserve">7 pull-ups reported; confirm strict form. Muscle-up baseline not established.</x:t>
  </x:si>
  <x:si>
    <x:t xml:space="preserve">Record assistance and controlled full movement</x:t>
  </x:si>
  <x:si>
    <x:t xml:space="preserve">milestone</x:t>
  </x:si>
  <x:si>
    <x:t xml:space="preserve">Muscle-up result</x:t>
  </x:si>
  <x:si>
    <x:t xml:space="preserve">hspu</x:t>
  </x:si>
  <x:si>
    <x:t xml:space="preserve">Handstand push-up</x:t>
  </x:si>
  <x:si>
    <x:t xml:space="preserve">3–5 controlled wall reps or deep negatives</x:t>
  </x:si>
  <x:si>
    <x:t xml:space="preserve">Not established</x:t>
  </x:si>
  <x:si>
    <x:t xml:space="preserve">Chest-to-wall, full lockout</x:t>
  </x:si>
  <x:si>
    <x:t xml:space="preserve">HSPU result</x:t>
  </x:si>
  <x:si>
    <x:t xml:space="preserve">pistol</x:t>
  </x:si>
  <x:si>
    <x:t xml:space="preserve">Pistol squat</x:t>
  </x:si>
  <x:si>
    <x:t xml:space="preserve">3–5 clean reps per leg</x:t>
  </x:si>
  <x:si>
    <x:t xml:space="preserve">Heel down, controlled depth</x:t>
  </x:si>
  <x:si>
    <x:t xml:space="preserve">Pistol result</x:t>
  </x:si>
  <x:si>
    <x:t xml:space="preserve">running</x:t>
  </x:si>
  <x:si>
    <x:t xml:space="preserve">Running</x:t>
  </x:si>
  <x:si>
    <x:t xml:space="preserve">Maintain or improve 12 km pace</x:t>
  </x:si>
  <x:si>
    <x:t xml:space="preserve">12 km at 5:00/km (reported)</x:t>
  </x:si>
  <x:si>
    <x:t xml:space="preserve">12 km steady test in week 12</x:t>
  </x:si>
  <x:si>
    <x:t xml:space="preserve">maintenance</x:t>
  </x:si>
  <x:si>
    <x:t xml:space="preserve">swimming</x:t>
  </x:si>
  <x:si>
    <x:t xml:space="preserve">Swimming</x:t>
  </x:si>
  <x:si>
    <x:t xml:space="preserve">Maintain regular swimming</x:t>
  </x:si>
  <x:si>
    <x:t xml:space="preserve">3 fixed 60 min guided swims/week; optional fourth (reported routine)</x:t>
  </x:si>
  <x:si>
    <x:t xml:space="preserve">Record duration and distance for comparable swims</x:t>
  </x:si>
  <x:si>
    <x:t xml:space="preserve">Parts</x:t>
  </x:si>
  <x:si>
    <x:t xml:space="preserve">part_id</x:t>
  </x:si>
  <x:si>
    <x:t xml:space="preserve">version</x:t>
  </x:si>
  <x:si>
    <x:t xml:space="preserve">prescription</x:t>
  </x:si>
  <x:si>
    <x:t xml:space="preserve">goal_ids</x:t>
  </x:si>
  <x:si>
    <x:t xml:space="preserve">A</x:t>
  </x:si>
  <x:si>
    <x:t xml:space="preserve">Skills A</x:t>
  </x:si>
  <x:si>
    <x:t xml:space="preserve">Follow block A in Week plans, then Core. A/B/C label the three daily exercises.</x:t>
  </x:si>
  <x:si>
    <x:t xml:space="preserve">muscle-up, pistol</x:t>
  </x:si>
  <x:si>
    <x:t xml:space="preserve">B</x:t>
  </x:si>
  <x:si>
    <x:t xml:space="preserve">Skills B</x:t>
  </x:si>
  <x:si>
    <x:t xml:space="preserve">Follow block B in Week plans, then Core. A/B/C label the three daily exercises.</x:t>
  </x:si>
  <x:si>
    <x:t xml:space="preserve">hspu, pistol</x:t>
  </x:si>
  <x:si>
    <x:t xml:space="preserve">Technique</x:t>
  </x:si>
  <x:si>
    <x:t xml:space="preserve">Light technique</x:t>
  </x:si>
  <x:si>
    <x:t xml:space="preserve">Follow the easy technique session in Daily. A/B/C label its three exercises.</x:t>
  </x:si>
  <x:si>
    <x:t xml:space="preserve">Core</x:t>
  </x:si>
  <x:si>
    <x:t xml:space="preserve">Core circuit — 16 min 40 sec</x:t>
  </x:si>
  <x:si>
    <x:t xml:space="preserve">5 rounds: pull-ups, push-ups, weighted squats, upside-down hanging shoulder/ab work. Each exercise: 30 sec work + 20 sec rest.</x:t>
  </x:si>
  <x:si>
    <x:t xml:space="preserve">muscle-up, hspu, pistol</x:t>
  </x:si>
  <x:si>
    <x:t xml:space="preserve">Week plans</x:t>
  </x:si>
  <x:si>
    <x:t xml:space="preserve">Week</x:t>
  </x:si>
  <x:si>
    <x:t xml:space="preserve">Start</x:t>
  </x:si>
  <x:si>
    <x:t xml:space="preserve">Phase</x:t>
  </x:si>
  <x:si>
    <x:t xml:space="preserve">Focus</x:t>
  </x:si>
  <x:si>
    <x:t xml:space="preserve">Targets</x:t>
  </x:si>
  <x:si>
    <x:t xml:space="preserve">Advance when</x:t>
  </x:si>
  <x:si>
    <x:t xml:space="preserve">Minutes</x:t>
  </x:si>
  <x:si>
    <x:t xml:space="preserve">Foundation</x:t>
  </x:si>
  <x:si>
    <x:t xml:space="preserve">35 min skills before each circuit; leave reps in reserve</x:t>
  </x:si>
  <x:si>
    <x:t xml:space="preserve">Muscle-up: Scapular pulls + chest-to-bar intent; HSPU: Chest-to-wall hold + pike push-up; Pistol: Box pistol + ankle mobility</x:t>
  </x:si>
  <x:si>
    <x:t xml:space="preserve">Review recorded results and comfort. Repeat or adjust the week if needed.</x:t>
  </x:si>
  <x:si>
    <x:t xml:space="preserve">A) Scapular pull-up: 3 x 5, B) High pull (chest-to-bar intent): 3 x 3, C) Box pistol: 3 x 5/leg, Core: 5 rounds</x:t>
  </x:si>
  <x:si>
    <x:t xml:space="preserve">A) Chest-to-wall handstand: 3 x 20 sec, B) Pike push-up: 3 x 5, C) Box pistol: 3 x 5/leg, Core: 5 rounds</x:t>
  </x:si>
  <x:si>
    <x:t xml:space="preserve">Muscle-up: Band transition drill + high pull; HSPU: Wall hold + elevated pike push-up; Pistol: Lower box pistol + counterweight</x:t>
  </x:si>
  <x:si>
    <x:t xml:space="preserve">A) Band transition drill: 3 x 3, B) High pull: 3 x 3, C) Lower-box pistol with counterweight: 3 x 4/leg, Core: 5 rounds</x:t>
  </x:si>
  <x:si>
    <x:t xml:space="preserve">A) Wall handstand: 3 x 25 sec, B) Elevated pike push-up: 3 x 4, C) Lower-box pistol with counterweight: 3 x 4/leg, Core: 5 rounds</x:t>
  </x:si>
  <x:si>
    <x:t xml:space="preserve">Muscle-up: Explosive pull + low-bar transition; HSPU: Wall negative + pike push-up; Pistol: Assisted pistol to depth</x:t>
  </x:si>
  <x:si>
    <x:t xml:space="preserve">A) Explosive pull-up: 4 x 2, B) Low-bar transition: 3 x 3, C) Assisted full-depth pistol: 3 x 4/leg, Core: 5 rounds</x:t>
  </x:si>
  <x:si>
    <x:t xml:space="preserve">A) Wall HSPU negative: 3 x 2 (lower 3 sec), B) Pike push-up: 3 x 5, C) Assisted full-depth pistol: 3 x 4/leg, Core: 5 rounds</x:t>
  </x:si>
  <x:si>
    <x:t xml:space="preserve">Deload</x:t>
  </x:si>
  <x:si>
    <x:t xml:space="preserve">3 rounds; skip optional strength</x:t>
  </x:si>
  <x:si>
    <x:t xml:space="preserve">Muscle-up: Easy technique only; HSPU: Easy holds + mobility; Pistol: Easy assisted reps</x:t>
  </x:si>
  <x:si>
    <x:t xml:space="preserve">A) Easy scapular pull-up: 1 x 5, B) Easy low-bar transition: 1 x 3, C) Assisted pistol: 1 x 3/leg, Core: 3 rounds</x:t>
  </x:si>
  <x:si>
    <x:t xml:space="preserve">A) Easy wall handstand: 1 x 15 sec, B) Gentle wrist/shoulder mobility: 2 min, C) Assisted pistol: 1 x 3/leg, Core: 3 rounds</x:t>
  </x:si>
  <x:si>
    <x:t xml:space="preserve">Build</x:t>
  </x:si>
  <x:si>
    <x:t xml:space="preserve">Muscle-up: Chest-to-bar + band muscle-up; HSPU: Deficit pike + wall negative; Pistol: Counterweight pistol</x:t>
  </x:si>
  <x:si>
    <x:t xml:space="preserve">A) Chest-to-bar pull-up: 3 x 3, B) Band-assisted muscle-up: 4 x 1, C) Counterweight pistol: 3 x 4/leg, Core: 5 rounds</x:t>
  </x:si>
  <x:si>
    <x:t xml:space="preserve">A) Deficit pike push-up: 3 x 4, B) Wall HSPU negative: 3 x 2 (lower 3 sec), C) Counterweight pistol: 3 x 4/leg, Core: 5 rounds</x:t>
  </x:si>
  <x:si>
    <x:t xml:space="preserve">Muscle-up: Jumping muscle-up + slow transition; HSPU: Partial wall HSPU + negative; Pistol: Light counterweight pistol</x:t>
  </x:si>
  <x:si>
    <x:t xml:space="preserve">A) Jumping muscle-up: 3 x 3, B) Low-bar slow transition: 3 x 3, C) Light-counterweight pistol: 3 x 4/leg, Core: 5 rounds</x:t>
  </x:si>
  <x:si>
    <x:t xml:space="preserve">A) Partial wall HSPU: 3 x 3, B) Wall HSPU negative: 3 x 2 (lower 3 sec), C) Light-counterweight pistol: 3 x 4/leg, Core: 5 rounds</x:t>
  </x:si>
  <x:si>
    <x:t xml:space="preserve">Muscle-up: Light-band muscle-up singles; HSPU: Deeper wall HSPU; Pistol: Unassisted singles to target</x:t>
  </x:si>
  <x:si>
    <x:t xml:space="preserve">A) Light-band muscle-up: 4 x 1, B) Band-assisted transition: 3 x 2, C) Unassisted pistol to target: 3 x 1/leg, Core: 5 rounds</x:t>
  </x:si>
  <x:si>
    <x:t xml:space="preserve">A) Deeper wall HSPU: 3 x 2, B) Easy wall handstand: 2 x 20 sec, C) Unassisted pistol to target: 3 x 1/leg, Core: 5 rounds</x:t>
  </x:si>
  <x:si>
    <x:t xml:space="preserve">Muscle-up: Easy high pulls + transitions; HSPU: Easy holds + pike reps; Pistol: Assisted smooth reps</x:t>
  </x:si>
  <x:si>
    <x:t xml:space="preserve">A) Easy high pull: 1 x 3, B) Easy low-bar transition: 1 x 3, C) Assisted smooth pistol: 1 x 3/leg, Core: 3 rounds</x:t>
  </x:si>
  <x:si>
    <x:t xml:space="preserve">A) Easy wall handstand: 1 x 15 sec, B) Easy pike push-up: 1 x 4, C) Assisted smooth pistol: 1 x 3/leg, Core: 3 rounds</x:t>
  </x:si>
  <x:si>
    <x:t xml:space="preserve">Specific</x:t>
  </x:si>
  <x:si>
    <x:t xml:space="preserve">Muscle-up: Light-band or strict attempts, then back-off; HSPU: Full-ROM negatives + partial reps; Pistol: Unassisted singles</x:t>
  </x:si>
  <x:si>
    <x:t xml:space="preserve">A) Light-band or strict muscle-up: 3 x 1, B) Stronger-band back-off muscle-up: 2 x 2, C) Unassisted pistol: 3 x 1/leg, Core: 5 rounds</x:t>
  </x:si>
  <x:si>
    <x:t xml:space="preserve">A) Full-ROM wall HSPU negative: 3 x 1, B) Partial wall HSPU: 3 x 3, C) Unassisted pistol: 3 x 1/leg, Core: 5 rounds</x:t>
  </x:si>
  <x:si>
    <x:t xml:space="preserve">Muscle-up: 3-5 quality attempts + band reps; HSPU: Wall HSPU clusters; Pistol: Pistol clusters</x:t>
  </x:si>
  <x:si>
    <x:t xml:space="preserve">A) Quality muscle-up attempts: 3-5 singles, B) Band-assisted muscle-up: 2 x 2, C) Pistol clusters: 3 x (1+1)/leg (20 sec between reps), Core: 5 rounds</x:t>
  </x:si>
  <x:si>
    <x:t xml:space="preserve">A) Wall HSPU clusters: 3 x (1+1) (20 sec between reps), B) Easy wall handstand: 2 x 20 sec, C) Pistol clusters: 3 x (1+1)/leg (20 sec between reps), Core: 5 rounds</x:t>
  </x:si>
  <x:si>
    <x:t xml:space="preserve">Muscle-up: 3 quality attempts + crisp high pulls; HSPU: Full-ROM attempts + back-off; Pistol: Sets of clean pistols</x:t>
  </x:si>
  <x:si>
    <x:t xml:space="preserve">A) Quality muscle-up attempts: 3 singles, B) Crisp high pull: 3 x 2, C) Clean pistol: 3 x 2/leg, Core: 5 rounds</x:t>
  </x:si>
  <x:si>
    <x:t xml:space="preserve">A) Full-ROM wall HSPU: 3 single attempts, B) Pike push-up back-off: 2 x 4, C) Clean pistol: 3 x 2/leg, Core: 5 rounds</x:t>
  </x:si>
  <x:si>
    <x:t xml:space="preserve">Test</x:t>
  </x:si>
  <x:si>
    <x:t xml:space="preserve">2 easy rounds; tests replace extras</x:t>
  </x:si>
  <x:si>
    <x:t xml:space="preserve">Muscle-up: Test after warm-up; HSPU: Test after warm-up; Pistol: Test after warm-up</x:t>
  </x:si>
  <x:si>
    <x:t xml:space="preserve">A) Muscle-up test: up to 3 rested singles, B) Pistol test: 1 clean set/leg (cap at 5), C) Easy scapular pull-up: 1 x 5 if time remains, Core: 2 rounds</x:t>
  </x:si>
  <x:si>
    <x:t xml:space="preserve">A) Wall HSPU test: 1 clean set (cap at 5), B) Easy wall handstand: 1 x 15 sec, C) Gentle wrist/shoulder mobility: 2 min, Core: 2 rounds</x:t>
  </x:si>
  <x:si>
    <x:t xml:space="preserve">Exercise arsenal</x:t>
  </x:si>
  <x:si>
    <x:t xml:space="preserve">Group</x:t>
  </x:si>
  <x:si>
    <x:t xml:space="preserve">Exercise</x:t>
  </x:si>
  <x:si>
    <x:t xml:space="preserve">Easy scapular pull-up</x:t>
  </x:si>
  <x:si>
    <x:t xml:space="preserve">Scapular pull-up</x:t>
  </x:si>
  <x:si>
    <x:t xml:space="preserve">Easy high pull</x:t>
  </x:si>
  <x:si>
    <x:t xml:space="preserve">High pull</x:t>
  </x:si>
  <x:si>
    <x:t xml:space="preserve">High pull (chest-to-bar intent)</x:t>
  </x:si>
  <x:si>
    <x:t xml:space="preserve">Explosive pull-up</x:t>
  </x:si>
  <x:si>
    <x:t xml:space="preserve">Chest-to-bar pull-up</x:t>
  </x:si>
  <x:si>
    <x:t xml:space="preserve">Crisp high pull</x:t>
  </x:si>
  <x:si>
    <x:t xml:space="preserve">Easy low-bar transition</x:t>
  </x:si>
  <x:si>
    <x:t xml:space="preserve">Low-bar transition</x:t>
  </x:si>
  <x:si>
    <x:t xml:space="preserve">Low-bar slow transition</x:t>
  </x:si>
  <x:si>
    <x:t xml:space="preserve">Band transition drill</x:t>
  </x:si>
  <x:si>
    <x:t xml:space="preserve">Band-assisted transition</x:t>
  </x:si>
  <x:si>
    <x:t xml:space="preserve">Jumping muscle-up</x:t>
  </x:si>
  <x:si>
    <x:t xml:space="preserve">Band-assisted muscle-up</x:t>
  </x:si>
  <x:si>
    <x:t xml:space="preserve">Stronger-band back-off muscle-up</x:t>
  </x:si>
  <x:si>
    <x:t xml:space="preserve">Light-band muscle-up</x:t>
  </x:si>
  <x:si>
    <x:t xml:space="preserve">Light-band or strict muscle-up</x:t>
  </x:si>
  <x:si>
    <x:t xml:space="preserve">Quality muscle-up attempts</x:t>
  </x:si>
  <x:si>
    <x:t xml:space="preserve">Muscle-up test</x:t>
  </x:si>
  <x:si>
    <x:t xml:space="preserve">Handstand / HSPU</x:t>
  </x:si>
  <x:si>
    <x:t xml:space="preserve">Easy chest-to-wall hold</x:t>
  </x:si>
  <x:si>
    <x:t xml:space="preserve">Chest-to-wall handstand</x:t>
  </x:si>
  <x:si>
    <x:t xml:space="preserve">Easy wall handstand</x:t>
  </x:si>
  <x:si>
    <x:t xml:space="preserve">Wall handstand</x:t>
  </x:si>
  <x:si>
    <x:t xml:space="preserve">Wall handstand line drill</x:t>
  </x:si>
  <x:si>
    <x:t xml:space="preserve">Easy pike push-up</x:t>
  </x:si>
  <x:si>
    <x:t xml:space="preserve">Pike push-up</x:t>
  </x:si>
  <x:si>
    <x:t xml:space="preserve">Elevated pike push-up</x:t>
  </x:si>
  <x:si>
    <x:t xml:space="preserve">Deficit pike push-up</x:t>
  </x:si>
  <x:si>
    <x:t xml:space="preserve">Wall HSPU negative</x:t>
  </x:si>
  <x:si>
    <x:t xml:space="preserve">Full-ROM wall HSPU negative</x:t>
  </x:si>
  <x:si>
    <x:t xml:space="preserve">Partial wall HSPU</x:t>
  </x:si>
  <x:si>
    <x:t xml:space="preserve">Deeper wall HSPU</x:t>
  </x:si>
  <x:si>
    <x:t xml:space="preserve">Full-ROM wall HSPU</x:t>
  </x:si>
  <x:si>
    <x:t xml:space="preserve">Wall HSPU clusters</x:t>
  </x:si>
  <x:si>
    <x:t xml:space="preserve">Pike push-up back-off</x:t>
  </x:si>
  <x:si>
    <x:t xml:space="preserve">Wall HSPU test</x:t>
  </x:si>
  <x:si>
    <x:t xml:space="preserve">Box pistol</x:t>
  </x:si>
  <x:si>
    <x:t xml:space="preserve">Lower-box pistol with counterweight</x:t>
  </x:si>
  <x:si>
    <x:t xml:space="preserve">Assisted pistol</x:t>
  </x:si>
  <x:si>
    <x:t xml:space="preserve">Assisted smooth pistol</x:t>
  </x:si>
  <x:si>
    <x:t xml:space="preserve">Assisted full-depth pistol</x:t>
  </x:si>
  <x:si>
    <x:t xml:space="preserve">Counterweight pistol</x:t>
  </x:si>
  <x:si>
    <x:t xml:space="preserve">Light-counterweight pistol</x:t>
  </x:si>
  <x:si>
    <x:t xml:space="preserve">Unassisted pistol to target</x:t>
  </x:si>
  <x:si>
    <x:t xml:space="preserve">Unassisted pistol</x:t>
  </x:si>
  <x:si>
    <x:t xml:space="preserve">Pistol clusters</x:t>
  </x:si>
  <x:si>
    <x:t xml:space="preserve">Clean pistol</x:t>
  </x:si>
  <x:si>
    <x:t xml:space="preserve">Pistol test</x:t>
  </x:si>
  <x:si>
    <x:t xml:space="preserve">Pull-up</x:t>
  </x:si>
  <x:si>
    <x:t xml:space="preserve">Push-up</x:t>
  </x:si>
  <x:si>
    <x:t xml:space="preserve">Weighted squat</x:t>
  </x:si>
  <x:si>
    <x:t xml:space="preserve">Upside-down hanging shoulder/ab work</x:t>
  </x:si>
  <x:si>
    <x:t xml:space="preserve">Mobility</x:t>
  </x:si>
  <x:si>
    <x:t xml:space="preserve">Gentle wrist/shoulder mobility</x:t>
  </x:si>
  <x:si>
    <x:t xml:space="preserve">Wrist/shoulder mobility</x:t>
  </x:si>
  <x:si>
    <x:t xml:space="preserve">Weekly schedule</x:t>
  </x:si>
  <x:si>
    <x:t xml:space="preserve">Day</x:t>
  </x:si>
  <x:si>
    <x:t xml:space="preserve">Time Start</x:t>
  </x:si>
  <x:si>
    <x:t xml:space="preserve">Time End</x:t>
  </x:si>
  <x:si>
    <x:t xml:space="preserve">Activity</x:t>
  </x:si>
  <x:si>
    <x:t xml:space="preserve">Recorded by</x:t>
  </x:si>
  <x:si>
    <x:t xml:space="preserve">Notes</x:t>
  </x:si>
  <x:si>
    <x:t xml:space="preserve">Monday</x:t>
  </x:si>
  <x:si>
    <x:t xml:space="preserve">Tuesday</x:t>
  </x:si>
  <x:si>
    <x:t xml:space="preserve">Tracker</x:t>
  </x:si>
  <x:si>
    <x:t xml:space="preserve">Regular weekly swim training</x:t>
  </x:si>
  <x:si>
    <x:t xml:space="preserve">Wednesday</x:t>
  </x:si>
  <x:si>
    <x:t xml:space="preserve">Thursday</x:t>
  </x:si>
  <x:si>
    <x:t xml:space="preserve">Friday</x:t>
  </x:si>
  <x:si>
    <x:t xml:space="preserve">Saturday</x:t>
  </x:si>
  <x:si>
    <x:t xml:space="preserve">Sunday</x:t>
  </x:si>
  <x:si>
    <x:t xml:space="preserve">Regular weekly run</x:t>
  </x:si>
  <x:si>
    <x:t xml:space="preserve">C</x:t>
  </x:si>
  <x:si>
    <x:t xml:space="preserve">Date</x:t>
  </x:si>
  <x:si>
    <x:t xml:space="preserve">Block</x:t>
  </x:si>
  <x:si>
    <x:t xml:space="preserve">Title</x:t>
  </x:si>
  <x:si>
    <x:t xml:space="preserve">Planned minutes</x:t>
  </x:si>
  <x:si>
    <x:t xml:space="preserve">Actual minutes</x:t>
  </x:si>
  <x:si>
    <x:t xml:space="preserve">Status</x:t>
  </x:si>
  <x:si>
    <x:t xml:space="preserve">Done</x:t>
  </x:si>
  <x:si>
    <x:t xml:space="preserve">Skill A + interval circuit</x:t>
  </x:si>
  <x:si>
    <x:t xml:space="preserve">planned</x:t>
  </x:si>
  <x:si>
    <x:t xml:space="preserve">10 min easy technique
A) Wrist/shoulder mobility: 2 min
B) Easy chest-to-wall hold: 3 x 15 sec
C) Wall handstand line drill: 2 x 15 sec</x:t>
  </x:si>
  <x:si>
    <x:t xml:space="preserve">Handstand technique</x:t>
  </x:si>
  <x:si>
    <x:t xml:space="preserve">Skill B + circuit</x:t>
  </x:si>
  <x:si>
    <x:t xml:space="preserve">20 min easy technique
A) Wrist/shoulder mobility: 2 min
B) Easy chest-to-wall hold: 3 x 15 sec
C) Wall handstand line drill: 3 x 15 sec</x:t>
  </x:si>
  <x:si>
    <x:t xml:space="preserve">Skill micro-session</x:t>
  </x:si>
  <x:si>
    <x:t xml:space="preserve">5 min easy technique
A) Wrist/shoulder mobility: 1 min
B) Easy chest-to-wall hold: 2 x 10 sec
C) Wall handstand line drill: 1 x 10 sec</x:t>
  </x:si>
  <x:si>
    <x:t xml:space="preserve">Skill B + interval circuit</x:t>
  </x:si>
  <x:si>
    <x:t xml:space="preserve">10 min easy technique
A) Wrist/shoulder mobility: 1 min
B) Easy chest-to-wall hold: 2 x 10 sec
C) Wall handstand line drill: 1 x 10 sec</x:t>
  </x:si>
</x:sst>
</file>

<file path=xl/styles.xml><?xml version="1.0" encoding="utf-8"?>
<x:styleSheet xmlns:x="http://schemas.openxmlformats.org/spreadsheetml/2006/main">
  <x:numFmts count="18">
    <x:numFmt numFmtId="164" formatCode="General"/>
    <x:numFmt numFmtId="165" formatCode="_-* #,##0.00\ _€_-;\-* #,##0.00\ _€_-;_-* \-??\ _€_-;_-@_-"/>
    <x:numFmt numFmtId="166" formatCode="_-* #,##0.00\ _€_-;\-* #,##0.00\ _€_-;_-* \-??\ _€_-;_-@_-"/>
    <x:numFmt numFmtId="167" formatCode="_-* #,##0\ _€_-;\-* #,##0\ _€_-;_-* &quot;- &quot;_€_-;_-@_-"/>
    <x:numFmt numFmtId="168" formatCode="_-* #,##0\ _€_-;\-* #,##0\ _€_-;_-* &quot;- &quot;_€_-;_-@_-"/>
    <x:numFmt numFmtId="169" formatCode="_-* #,##0.00&quot; €&quot;_-;\-* #,##0.00&quot; €&quot;_-;_-* \-??&quot; €&quot;_-;_-@_-"/>
    <x:numFmt numFmtId="170" formatCode="_-* #,##0.00&quot; €&quot;_-;\-* #,##0.00&quot; €&quot;_-;_-* \-??&quot; €&quot;_-;_-@_-"/>
    <x:numFmt numFmtId="171" formatCode="_-* #,##0&quot; €&quot;_-;\-* #,##0&quot; €&quot;_-;_-* &quot;- €&quot;_-;_-@_-"/>
    <x:numFmt numFmtId="172" formatCode="_-* #,##0&quot; €&quot;_-;\-* #,##0&quot; €&quot;_-;_-* &quot;- €&quot;_-;_-@_-"/>
    <x:numFmt numFmtId="173" formatCode="0\ %"/>
    <x:numFmt numFmtId="174" formatCode="0\ %"/>
    <x:numFmt numFmtId="175" formatCode="yyyy\-mm\-dd"/>
    <x:numFmt numFmtId="176" formatCode="hh:mm"/>
    <x:numFmt numFmtId="177" formatCode="0"/>
    <x:numFmt numFmtId="200" formatCode="mm:ss"/>
    <x:numFmt numFmtId="201" formatCode="yyyy-mm-dd"/>
    <x:numFmt numFmtId="202" formatCode="0.0"/>
    <x:numFmt numFmtId="203" formatCode="0.00"/>
  </x:numFmts>
  <x:fonts count="31">
    <x:font>
      <x:sz val="10"/>
      <x:name val="Arial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  <x:family val="2"/>
    </x:font>
    <x:font>
      <x:sz val="11"/>
      <x:name val="Calibri"/>
    </x:font>
    <x:font>
      <x:b/>
      <x:sz val="10"/>
      <x:color rgb="FF243247"/>
      <x:name val="Arial"/>
    </x:font>
    <x:font>
      <x:sz val="10"/>
      <x:color rgb="FF243247"/>
      <x:name val="Arial"/>
    </x:font>
    <x:font>
      <x:sz val="10"/>
      <x:color rgb="FF243247"/>
      <x:name val="Arial"/>
      <x:family val="2"/>
    </x:font>
    <x:font>
      <x:b/>
      <x:sz val="10"/>
      <x:color rgb="FFFFFFFF"/>
      <x:name val="Arial"/>
    </x:font>
    <x:font>
      <x:b/>
      <x:sz val="10"/>
      <x:color rgb="FF243247"/>
      <x:name val="Arial"/>
      <x:family val="2"/>
    </x:font>
    <x:font>
      <x:b/>
      <x:sz val="13"/>
      <x:color rgb="FFFFFFFF"/>
      <x:name val="Arial"/>
      <x:family val="2"/>
    </x:font>
    <x:font>
      <x:b/>
      <x:sz val="10"/>
      <x:color rgb="FFFFFFFF"/>
      <x:name val="Arial"/>
      <x:family val="2"/>
    </x:font>
    <x:font>
      <x:b/>
      <x:sz val="10"/>
      <x:color rgb="FF334155"/>
      <x:name val="Arial"/>
    </x:font>
    <x:font>
      <x:sz val="10"/>
      <x:color rgb="FF334155"/>
      <x:name val="Arial"/>
    </x:font>
    <x:font>
      <x:sz val="10"/>
      <x:color rgb="FF334155"/>
      <x:name val="Arial"/>
      <x:family val="2"/>
    </x:font>
    <x:font>
      <x:b/>
      <x:sz val="10"/>
      <x:color rgb="FF334155"/>
      <x:name val="Arial"/>
      <x:family val="2"/>
    </x:font>
    <x:font>
      <x:b/>
      <x:sz val="10"/>
      <x:color rgb="FF475569"/>
      <x:name val="Arial"/>
    </x:font>
    <x:font>
      <x:b/>
      <x:sz val="10"/>
      <x:color rgb="FF355A4B"/>
      <x:name val="Arial"/>
    </x:font>
    <x:font>
      <x:b/>
      <x:sz val="11"/>
      <x:color rgb="FF334155"/>
      <x:name val="Arial"/>
      <x:family val="2"/>
    </x:font>
    <x:font>
      <x:b/>
      <x:sz val="10"/>
      <x:color rgb="FF475569"/>
      <x:name val="Arial"/>
      <x:family val="2"/>
    </x:font>
    <x:font>
      <x:sz val="10"/>
      <x:color rgb="FF64748B"/>
      <x:name val="Arial"/>
      <x:family val="2"/>
    </x:font>
    <x:font>
      <x:sz val="10"/>
      <x:color rgb="FF334155"/>
      <x:name val="Arial"/>
    </x:font>
    <x:font>
      <x:sz val="10"/>
      <x:color rgb="FF334155"/>
      <x:name val="Arial"/>
      <x:family val="2"/>
    </x:font>
    <x:font>
      <x:b/>
      <x:sz val="10"/>
      <x:color rgb="FF334D45"/>
      <x:name val="Arial"/>
    </x:font>
    <x:font>
      <x:b/>
      <x:sz val="10"/>
      <x:color rgb="FF334D45"/>
      <x:name val="Arial"/>
      <x:family val="2"/>
    </x:font>
    <x:font>
      <x:b/>
      <x:sz val="14"/>
      <x:color rgb="FF334155"/>
      <x:name val="Arial"/>
      <x:family val="2"/>
    </x:font>
    <x:font>
      <x:sz val="10"/>
      <x:color rgb="FF475569"/>
      <x:name val="Arial"/>
      <x:family val="2"/>
    </x:font>
    <x:font>
      <x:b/>
      <x:sz val="12"/>
      <x:color rgb="FF334155"/>
      <x:name val="Arial"/>
      <x:family val="2"/>
    </x:font>
    <x:font>
      <x:sz val="10"/>
      <x:color rgb="FF253442"/>
      <x:name val="Arial"/>
      <x:family val="2"/>
    </x:font>
  </x:fonts>
  <x:fills count="51">
    <x:fill>
      <x:patternFill patternType="none"/>
    </x:fill>
    <x:fill>
      <x:patternFill patternType="gray125"/>
    </x:fill>
    <x:fill>
      <x:patternFill patternType="solid">
        <x:fgColor rgb="FFD9E3EF"/>
      </x:patternFill>
    </x:fill>
    <x:fill>
      <x:patternFill patternType="solid">
        <x:fgColor rgb="FF33465E"/>
      </x:patternFill>
    </x:fill>
    <x:fill>
      <x:patternFill patternType="solid">
        <x:fgColor rgb="FFE8EFF8"/>
      </x:patternFill>
    </x:fill>
    <x:fill>
      <x:patternFill patternType="solid">
        <x:fgColor rgb="FFFFF4D6"/>
      </x:patternFill>
    </x:fill>
    <x:fill>
      <x:patternFill patternType="solid">
        <x:fgColor rgb="FFF0F2F5"/>
      </x:patternFill>
    </x:fill>
    <x:fill>
      <x:patternFill patternType="solid">
        <x:fgColor rgb="FFE6ECF3"/>
      </x:patternFill>
    </x:fill>
    <x:fill>
      <x:patternFill patternType="solid">
        <x:fgColor rgb="FFE8F3EC"/>
      </x:patternFill>
    </x:fill>
    <x:fill>
      <x:patternFill patternType="solid">
        <x:fgColor rgb="FFFFF4D5"/>
      </x:patternFill>
    </x:fill>
    <x:fill>
      <x:patternFill patternType="solid">
        <x:fgColor rgb="FFFFFFFF"/>
      </x:patternFill>
    </x:fill>
    <x:fill>
      <x:patternFill patternType="solid">
        <x:fgColor rgb="FFF5F7F8"/>
      </x:patternFill>
    </x:fill>
    <x:fill>
      <x:patternFill patternType="solid">
        <x:fgColor rgb="FFE7EDEE"/>
      </x:patternFill>
    </x:fill>
    <x:fill>
      <x:patternFill patternType="solid">
        <x:fgColor rgb="FFF0F3F4"/>
      </x:patternFill>
    </x:fill>
    <x:fill>
      <x:patternFill patternType="solid">
        <x:fgColor rgb="FFEFF5F1"/>
      </x:patternFill>
    </x:fill>
    <x:fill>
      <x:patternFill patternType="solid">
        <x:fgColor rgb="FFDDEBE4"/>
      </x:patternFill>
    </x:fill>
    <x:fill>
      <x:patternFill patternType="solid">
        <x:fgColor rgb="FFE4EAF0"/>
      </x:patternFill>
    </x:fill>
    <x:fill>
      <x:patternFill patternType="solid">
        <x:fgColor rgb="FFFFFFFF"/>
      </x:patternFill>
    </x:fill>
    <x:fill>
      <x:patternFill patternType="solid">
        <x:fgColor rgb="FFF7F9FA"/>
      </x:patternFill>
    </x:fill>
    <x:fill>
      <x:patternFill patternType="solid">
        <x:fgColor rgb="FFE6ECEA"/>
      </x:patternFill>
    </x:fill>
    <x:fill>
      <x:patternFill patternType="solid">
        <x:fgColor rgb="FFF0F3F4"/>
      </x:patternFill>
    </x:fill>
    <x:fill>
      <x:patternFill patternType="solid">
        <x:fgColor rgb="FFDCEAE3"/>
      </x:patternFill>
    </x:fill>
    <x:fill>
      <x:patternFill patternType="solid">
        <x:fgColor rgb="FFE4EAF0"/>
      </x:patternFill>
    </x:fill>
    <x:fill>
      <x:patternFill patternType="solid">
        <x:fgColor rgb="FFEAF3ED"/>
      </x:patternFill>
    </x:fill>
    <x:fill>
      <x:patternFill patternType="solid">
        <x:fgColor rgb="FFEAF3ED"/>
      </x:patternFill>
    </x:fill>
    <x:fill>
      <x:patternFill patternType="solid">
        <x:fgColor rgb="FFF4F9F5"/>
      </x:patternFill>
    </x:fill>
    <x:fill>
      <x:patternFill patternType="solid">
        <x:fgColor rgb="FFF7F9FA"/>
      </x:patternFill>
    </x:fill>
    <x:fill>
      <x:patternFill patternType="solid">
        <x:fgColor rgb="FFEAF3ED"/>
      </x:patternFill>
    </x:fill>
    <x:fill>
      <x:patternFill patternType="solid">
        <x:fgColor rgb="FFFFFFFF"/>
      </x:patternFill>
    </x:fill>
    <x:fill>
      <x:patternFill patternType="solid">
        <x:fgColor rgb="FFEAF3ED"/>
      </x:patternFill>
    </x:fill>
    <x:fill>
      <x:patternFill patternType="solid">
        <x:fgColor rgb="FFF4F9F5"/>
      </x:patternFill>
    </x:fill>
    <x:fill>
      <x:patternFill patternType="solid">
        <x:fgColor rgb="FFE4EAF0"/>
      </x:patternFill>
    </x:fill>
    <x:fill>
      <x:patternFill patternType="solid">
        <x:fgColor rgb="FFF7F9FA"/>
      </x:patternFill>
    </x:fill>
    <x:fill>
      <x:patternFill patternType="solid">
        <x:fgColor rgb="FFEAF3ED"/>
      </x:patternFill>
    </x:fill>
    <x:fill>
      <x:patternFill patternType="solid">
        <x:fgColor rgb="FFF4F9F5"/>
      </x:patternFill>
    </x:fill>
    <x:fill>
      <x:patternFill patternType="solid">
        <x:fgColor rgb="FFF7F9FA"/>
      </x:patternFill>
    </x:fill>
    <x:fill>
      <x:patternFill patternType="solid">
        <x:fgColor rgb="FFFFFFFF"/>
      </x:patternFill>
    </x:fill>
    <x:fill>
      <x:patternFill patternType="solid">
        <x:fgColor rgb="FFE4EAF0"/>
      </x:patternFill>
    </x:fill>
    <x:fill>
      <x:patternFill patternType="solid">
        <x:fgColor rgb="FFE3EAF0"/>
      </x:patternFill>
    </x:fill>
    <x:fill>
      <x:patternFill patternType="solid">
        <x:fgColor rgb="FFF5F7F9"/>
      </x:patternFill>
    </x:fill>
    <x:fill>
      <x:patternFill patternType="solid">
        <x:fgColor rgb="FFE8F2EC"/>
      </x:patternFill>
    </x:fill>
    <x:fill>
      <x:patternFill patternType="solid">
        <x:fgColor rgb="FFFFFFFF"/>
      </x:patternFill>
    </x:fill>
    <x:fill>
      <x:patternFill patternType="solid">
        <x:fgColor rgb="FFF2F8F4"/>
      </x:patternFill>
    </x:fill>
    <x:fill>
      <x:patternFill patternType="solid">
        <x:fgColor rgb="FFEEF2F5"/>
      </x:patternFill>
    </x:fill>
    <x:fill>
      <x:patternFill patternType="solid">
        <x:fgColor rgb="FFE7F3EC"/>
      </x:patternFill>
    </x:fill>
    <x:fill>
      <x:patternFill patternType="solid">
        <x:fgColor rgb="FFF1F8F4"/>
      </x:patternFill>
    </x:fill>
    <x:fill>
      <x:patternFill patternType="solid">
        <x:fgColor rgb="FFEDF2F6"/>
      </x:patternFill>
    </x:fill>
    <x:fill>
      <x:patternFill patternType="solid">
        <x:fgColor rgb="FFFFFFFF"/>
      </x:patternFill>
    </x:fill>
    <x:fill>
      <x:patternFill patternType="solid">
        <x:fgColor rgb="FFF5F7F9"/>
      </x:patternFill>
    </x:fill>
    <x:fill>
      <x:patternFill patternType="solid">
        <x:fgColor rgb="FFEDF2F6"/>
      </x:patternFill>
    </x:fill>
    <x:fill>
      <x:patternFill patternType="solid">
        <x:fgColor rgb="FFE7F3EC"/>
      </x:patternFill>
    </x:fill>
  </x:fills>
  <x:borders count="11">
    <x:border diagonalUp="0" diagonalDown="0">
      <x:left/>
      <x:right/>
      <x:top/>
      <x:bottom/>
      <x:diagonal/>
    </x:border>
    <x:border diagonalUp="0" diagonalDown="0">
      <x:left style="thin"/>
      <x:right/>
      <x:top style="thin"/>
      <x:bottom style="thin"/>
      <x:diagonal/>
    </x:border>
    <x:border diagonalUp="0" diagonalDown="0">
      <x:left/>
      <x:right style="thin"/>
      <x:top style="thin"/>
      <x:bottom/>
      <x:diagonal/>
    </x:border>
    <x:border diagonalUp="0" diagonalDown="0">
      <x:left/>
      <x:right style="thin"/>
      <x:top/>
      <x:bottom/>
      <x:diagonal/>
    </x:border>
    <x:border diagonalUp="0" diagonalDown="0">
      <x:left/>
      <x:right style="thin"/>
      <x:top/>
      <x:bottom style="thin"/>
      <x:diagonal/>
    </x:border>
    <x:border diagonalUp="0" diagonalDown="0">
      <x:left/>
      <x:right/>
      <x:top style="thin">
        <x:color rgb="FF8297AD"/>
      </x:top>
      <x:bottom style="thin">
        <x:color rgb="FFCCD6E2"/>
      </x:bottom>
      <x:diagonal/>
    </x:border>
    <x:border diagonalUp="0" diagonalDown="0">
      <x:left/>
      <x:right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none"/>
      <x:bottom style="none"/>
      <x:diagonal/>
    </x:border>
    <x:border diagonalUp="0" diagonalDown="0">
      <x:left style="thin">
        <x:color rgb="FFCBD5DF"/>
      </x:left>
      <x:right style="none"/>
      <x:top style="none"/>
      <x:bottom style="none"/>
      <x:diagonal/>
    </x:border>
    <x:border diagonalUp="0" diagonalDown="0">
      <x:left style="thin">
        <x:color rgb="FFE5E9ED"/>
      </x:left>
      <x:right style="thin">
        <x:color rgb="FFE5E9ED"/>
      </x:right>
      <x:top style="thin">
        <x:color rgb="FFE5E9ED"/>
      </x:top>
      <x:bottom style="thin">
        <x:color rgb="FFE5E9ED"/>
      </x:bottom>
      <x:diagonal/>
    </x:border>
    <x:border diagonalUp="0" diagonalDown="0">
      <x:left style="thin">
        <x:color rgb="FFC5D1D5"/>
      </x:left>
      <x:right style="thin">
        <x:color rgb="FFE5E9ED"/>
      </x:right>
      <x:top style="thin">
        <x:color rgb="FFE5E9ED"/>
      </x:top>
      <x:bottom style="thin">
        <x:color rgb="FFE5E9ED"/>
      </x:bottom>
      <x:diagonal/>
    </x:border>
  </x:borders>
  <x:cellStyleXfs count="33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5" fontId="4" fillId="0" borderId="0" applyFont="1" applyBorder="0" applyAlignment="0" applyProtection="0"/>
    <x:xf numFmtId="166" fontId="4" fillId="0" borderId="0" applyFont="1" applyBorder="0" applyAlignment="0" applyProtection="0"/>
    <x:xf numFmtId="167" fontId="4" fillId="0" borderId="0" applyFont="1" applyBorder="0" applyAlignment="0" applyProtection="0"/>
    <x:xf numFmtId="168" fontId="4" fillId="0" borderId="0" applyFont="1" applyBorder="0" applyAlignment="0" applyProtection="0"/>
    <x:xf numFmtId="169" fontId="4" fillId="0" borderId="0" applyFont="1" applyBorder="0" applyAlignment="0" applyProtection="0"/>
    <x:xf numFmtId="170" fontId="4" fillId="0" borderId="0" applyFont="1" applyBorder="0" applyAlignment="0" applyProtection="0"/>
    <x:xf numFmtId="171" fontId="4" fillId="0" borderId="0" applyFont="1" applyBorder="0" applyAlignment="0" applyProtection="0"/>
    <x:xf numFmtId="172" fontId="4" fillId="0" borderId="0" applyFont="1" applyBorder="0" applyAlignment="0" applyProtection="0"/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64" fontId="6" fillId="0" borderId="0" applyFont="1" applyBorder="1" applyAlignment="1" applyProtection="1">
      <x:alignment horizontal="general" vertical="bottom" wrapText="0" shrinkToFit="0"/>
      <x:protection locked="1" hidden="0"/>
    </x:xf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73" fontId="4" fillId="0" borderId="0" applyFont="1" applyBorder="0" applyAlignment="0" applyProtection="0"/>
    <x:xf numFmtId="174" fontId="4" fillId="0" borderId="0" applyFont="1" applyBorder="0" applyAlignment="0" applyProtection="0"/>
  </x:cellStyleXfs>
  <x:cellXfs count="390">
    <x:xf numFmtId="164" fontId="0" fillId="0" borderId="0" xfId="0" applyFont="0" applyBorder="0" applyAlignment="0" applyProtection="0">
      <x:alignment horizontal="general" vertical="bottom" wrapText="0" shrinkToFit="0"/>
      <x:protection locked="1" hidden="0"/>
    </x:xf>
    <x:xf numFmtId="164" fontId="5" fillId="0" borderId="0" xfId="30" applyFont="0" applyBorder="0" applyAlignment="1" applyProtection="1">
      <x:alignment horizontal="general" vertical="bottom" wrapText="0" shrinkToFit="0"/>
      <x:protection locked="1" hidden="0"/>
    </x:xf>
    <x:xf numFmtId="164" fontId="7" fillId="2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0" borderId="0" xfId="30" applyFont="1" applyBorder="1" applyAlignment="1" applyProtection="1">
      <x:alignment horizontal="general" vertical="top" wrapText="1" shrinkToFit="0"/>
      <x:protection locked="1" hidden="0"/>
    </x:xf>
    <x:xf numFmtId="164" fontId="9" fillId="0" borderId="0" xfId="30" applyFont="1" applyBorder="1" applyAlignment="1" applyProtection="1">
      <x:alignment horizontal="general" vertical="top" wrapText="1" shrinkToFit="0"/>
      <x:protection locked="1" hidden="0"/>
    </x:xf>
    <x:xf numFmtId="164" fontId="10" fillId="3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4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0" xfId="30" applyFont="1" applyBorder="1" applyAlignment="1" applyProtection="1">
      <x:alignment horizontal="general" vertical="top" wrapText="1" shrinkToFit="0"/>
      <x:protection locked="1" hidden="0"/>
    </x:xf>
    <x:xf numFmtId="175" fontId="8" fillId="5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2" borderId="0" xfId="28" applyFont="1" applyBorder="1" applyAlignment="1" applyProtection="0">
      <x:alignment horizontal="general" vertical="top" wrapText="1" shrinkToFit="0"/>
      <x:protection locked="1" hidden="0"/>
    </x:xf>
    <x:xf numFmtId="164" fontId="9" fillId="2" borderId="0" xfId="28" applyFont="1" applyBorder="1" applyAlignment="1" applyProtection="0">
      <x:alignment horizontal="general" vertical="top" wrapText="1" shrinkToFit="0"/>
      <x:protection locked="1" hidden="0"/>
    </x:xf>
    <x:xf numFmtId="164" fontId="10" fillId="3" borderId="0" xfId="28" applyFont="1" applyBorder="1" applyAlignment="1" applyProtection="0">
      <x:alignment horizontal="general" vertical="top" wrapText="1" shrinkToFit="0"/>
      <x:protection locked="1" hidden="0"/>
    </x:xf>
    <x:xf numFmtId="164" fontId="8" fillId="5" borderId="0" xfId="28" applyFont="1" applyBorder="1" applyAlignment="1" applyProtection="0">
      <x:alignment horizontal="general" vertical="top" wrapText="1" shrinkToFit="0"/>
      <x:protection locked="1" hidden="0"/>
    </x:xf>
    <x:xf numFmtId="164" fontId="9" fillId="5" borderId="0" xfId="28" applyFont="1" applyBorder="1" applyAlignment="1" applyProtection="0">
      <x:alignment horizontal="general" vertical="top" wrapText="1" shrinkToFit="0"/>
      <x:protection locked="1" hidden="0"/>
    </x:xf>
    <x:xf numFmtId="164" fontId="8" fillId="4" borderId="0" xfId="28" applyFont="1" applyBorder="1" applyAlignment="1" applyProtection="1">
      <x:alignment horizontal="general" vertical="top" wrapText="1" shrinkToFit="0"/>
      <x:protection locked="1" hidden="0"/>
    </x:xf>
    <x:xf numFmtId="164" fontId="8" fillId="5" borderId="0" xfId="28" applyFont="1" applyBorder="1" applyAlignment="1" applyProtection="1">
      <x:alignment horizontal="general" vertical="top" wrapText="1" shrinkToFit="0"/>
      <x:protection locked="1" hidden="0"/>
    </x:xf>
    <x:xf numFmtId="164" fontId="11" fillId="2" borderId="0" xfId="30" applyFont="1" applyBorder="1" applyAlignment="1" applyProtection="1">
      <x:alignment horizontal="general" vertical="top" wrapText="1" shrinkToFit="0"/>
      <x:protection locked="1" hidden="0"/>
    </x:xf>
    <x:xf numFmtId="175" fontId="8" fillId="6" borderId="0" xfId="30" applyFont="1" applyBorder="1" applyAlignment="1" applyProtection="1">
      <x:alignment horizontal="general" vertical="top" wrapText="1" shrinkToFit="0"/>
      <x:protection locked="1" hidden="0"/>
    </x:xf>
    <x:xf numFmtId="164" fontId="7" fillId="7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1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2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3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4" xfId="30" applyFont="1" applyBorder="1" applyAlignment="1" applyProtection="1">
      <x:alignment horizontal="general" vertical="top" wrapText="1" shrinkToFit="0"/>
      <x:protection locked="1" hidden="0"/>
    </x:xf>
    <x:xf numFmtId="164" fontId="9" fillId="2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4" borderId="5" xfId="30" applyFont="1" applyBorder="1" applyAlignment="1" applyProtection="1">
      <x:alignment horizontal="general" vertical="top" wrapText="1" shrinkToFit="0"/>
      <x:protection locked="1" hidden="0"/>
    </x:xf>
    <x:xf numFmtId="176" fontId="8" fillId="5" borderId="5" xfId="30" applyFont="1" applyBorder="1" applyAlignment="1" applyProtection="1">
      <x:alignment horizontal="general" vertical="top" wrapText="1" shrinkToFit="0"/>
      <x:protection locked="1" hidden="0"/>
    </x:xf>
    <x:xf numFmtId="177" fontId="8" fillId="6" borderId="5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5" xfId="30" applyFont="1" applyBorder="1" applyAlignment="1" applyProtection="1">
      <x:alignment horizontal="general" vertical="top" wrapText="1" shrinkToFit="0"/>
      <x:protection locked="1" hidden="0"/>
    </x:xf>
    <x:xf numFmtId="164" fontId="8" fillId="4" borderId="6" xfId="30" applyFont="1" applyBorder="1" applyAlignment="1" applyProtection="1">
      <x:alignment horizontal="general" vertical="top" wrapText="1" shrinkToFit="0"/>
      <x:protection locked="1" hidden="0"/>
    </x:xf>
    <x:xf numFmtId="176" fontId="8" fillId="5" borderId="6" xfId="30" applyFont="1" applyBorder="1" applyAlignment="1" applyProtection="1">
      <x:alignment horizontal="general" vertical="top" wrapText="1" shrinkToFit="0"/>
      <x:protection locked="1" hidden="0"/>
    </x:xf>
    <x:xf numFmtId="177" fontId="8" fillId="6" borderId="6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6" xfId="30" applyFont="1" applyBorder="1" applyAlignment="1" applyProtection="1">
      <x:alignment horizontal="general" vertical="top" wrapText="1" shrinkToFit="0"/>
      <x:protection locked="1" hidden="0"/>
    </x:xf>
    <x:xf numFmtId="164" fontId="12" fillId="3" borderId="0" xfId="28" applyFont="1" applyBorder="1" applyAlignment="1" applyProtection="0">
      <x:alignment horizontal="center" vertical="center" wrapText="0" shrinkToFit="0"/>
      <x:protection locked="1" hidden="0"/>
    </x:xf>
    <x:xf numFmtId="164" fontId="10" fillId="3" borderId="0" xfId="28" applyFont="1" applyBorder="1" applyAlignment="1" applyProtection="1">
      <x:alignment horizontal="general" vertical="top" wrapText="1" shrinkToFit="0"/>
      <x:protection locked="1" hidden="0"/>
    </x:xf>
    <x:xf numFmtId="164" fontId="13" fillId="3" borderId="0" xfId="28" applyFont="1" applyBorder="1" applyAlignment="1" applyProtection="0">
      <x:alignment horizontal="center" vertical="bottom" wrapText="1" shrinkToFit="0"/>
      <x:protection locked="1" hidden="0"/>
    </x:xf>
    <x:xf numFmtId="164" fontId="13" fillId="3" borderId="0" xfId="28" applyFont="1" applyBorder="1" applyAlignment="1" applyProtection="0">
      <x:alignment horizontal="general" vertical="bottom" wrapText="1" shrinkToFit="0"/>
      <x:protection locked="1" hidden="0"/>
    </x:xf>
    <x:xf numFmtId="175" fontId="8" fillId="6" borderId="0" xfId="28" applyFont="1" applyBorder="1" applyAlignment="1" applyProtection="1">
      <x:alignment horizontal="general" vertical="top" wrapText="1" shrinkToFit="0"/>
      <x:protection locked="1" hidden="0"/>
    </x:xf>
    <x:xf numFmtId="164" fontId="8" fillId="6" borderId="0" xfId="28" applyFont="1" applyBorder="1" applyAlignment="1" applyProtection="1">
      <x:alignment horizontal="general" vertical="top" wrapText="1" shrinkToFit="0"/>
      <x:protection locked="1" hidden="0"/>
    </x:xf>
    <x:xf numFmtId="164" fontId="8" fillId="8" borderId="0" xfId="28" applyFont="1" applyBorder="1" applyAlignment="1" applyProtection="1">
      <x:alignment horizontal="general" vertical="top" wrapText="1" shrinkToFit="0"/>
      <x:protection locked="1" hidden="0"/>
    </x:xf>
    <x:xf numFmtId="164" fontId="5" fillId="9" borderId="0" xfId="28" applyFont="1" applyBorder="1" applyAlignment="1" applyProtection="0">
      <x:alignment horizontal="general" vertical="bottom" wrapText="0" shrinkToFit="0"/>
      <x:protection locked="1" hidden="0"/>
    </x:xf>
    <x:xf numFmtId="164" fontId="0" fillId="0" borderId="0" xfId="0" applyFont="0" applyBorder="0" applyAlignment="0" applyProtection="0">
      <x:alignment horizontal="general" vertical="bottom" wrapText="0" shrinkToFit="0"/>
      <x:protection locked="1" hidden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7" fillId="10" borderId="0" xfId="0" applyNumberFormat="1" applyFont="1" applyFill="1" applyBorder="1" applyAlignment="1">
      <x:alignment horizontal="general" vertical="top" wrapText="1"/>
    </x:xf>
    <x:xf numFmtId="164" fontId="8" fillId="10" borderId="0" xfId="0" applyNumberFormat="1" applyFont="1" applyFill="1" applyBorder="1" applyAlignment="1">
      <x:alignment horizontal="general" vertical="top" wrapText="1"/>
    </x:xf>
    <x:xf numFmtId="164" fontId="9" fillId="10" borderId="0" xfId="0" applyNumberFormat="1" applyFont="1" applyFill="1" applyBorder="1" applyAlignment="1">
      <x:alignment horizontal="general" vertical="top" wrapText="1"/>
    </x:xf>
    <x:xf numFmtId="164" fontId="10" fillId="10" borderId="0" xfId="0" applyNumberFormat="1" applyFont="1" applyFill="1" applyBorder="1" applyAlignment="1">
      <x:alignment horizontal="general" vertical="top" wrapText="1"/>
    </x:xf>
    <x:xf numFmtId="175" fontId="8" fillId="10" borderId="0" xfId="0" applyNumberFormat="1" applyFont="1" applyFill="1" applyBorder="1" applyAlignment="1">
      <x:alignment horizontal="general" vertical="top" wrapText="1"/>
    </x:xf>
    <x:xf numFmtId="164" fontId="11" fillId="10" borderId="0" xfId="0" applyNumberFormat="1" applyFont="1" applyFill="1" applyBorder="1" applyAlignment="1">
      <x:alignment horizontal="general" vertical="top" wrapText="1"/>
    </x:xf>
    <x:xf numFmtId="164" fontId="8" fillId="10" borderId="1" xfId="0" applyNumberFormat="1" applyFont="1" applyFill="1" applyBorder="1" applyAlignment="1">
      <x:alignment horizontal="general" vertical="top" wrapText="1"/>
    </x:xf>
    <x:xf numFmtId="164" fontId="8" fillId="10" borderId="2" xfId="0" applyNumberFormat="1" applyFont="1" applyFill="1" applyBorder="1" applyAlignment="1">
      <x:alignment horizontal="general" vertical="top" wrapText="1"/>
    </x:xf>
    <x:xf numFmtId="164" fontId="8" fillId="10" borderId="3" xfId="0" applyNumberFormat="1" applyFont="1" applyFill="1" applyBorder="1" applyAlignment="1">
      <x:alignment horizontal="general" vertical="top" wrapText="1"/>
    </x:xf>
    <x:xf numFmtId="164" fontId="8" fillId="10" borderId="4" xfId="0" applyNumberFormat="1" applyFont="1" applyFill="1" applyBorder="1" applyAlignment="1">
      <x:alignment horizontal="general" vertical="top" wrapText="1"/>
    </x:xf>
    <x:xf numFmtId="164" fontId="14" fillId="10" borderId="0" xfId="0" applyNumberFormat="1" applyFont="1" applyFill="1" applyBorder="1" applyAlignment="1">
      <x:alignment horizontal="general" vertical="top" wrapText="1"/>
    </x:xf>
    <x:xf numFmtId="164" fontId="15" fillId="10" borderId="0" xfId="0" applyNumberFormat="1" applyFont="1" applyFill="1" applyBorder="1" applyAlignment="1">
      <x:alignment horizontal="general" vertical="top" wrapText="1"/>
    </x:xf>
    <x:xf numFmtId="164" fontId="16" fillId="10" borderId="0" xfId="0" applyNumberFormat="1" applyFont="1" applyFill="1" applyBorder="1" applyAlignment="1">
      <x:alignment horizontal="general" vertical="top" wrapText="1"/>
    </x:xf>
    <x:xf numFmtId="175" fontId="15" fillId="10" borderId="0" xfId="0" applyNumberFormat="1" applyFont="1" applyFill="1" applyBorder="1" applyAlignment="1">
      <x:alignment horizontal="general" vertical="top" wrapText="1"/>
    </x:xf>
    <x:xf numFmtId="164" fontId="17" fillId="10" borderId="0" xfId="0" applyNumberFormat="1" applyFont="1" applyFill="1" applyBorder="1" applyAlignment="1">
      <x:alignment horizontal="general" vertical="top" wrapText="1"/>
    </x:xf>
    <x:xf numFmtId="164" fontId="15" fillId="10" borderId="1" xfId="0" applyNumberFormat="1" applyFont="1" applyFill="1" applyBorder="1" applyAlignment="1">
      <x:alignment horizontal="general" vertical="top" wrapText="1"/>
    </x:xf>
    <x:xf numFmtId="164" fontId="15" fillId="10" borderId="2" xfId="0" applyNumberFormat="1" applyFont="1" applyFill="1" applyBorder="1" applyAlignment="1">
      <x:alignment horizontal="general" vertical="top" wrapText="1"/>
    </x:xf>
    <x:xf numFmtId="164" fontId="15" fillId="10" borderId="3" xfId="0" applyNumberFormat="1" applyFont="1" applyFill="1" applyBorder="1" applyAlignment="1">
      <x:alignment horizontal="general" vertical="top" wrapText="1"/>
    </x:xf>
    <x:xf numFmtId="164" fontId="15" fillId="10" borderId="4" xfId="0" applyNumberFormat="1" applyFont="1" applyFill="1" applyBorder="1" applyAlignment="1">
      <x:alignment horizontal="general" vertical="top" wrapText="1"/>
    </x:xf>
    <x:xf numFmtId="164" fontId="14" fillId="10" borderId="7" xfId="0" applyNumberFormat="1" applyFont="1" applyFill="1" applyBorder="1" applyAlignment="1">
      <x:alignment horizontal="general" vertical="top" wrapText="1"/>
    </x:xf>
    <x:xf numFmtId="164" fontId="15" fillId="10" borderId="7" xfId="0" applyNumberFormat="1" applyFont="1" applyFill="1" applyBorder="1" applyAlignment="1">
      <x:alignment horizontal="general" vertical="top" wrapText="1"/>
    </x:xf>
    <x:xf numFmtId="164" fontId="16" fillId="10" borderId="7" xfId="0" applyNumberFormat="1" applyFont="1" applyFill="1" applyBorder="1" applyAlignment="1">
      <x:alignment horizontal="general" vertical="top" wrapText="1"/>
    </x:xf>
    <x:xf numFmtId="175" fontId="15" fillId="10" borderId="7" xfId="0" applyNumberFormat="1" applyFont="1" applyFill="1" applyBorder="1" applyAlignment="1">
      <x:alignment horizontal="general" vertical="top" wrapText="1"/>
    </x:xf>
    <x:xf numFmtId="164" fontId="17" fillId="10" borderId="7" xfId="0" applyNumberFormat="1" applyFont="1" applyFill="1" applyBorder="1" applyAlignment="1">
      <x:alignment horizontal="general" vertical="top" wrapText="1"/>
    </x:xf>
    <x:xf numFmtId="164" fontId="15" fillId="11" borderId="7" xfId="0" applyNumberFormat="1" applyFont="1" applyFill="1" applyBorder="1" applyAlignment="1">
      <x:alignment horizontal="general" vertical="top" wrapText="1"/>
    </x:xf>
    <x:xf numFmtId="175" fontId="15" fillId="11" borderId="7" xfId="0" applyNumberFormat="1" applyFont="1" applyFill="1" applyBorder="1" applyAlignment="1">
      <x:alignment horizontal="general" vertical="top" wrapText="1"/>
    </x:xf>
    <x:xf numFmtId="164" fontId="16" fillId="11" borderId="7" xfId="0" applyNumberFormat="1" applyFont="1" applyFill="1" applyBorder="1" applyAlignment="1">
      <x:alignment horizontal="general" vertical="top" wrapText="1"/>
    </x:xf>
    <x:xf numFmtId="164" fontId="14" fillId="11" borderId="7" xfId="0" applyNumberFormat="1" applyFont="1" applyFill="1" applyBorder="1" applyAlignment="1">
      <x:alignment horizontal="general" vertical="top" wrapText="1"/>
    </x:xf>
    <x:xf numFmtId="164" fontId="17" fillId="11" borderId="7" xfId="0" applyNumberFormat="1" applyFont="1" applyFill="1" applyBorder="1" applyAlignment="1">
      <x:alignment horizontal="general" vertical="top" wrapText="1"/>
    </x:xf>
    <x:xf numFmtId="164" fontId="14" fillId="12" borderId="7" xfId="0" applyNumberFormat="1" applyFont="1" applyFill="1" applyBorder="1" applyAlignment="1">
      <x:alignment horizontal="general" vertical="top" wrapText="1"/>
    </x:xf>
    <x:xf numFmtId="164" fontId="15" fillId="12" borderId="7" xfId="0" applyNumberFormat="1" applyFont="1" applyFill="1" applyBorder="1" applyAlignment="1">
      <x:alignment horizontal="general" vertical="top" wrapText="1"/>
    </x:xf>
    <x:xf numFmtId="164" fontId="14" fillId="13" borderId="7" xfId="0" applyNumberFormat="1" applyFont="1" applyFill="1" applyBorder="1" applyAlignment="1">
      <x:alignment horizontal="general" vertical="top" wrapText="1"/>
    </x:xf>
    <x:xf numFmtId="164" fontId="15" fillId="13" borderId="7" xfId="0" applyNumberFormat="1" applyFont="1" applyFill="1" applyBorder="1" applyAlignment="1">
      <x:alignment horizontal="general" vertical="top" wrapText="1"/>
    </x:xf>
    <x:xf numFmtId="164" fontId="18" fillId="13" borderId="7" xfId="0" applyNumberFormat="1" applyFont="1" applyFill="1" applyBorder="1" applyAlignment="1">
      <x:alignment horizontal="general" vertical="top" wrapText="1"/>
    </x:xf>
    <x:xf numFmtId="164" fontId="16" fillId="12" borderId="7" xfId="0" applyNumberFormat="1" applyFont="1" applyFill="1" applyBorder="1" applyAlignment="1">
      <x:alignment horizontal="general" vertical="top" wrapText="1"/>
    </x:xf>
    <x:xf numFmtId="164" fontId="17" fillId="12" borderId="7" xfId="0" applyNumberFormat="1" applyFont="1" applyFill="1" applyBorder="1" applyAlignment="1">
      <x:alignment horizontal="general" vertical="top" wrapText="1"/>
    </x:xf>
    <x:xf numFmtId="164" fontId="8" fillId="10" borderId="5" xfId="0" applyNumberFormat="1" applyFont="1" applyFill="1" applyBorder="1" applyAlignment="1">
      <x:alignment horizontal="general" vertical="top" wrapText="1"/>
    </x:xf>
    <x:xf numFmtId="176" fontId="8" fillId="10" borderId="5" xfId="0" applyNumberFormat="1" applyFont="1" applyFill="1" applyBorder="1" applyAlignment="1">
      <x:alignment horizontal="general" vertical="top" wrapText="1"/>
    </x:xf>
    <x:xf numFmtId="177" fontId="8" fillId="10" borderId="5" xfId="0" applyNumberFormat="1" applyFont="1" applyFill="1" applyBorder="1" applyAlignment="1">
      <x:alignment horizontal="general" vertical="top" wrapText="1"/>
    </x:xf>
    <x:xf numFmtId="164" fontId="8" fillId="10" borderId="6" xfId="0" applyNumberFormat="1" applyFont="1" applyFill="1" applyBorder="1" applyAlignment="1">
      <x:alignment horizontal="general" vertical="top" wrapText="1"/>
    </x:xf>
    <x:xf numFmtId="176" fontId="8" fillId="10" borderId="6" xfId="0" applyNumberFormat="1" applyFont="1" applyFill="1" applyBorder="1" applyAlignment="1">
      <x:alignment horizontal="general" vertical="top" wrapText="1"/>
    </x:xf>
    <x:xf numFmtId="177" fontId="8" fillId="10" borderId="6" xfId="0" applyNumberFormat="1" applyFont="1" applyFill="1" applyBorder="1" applyAlignment="1">
      <x:alignment horizontal="general" vertical="top" wrapText="1"/>
    </x:xf>
    <x:xf numFmtId="164" fontId="15" fillId="10" borderId="5" xfId="0" applyNumberFormat="1" applyFont="1" applyFill="1" applyBorder="1" applyAlignment="1">
      <x:alignment horizontal="general" vertical="top" wrapText="1"/>
    </x:xf>
    <x:xf numFmtId="176" fontId="15" fillId="10" borderId="5" xfId="0" applyNumberFormat="1" applyFont="1" applyFill="1" applyBorder="1" applyAlignment="1">
      <x:alignment horizontal="general" vertical="top" wrapText="1"/>
    </x:xf>
    <x:xf numFmtId="177" fontId="15" fillId="10" borderId="5" xfId="0" applyNumberFormat="1" applyFont="1" applyFill="1" applyBorder="1" applyAlignment="1">
      <x:alignment horizontal="general" vertical="top" wrapText="1"/>
    </x:xf>
    <x:xf numFmtId="164" fontId="15" fillId="10" borderId="6" xfId="0" applyNumberFormat="1" applyFont="1" applyFill="1" applyBorder="1" applyAlignment="1">
      <x:alignment horizontal="general" vertical="top" wrapText="1"/>
    </x:xf>
    <x:xf numFmtId="176" fontId="15" fillId="10" borderId="6" xfId="0" applyNumberFormat="1" applyFont="1" applyFill="1" applyBorder="1" applyAlignment="1">
      <x:alignment horizontal="general" vertical="top" wrapText="1"/>
    </x:xf>
    <x:xf numFmtId="177" fontId="15" fillId="10" borderId="6" xfId="0" applyNumberFormat="1" applyFont="1" applyFill="1" applyBorder="1" applyAlignment="1">
      <x:alignment horizontal="general" vertical="top" wrapText="1"/>
    </x:xf>
    <x:xf numFmtId="176" fontId="15" fillId="10" borderId="7" xfId="0" applyNumberFormat="1" applyFont="1" applyFill="1" applyBorder="1" applyAlignment="1">
      <x:alignment horizontal="general" vertical="top" wrapText="1"/>
    </x:xf>
    <x:xf numFmtId="177" fontId="15" fillId="10" borderId="7" xfId="0" applyNumberFormat="1" applyFont="1" applyFill="1" applyBorder="1" applyAlignment="1">
      <x:alignment horizontal="general" vertical="top" wrapText="1"/>
    </x:xf>
    <x:xf numFmtId="176" fontId="15" fillId="11" borderId="7" xfId="0" applyNumberFormat="1" applyFont="1" applyFill="1" applyBorder="1" applyAlignment="1">
      <x:alignment horizontal="general" vertical="top" wrapText="1"/>
    </x:xf>
    <x:xf numFmtId="177" fontId="15" fillId="11" borderId="7" xfId="0" applyNumberFormat="1" applyFont="1" applyFill="1" applyBorder="1" applyAlignment="1">
      <x:alignment horizontal="general" vertical="top" wrapText="1"/>
    </x:xf>
    <x:xf numFmtId="164" fontId="18" fillId="12" borderId="7" xfId="0" applyNumberFormat="1" applyFont="1" applyFill="1" applyBorder="1" applyAlignment="1">
      <x:alignment horizontal="general" vertical="top" wrapText="1"/>
    </x:xf>
    <x:xf numFmtId="176" fontId="15" fillId="12" borderId="7" xfId="0" applyNumberFormat="1" applyFont="1" applyFill="1" applyBorder="1" applyAlignment="1">
      <x:alignment horizontal="general" vertical="top" wrapText="1"/>
    </x:xf>
    <x:xf numFmtId="177" fontId="15" fillId="12" borderId="7" xfId="0" applyNumberFormat="1" applyFont="1" applyFill="1" applyBorder="1" applyAlignment="1">
      <x:alignment horizontal="general" vertical="top" wrapText="1"/>
    </x:xf>
    <x:xf numFmtId="176" fontId="14" fillId="12" borderId="7" xfId="0" applyNumberFormat="1" applyFont="1" applyFill="1" applyBorder="1" applyAlignment="1">
      <x:alignment horizontal="general" vertical="top" wrapText="1"/>
    </x:xf>
    <x:xf numFmtId="177" fontId="14" fillId="12" borderId="7" xfId="0" applyNumberFormat="1" applyFont="1" applyFill="1" applyBorder="1" applyAlignment="1">
      <x:alignment horizontal="general" vertical="top" wrapText="1"/>
    </x:xf>
    <x:xf numFmtId="176" fontId="15" fillId="13" borderId="7" xfId="0" applyNumberFormat="1" applyFont="1" applyFill="1" applyBorder="1" applyAlignment="1">
      <x:alignment horizontal="general" vertical="top" wrapText="1"/>
    </x:xf>
    <x:xf numFmtId="177" fontId="15" fillId="13" borderId="7" xfId="0" applyNumberFormat="1" applyFont="1" applyFill="1" applyBorder="1" applyAlignment="1">
      <x:alignment horizontal="general" vertical="top" wrapText="1"/>
    </x:xf>
    <x:xf numFmtId="176" fontId="18" fillId="13" borderId="7" xfId="0" applyNumberFormat="1" applyFont="1" applyFill="1" applyBorder="1" applyAlignment="1">
      <x:alignment horizontal="general" vertical="top" wrapText="1"/>
    </x:xf>
    <x:xf numFmtId="177" fontId="18" fillId="13" borderId="7" xfId="0" applyNumberFormat="1" applyFont="1" applyFill="1" applyBorder="1" applyAlignment="1">
      <x:alignment horizontal="general" vertical="top" wrapText="1"/>
    </x:xf>
    <x:xf numFmtId="164" fontId="0" fillId="10" borderId="0" xfId="0" applyNumberFormat="1" applyFont="1" applyFill="1" applyBorder="1" applyAlignment="1">
      <x:alignment horizontal="general" vertical="bottom" wrapText="0"/>
    </x:xf>
    <x:xf numFmtId="164" fontId="12" fillId="10" borderId="0" xfId="0" applyNumberFormat="1" applyFont="1" applyFill="1" applyBorder="1" applyAlignment="1">
      <x:alignment horizontal="center" vertical="center" wrapText="0"/>
    </x:xf>
    <x:xf numFmtId="164" fontId="13" fillId="10" borderId="0" xfId="0" applyNumberFormat="1" applyFont="1" applyFill="1" applyBorder="1" applyAlignment="1">
      <x:alignment horizontal="center" vertical="bottom" wrapText="1"/>
    </x:xf>
    <x:xf numFmtId="164" fontId="0" fillId="10" borderId="0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0" borderId="0" xfId="0" applyNumberFormat="1" applyFont="1" applyFill="1" applyBorder="1" applyAlignment="1">
      <x:alignment horizontal="general" vertical="bottom" wrapText="0"/>
    </x:xf>
    <x:xf numFmtId="164" fontId="17" fillId="10" borderId="0" xfId="0" applyNumberFormat="1" applyFont="1" applyFill="1" applyBorder="1" applyAlignment="1">
      <x:alignment horizontal="center" vertical="center" wrapText="0"/>
    </x:xf>
    <x:xf numFmtId="164" fontId="17" fillId="10" borderId="0" xfId="0" applyNumberFormat="1" applyFont="1" applyFill="1" applyBorder="1" applyAlignment="1">
      <x:alignment horizontal="center" vertical="bottom" wrapText="1"/>
    </x:xf>
    <x:xf numFmtId="164" fontId="16" fillId="10" borderId="0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0" borderId="7" xfId="0" applyNumberFormat="1" applyFont="1" applyFill="1" applyBorder="1" applyAlignment="1">
      <x:alignment horizontal="general" vertical="bottom" wrapText="0"/>
    </x:xf>
    <x:xf numFmtId="164" fontId="17" fillId="10" borderId="7" xfId="0" applyNumberFormat="1" applyFont="1" applyFill="1" applyBorder="1" applyAlignment="1">
      <x:alignment horizontal="center" vertical="center" wrapText="0"/>
    </x:xf>
    <x:xf numFmtId="164" fontId="17" fillId="10" borderId="7" xfId="0" applyNumberFormat="1" applyFont="1" applyFill="1" applyBorder="1" applyAlignment="1">
      <x:alignment horizontal="center" vertical="bottom" wrapText="1"/>
    </x:xf>
    <x:xf numFmtId="164" fontId="16" fillId="10" borderId="7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1" borderId="7" xfId="0" applyNumberFormat="1" applyFont="1" applyFill="1" applyBorder="1" applyAlignment="1">
      <x:alignment horizontal="general" vertical="bottom" wrapText="0"/>
    </x:xf>
    <x:xf numFmtId="164" fontId="16" fillId="11" borderId="7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5" fillId="14" borderId="7" xfId="0" applyNumberFormat="1" applyFont="1" applyFill="1" applyBorder="1" applyAlignment="1">
      <x:alignment horizontal="general" vertical="top" wrapText="1"/>
    </x:xf>
    <x:xf numFmtId="164" fontId="19" fillId="14" borderId="7" xfId="0" applyNumberFormat="1" applyFont="1" applyFill="1" applyBorder="1" applyAlignment="1">
      <x:alignment horizontal="general" vertical="top" wrapText="1"/>
    </x:xf>
    <x:xf numFmtId="164" fontId="16" fillId="12" borderId="7" xfId="0" applyNumberFormat="1" applyFont="1" applyFill="1" applyBorder="1" applyAlignment="1">
      <x:alignment horizontal="general" vertical="bottom" wrapText="0"/>
    </x:xf>
    <x:xf numFmtId="164" fontId="17" fillId="12" borderId="7" xfId="0" applyNumberFormat="1" applyFont="1" applyFill="1" applyBorder="1" applyAlignment="1">
      <x:alignment horizontal="center" vertical="center" wrapText="0"/>
    </x:xf>
    <x:xf numFmtId="164" fontId="20" fillId="12" borderId="7" xfId="0" applyNumberFormat="1" applyFont="1" applyFill="1" applyBorder="1" applyAlignment="1">
      <x:alignment horizontal="general" vertical="bottom" wrapText="0"/>
    </x:xf>
    <x:xf numFmtId="164" fontId="20" fillId="12" borderId="7" xfId="0" applyNumberFormat="1" applyFont="1" applyFill="1" applyBorder="1" applyAlignment="1">
      <x:alignment horizontal="center" vertical="center" wrapText="0"/>
    </x:xf>
    <x:xf numFmtId="164" fontId="20" fillId="12" borderId="7" xfId="0" applyNumberFormat="1" applyFont="1" applyFill="1" applyBorder="1" applyAlignment="1">
      <x:alignment horizontal="center" vertical="bottom" wrapText="0"/>
    </x:xf>
    <x:xf numFmtId="164" fontId="17" fillId="13" borderId="7" xfId="0" applyNumberFormat="1" applyFont="1" applyFill="1" applyBorder="1" applyAlignment="1">
      <x:alignment horizontal="center" vertical="bottom" wrapText="1"/>
    </x:xf>
    <x:xf numFmtId="164" fontId="16" fillId="13" borderId="7" xfId="0" applyNumberFormat="1" applyFont="1" applyFill="1" applyBorder="1" applyAlignment="1">
      <x:alignment horizontal="general" vertical="bottom" wrapText="0"/>
    </x:xf>
    <x:xf numFmtId="164" fontId="21" fillId="13" borderId="7" xfId="0" applyNumberFormat="1" applyFont="1" applyFill="1" applyBorder="1" applyAlignment="1">
      <x:alignment horizontal="center" vertical="bottom" wrapText="1"/>
    </x:xf>
    <x:xf numFmtId="164" fontId="21" fillId="13" borderId="7" xfId="0" applyNumberFormat="1" applyFont="1" applyFill="1" applyBorder="1" applyAlignment="1">
      <x:alignment horizontal="general" vertical="bottom" wrapText="0"/>
    </x:xf>
    <x:xf numFmtId="164" fontId="21" fillId="13" borderId="7" xfId="0" applyNumberFormat="1" applyFont="1" applyFill="1" applyBorder="1" applyAlignment="1">
      <x:alignment horizontal="general" vertical="bottom" wrapText="1"/>
    </x:xf>
    <x:xf numFmtId="164" fontId="18" fillId="13" borderId="7" xfId="0" applyNumberFormat="1" applyFont="1" applyFill="1" applyBorder="1" applyAlignment="1">
      <x:alignment horizontal="center" vertical="top" wrapText="1"/>
    </x:xf>
    <x:xf numFmtId="164" fontId="18" fillId="13" borderId="7" xfId="0" applyNumberFormat="1" applyFont="1" applyFill="1" applyBorder="1" applyAlignment="1">
      <x:alignment horizontal="center" vertical="center" wrapText="1"/>
    </x:xf>
    <x:xf numFmtId="164" fontId="21" fillId="13" borderId="7" xfId="0" applyNumberFormat="1" applyFont="1" applyFill="1" applyBorder="1" applyAlignment="1">
      <x:alignment horizontal="center" vertical="center" wrapText="1"/>
    </x:xf>
    <x:xf numFmtId="164" fontId="20" fillId="15" borderId="7" xfId="0" applyNumberFormat="1" applyFont="1" applyFill="1" applyBorder="1" applyAlignment="1">
      <x:alignment horizontal="center" vertical="center" wrapText="0"/>
    </x:xf>
    <x:xf numFmtId="164" fontId="20" fillId="16" borderId="7" xfId="0" applyNumberFormat="1" applyFont="1" applyFill="1" applyBorder="1" applyAlignment="1">
      <x:alignment horizontal="center" vertical="center" wrapText="0"/>
    </x:xf>
    <x:xf numFmtId="175" fontId="15" fillId="11" borderId="7" xfId="0" applyNumberFormat="1" applyFont="1" applyFill="1" applyBorder="1" applyAlignment="1">
      <x:alignment horizontal="general" vertical="center" wrapText="1"/>
    </x:xf>
    <x:xf numFmtId="164" fontId="15" fillId="11" borderId="7" xfId="0" applyNumberFormat="1" applyFont="1" applyFill="1" applyBorder="1" applyAlignment="1">
      <x:alignment horizontal="general" vertical="center" wrapText="1"/>
    </x:xf>
    <x:xf numFmtId="164" fontId="16" fillId="11" borderId="7" xfId="0" applyNumberFormat="1" applyFont="1" applyFill="1" applyBorder="1" applyAlignment="1">
      <x:alignment horizontal="general" vertical="center" wrapText="0"/>
    </x:xf>
    <x:xf numFmtId="164" fontId="16" fillId="11" borderId="7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75" fontId="15" fillId="10" borderId="7" xfId="0" applyNumberFormat="1" applyFont="1" applyFill="1" applyBorder="1" applyAlignment="1">
      <x:alignment horizontal="general" vertical="center" wrapText="1"/>
    </x:xf>
    <x:xf numFmtId="164" fontId="15" fillId="10" borderId="7" xfId="0" applyNumberFormat="1" applyFont="1" applyFill="1" applyBorder="1" applyAlignment="1">
      <x:alignment horizontal="general" vertical="center" wrapText="1"/>
    </x:xf>
    <x:xf numFmtId="164" fontId="16" fillId="10" borderId="7" xfId="0" applyNumberFormat="1" applyFont="1" applyFill="1" applyBorder="1" applyAlignment="1">
      <x:alignment horizontal="general" vertical="center" wrapText="0"/>
    </x:xf>
    <x:xf numFmtId="164" fontId="16" fillId="10" borderId="7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1" borderId="7" xfId="0" applyNumberFormat="1" applyFont="1" applyFill="1" applyBorder="1" applyAlignment="1">
      <x:alignment horizontal="center" vertical="center" wrapText="0"/>
    </x:xf>
    <x:xf numFmtId="164" fontId="16" fillId="11" borderId="7" xfId="0" applyNumberFormat="1" applyFont="1" applyFill="1" applyBorder="1" applyAlignment="1">
      <x:alignment horizontal="center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0" borderId="7" xfId="0" applyNumberFormat="1" applyFont="1" applyFill="1" applyBorder="1" applyAlignment="1">
      <x:alignment horizontal="center" vertical="center" wrapText="0"/>
    </x:xf>
    <x:xf numFmtId="164" fontId="16" fillId="10" borderId="7" xfId="0" applyNumberFormat="1" applyFont="1" applyFill="1" applyBorder="1" applyAlignment="1">
      <x:alignment horizontal="center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1" borderId="7" xfId="0" applyNumberFormat="1" applyFont="1" applyFill="1" applyBorder="1" applyAlignment="1">
      <x:alignment horizontal="center" vertical="center" wrapText="1"/>
    </x:xf>
    <x:xf numFmtId="164" fontId="16" fillId="11" borderId="7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0" borderId="7" xfId="0" applyNumberFormat="1" applyFont="1" applyFill="1" applyBorder="1" applyAlignment="1">
      <x:alignment horizontal="center" vertical="center" wrapText="1"/>
    </x:xf>
    <x:xf numFmtId="164" fontId="16" fillId="10" borderId="7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2" fillId="11" borderId="7" xfId="0" applyNumberFormat="1" applyFont="1" applyFill="1" applyBorder="1" applyAlignment="1">
      <x:alignment horizontal="center" vertical="center" wrapText="1"/>
    </x:xf>
    <x:xf numFmtId="164" fontId="22" fillId="10" borderId="7" xfId="0" applyNumberFormat="1" applyFont="1" applyFill="1" applyBorder="1" applyAlignment="1">
      <x:alignment horizontal="center" vertical="center" wrapText="1"/>
    </x:xf>
    <x:xf numFmtId="164" fontId="20" fillId="15" borderId="8" xfId="0" applyNumberFormat="1" applyFont="1" applyFill="1" applyBorder="1" applyAlignment="1">
      <x:alignment horizontal="center" vertical="center" wrapText="0"/>
    </x:xf>
    <x:xf numFmtId="164" fontId="21" fillId="13" borderId="8" xfId="0" applyNumberFormat="1" applyFont="1" applyFill="1" applyBorder="1" applyAlignment="1">
      <x:alignment horizontal="center" vertical="center" wrapText="1"/>
    </x:xf>
    <x:xf numFmtId="164" fontId="22" fillId="11" borderId="8" xfId="0" applyNumberFormat="1" applyFont="1" applyFill="1" applyBorder="1" applyAlignment="1">
      <x:alignment horizontal="center" vertical="center" wrapText="1"/>
    </x:xf>
    <x:xf numFmtId="164" fontId="22" fillId="10" borderId="8" xfId="0" applyNumberFormat="1" applyFont="1" applyFill="1" applyBorder="1" applyAlignment="1">
      <x:alignment horizontal="center" vertical="center" wrapText="1"/>
    </x:xf>
    <x:xf numFmtId="164" fontId="20" fillId="16" borderId="8" xfId="0" applyNumberFormat="1" applyFont="1" applyFill="1" applyBorder="1" applyAlignment="1">
      <x:alignment horizontal="center" vertical="center" wrapText="0"/>
    </x:xf>
    <x:xf numFmtId="164" fontId="22" fillId="11" borderId="7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2" fillId="10" borderId="7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2" fillId="11" borderId="8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2" fillId="10" borderId="8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16" fillId="11" borderId="7" xfId="0" applyNumberFormat="1" applyFont="1" applyFill="1" applyBorder="1" applyAlignment="1">
      <x:alignment horizontal="center" vertical="center" wrapText="1"/>
    </x:xf>
    <x:xf numFmtId="177" fontId="16" fillId="10" borderId="7" xfId="0" applyNumberFormat="1" applyFont="1" applyFill="1" applyBorder="1" applyAlignment="1">
      <x:alignment horizontal="center" vertical="center" wrapText="1"/>
    </x:xf>
    <x:xf numFmtId="164" fontId="16" fillId="11" borderId="7" xfId="0" applyNumberFormat="1" applyFont="1" applyFill="1" applyBorder="1" applyAlignment="1">
      <x:alignment horizontal="general" vertical="center" wrapText="1"/>
    </x:xf>
    <x:xf numFmtId="164" fontId="16" fillId="10" borderId="7" xfId="0" applyNumberFormat="1" applyFont="1" applyFill="1" applyBorder="1" applyAlignment="1">
      <x:alignment horizontal="general" vertical="center" wrapText="1"/>
    </x:xf>
    <x:xf numFmtId="164" fontId="14" fillId="17" borderId="7" xfId="0" applyNumberFormat="1" applyFont="1" applyFill="1" applyBorder="1" applyAlignment="1">
      <x:alignment horizontal="general" vertical="top" wrapText="1"/>
    </x:xf>
    <x:xf numFmtId="164" fontId="15" fillId="17" borderId="7" xfId="0" applyNumberFormat="1" applyFont="1" applyFill="1" applyBorder="1" applyAlignment="1">
      <x:alignment horizontal="general" vertical="top" wrapText="1"/>
    </x:xf>
    <x:xf numFmtId="164" fontId="16" fillId="17" borderId="7" xfId="0" applyNumberFormat="1" applyFont="1" applyFill="1" applyBorder="1" applyAlignment="1">
      <x:alignment horizontal="general" vertical="top" wrapText="1"/>
    </x:xf>
    <x:xf numFmtId="164" fontId="18" fillId="17" borderId="7" xfId="0" applyNumberFormat="1" applyFont="1" applyFill="1" applyBorder="1" applyAlignment="1">
      <x:alignment horizontal="general" vertical="top" wrapText="1"/>
    </x:xf>
    <x:xf numFmtId="175" fontId="15" fillId="17" borderId="7" xfId="0" applyNumberFormat="1" applyFont="1" applyFill="1" applyBorder="1" applyAlignment="1">
      <x:alignment horizontal="general" vertical="top" wrapText="1"/>
    </x:xf>
    <x:xf numFmtId="164" fontId="19" fillId="17" borderId="7" xfId="0" applyNumberFormat="1" applyFont="1" applyFill="1" applyBorder="1" applyAlignment="1">
      <x:alignment horizontal="general" vertical="top" wrapText="1"/>
    </x:xf>
    <x:xf numFmtId="164" fontId="17" fillId="17" borderId="7" xfId="0" applyNumberFormat="1" applyFont="1" applyFill="1" applyBorder="1" applyAlignment="1">
      <x:alignment horizontal="general" vertical="top" wrapText="1"/>
    </x:xf>
    <x:xf numFmtId="164" fontId="23" fillId="17" borderId="7" xfId="0" applyNumberFormat="1" applyFont="1" applyFill="1" applyBorder="1" applyAlignment="1">
      <x:alignment horizontal="general" vertical="top" wrapText="1"/>
    </x:xf>
    <x:xf numFmtId="164" fontId="24" fillId="17" borderId="7" xfId="0" applyNumberFormat="1" applyFont="1" applyFill="1" applyBorder="1" applyAlignment="1">
      <x:alignment horizontal="general" vertical="top" wrapText="1"/>
    </x:xf>
    <x:xf numFmtId="175" fontId="23" fillId="17" borderId="7" xfId="0" applyNumberFormat="1" applyFont="1" applyFill="1" applyBorder="1" applyAlignment="1">
      <x:alignment horizontal="general" vertical="top" wrapText="1"/>
    </x:xf>
    <x:xf numFmtId="164" fontId="23" fillId="17" borderId="9" xfId="0" applyNumberFormat="1" applyFont="1" applyFill="1" applyBorder="1" applyAlignment="1">
      <x:alignment horizontal="general" vertical="top" wrapText="1"/>
    </x:xf>
    <x:xf numFmtId="164" fontId="24" fillId="17" borderId="9" xfId="0" applyNumberFormat="1" applyFont="1" applyFill="1" applyBorder="1" applyAlignment="1">
      <x:alignment horizontal="general" vertical="top" wrapText="1"/>
    </x:xf>
    <x:xf numFmtId="175" fontId="23" fillId="17" borderId="9" xfId="0" applyNumberFormat="1" applyFont="1" applyFill="1" applyBorder="1" applyAlignment="1">
      <x:alignment horizontal="general" vertical="top" wrapText="1"/>
    </x:xf>
    <x:xf numFmtId="164" fontId="23" fillId="18" borderId="9" xfId="0" applyNumberFormat="1" applyFont="1" applyFill="1" applyBorder="1" applyAlignment="1">
      <x:alignment horizontal="general" vertical="top" wrapText="1"/>
    </x:xf>
    <x:xf numFmtId="175" fontId="23" fillId="18" borderId="9" xfId="0" applyNumberFormat="1" applyFont="1" applyFill="1" applyBorder="1" applyAlignment="1">
      <x:alignment horizontal="general" vertical="top" wrapText="1"/>
    </x:xf>
    <x:xf numFmtId="164" fontId="24" fillId="18" borderId="9" xfId="0" applyNumberFormat="1" applyFont="1" applyFill="1" applyBorder="1" applyAlignment="1">
      <x:alignment horizontal="general" vertical="top" wrapText="1"/>
    </x:xf>
    <x:xf numFmtId="164" fontId="23" fillId="19" borderId="9" xfId="0" applyNumberFormat="1" applyFont="1" applyFill="1" applyBorder="1" applyAlignment="1">
      <x:alignment horizontal="general" vertical="top" wrapText="1"/>
    </x:xf>
    <x:xf numFmtId="164" fontId="25" fillId="19" borderId="9" xfId="0" applyNumberFormat="1" applyFont="1" applyFill="1" applyBorder="1" applyAlignment="1">
      <x:alignment horizontal="general" vertical="top" wrapText="1"/>
    </x:xf>
    <x:xf numFmtId="164" fontId="23" fillId="20" borderId="9" xfId="0" applyNumberFormat="1" applyFont="1" applyFill="1" applyBorder="1" applyAlignment="1">
      <x:alignment horizontal="general" vertical="top" wrapText="1"/>
    </x:xf>
    <x:xf numFmtId="164" fontId="18" fillId="20" borderId="9" xfId="0" applyNumberFormat="1" applyFont="1" applyFill="1" applyBorder="1" applyAlignment="1">
      <x:alignment horizontal="general" vertical="top" wrapText="1"/>
    </x:xf>
    <x:xf numFmtId="164" fontId="24" fillId="19" borderId="9" xfId="0" applyNumberFormat="1" applyFont="1" applyFill="1" applyBorder="1" applyAlignment="1">
      <x:alignment horizontal="general" vertical="top" wrapText="1"/>
    </x:xf>
    <x:xf numFmtId="164" fontId="26" fillId="19" borderId="9" xfId="0" applyNumberFormat="1" applyFont="1" applyFill="1" applyBorder="1" applyAlignment="1">
      <x:alignment horizontal="general" vertical="top" wrapText="1"/>
    </x:xf>
    <x:xf numFmtId="176" fontId="15" fillId="17" borderId="7" xfId="0" applyNumberFormat="1" applyFont="1" applyFill="1" applyBorder="1" applyAlignment="1">
      <x:alignment horizontal="general" vertical="top" wrapText="1"/>
    </x:xf>
    <x:xf numFmtId="177" fontId="15" fillId="17" borderId="7" xfId="0" applyNumberFormat="1" applyFont="1" applyFill="1" applyBorder="1" applyAlignment="1">
      <x:alignment horizontal="general" vertical="top" wrapText="1"/>
    </x:xf>
    <x:xf numFmtId="176" fontId="14" fillId="17" borderId="7" xfId="0" applyNumberFormat="1" applyFont="1" applyFill="1" applyBorder="1" applyAlignment="1">
      <x:alignment horizontal="general" vertical="top" wrapText="1"/>
    </x:xf>
    <x:xf numFmtId="177" fontId="14" fillId="17" borderId="7" xfId="0" applyNumberFormat="1" applyFont="1" applyFill="1" applyBorder="1" applyAlignment="1">
      <x:alignment horizontal="general" vertical="top" wrapText="1"/>
    </x:xf>
    <x:xf numFmtId="176" fontId="18" fillId="17" borderId="7" xfId="0" applyNumberFormat="1" applyFont="1" applyFill="1" applyBorder="1" applyAlignment="1">
      <x:alignment horizontal="general" vertical="top" wrapText="1"/>
    </x:xf>
    <x:xf numFmtId="177" fontId="18" fillId="17" borderId="7" xfId="0" applyNumberFormat="1" applyFont="1" applyFill="1" applyBorder="1" applyAlignment="1">
      <x:alignment horizontal="general" vertical="top" wrapText="1"/>
    </x:xf>
    <x:xf numFmtId="176" fontId="23" fillId="17" borderId="7" xfId="0" applyNumberFormat="1" applyFont="1" applyFill="1" applyBorder="1" applyAlignment="1">
      <x:alignment horizontal="general" vertical="top" wrapText="1"/>
    </x:xf>
    <x:xf numFmtId="177" fontId="23" fillId="17" borderId="7" xfId="0" applyNumberFormat="1" applyFont="1" applyFill="1" applyBorder="1" applyAlignment="1">
      <x:alignment horizontal="general" vertical="top" wrapText="1"/>
    </x:xf>
    <x:xf numFmtId="176" fontId="23" fillId="17" borderId="9" xfId="0" applyNumberFormat="1" applyFont="1" applyFill="1" applyBorder="1" applyAlignment="1">
      <x:alignment horizontal="general" vertical="top" wrapText="1"/>
    </x:xf>
    <x:xf numFmtId="177" fontId="23" fillId="17" borderId="9" xfId="0" applyNumberFormat="1" applyFont="1" applyFill="1" applyBorder="1" applyAlignment="1">
      <x:alignment horizontal="general" vertical="top" wrapText="1"/>
    </x:xf>
    <x:xf numFmtId="176" fontId="23" fillId="18" borderId="9" xfId="0" applyNumberFormat="1" applyFont="1" applyFill="1" applyBorder="1" applyAlignment="1">
      <x:alignment horizontal="general" vertical="top" wrapText="1"/>
    </x:xf>
    <x:xf numFmtId="177" fontId="23" fillId="18" borderId="9" xfId="0" applyNumberFormat="1" applyFont="1" applyFill="1" applyBorder="1" applyAlignment="1">
      <x:alignment horizontal="general" vertical="top" wrapText="1"/>
    </x:xf>
    <x:xf numFmtId="164" fontId="20" fillId="17" borderId="7" xfId="0" applyNumberFormat="1" applyFont="1" applyFill="1" applyBorder="1" applyAlignment="1">
      <x:alignment horizontal="center" vertical="center" wrapText="0"/>
    </x:xf>
    <x:xf numFmtId="164" fontId="20" fillId="17" borderId="8" xfId="0" applyNumberFormat="1" applyFont="1" applyFill="1" applyBorder="1" applyAlignment="1">
      <x:alignment horizontal="center" vertical="center" wrapText="0"/>
    </x:xf>
    <x:xf numFmtId="164" fontId="18" fillId="17" borderId="7" xfId="0" applyNumberFormat="1" applyFont="1" applyFill="1" applyBorder="1" applyAlignment="1">
      <x:alignment horizontal="center" vertical="center" wrapText="1"/>
    </x:xf>
    <x:xf numFmtId="164" fontId="21" fillId="17" borderId="8" xfId="0" applyNumberFormat="1" applyFont="1" applyFill="1" applyBorder="1" applyAlignment="1">
      <x:alignment horizontal="center" vertical="center" wrapText="1"/>
    </x:xf>
    <x:xf numFmtId="164" fontId="21" fillId="17" borderId="7" xfId="0" applyNumberFormat="1" applyFont="1" applyFill="1" applyBorder="1" applyAlignment="1">
      <x:alignment horizontal="center" vertical="center" wrapText="1"/>
    </x:xf>
    <x:xf numFmtId="175" fontId="15" fillId="17" borderId="7" xfId="0" applyNumberFormat="1" applyFont="1" applyFill="1" applyBorder="1" applyAlignment="1">
      <x:alignment horizontal="general" vertical="center" wrapText="1"/>
    </x:xf>
    <x:xf numFmtId="164" fontId="15" fillId="17" borderId="7" xfId="0" applyNumberFormat="1" applyFont="1" applyFill="1" applyBorder="1" applyAlignment="1">
      <x:alignment horizontal="general" vertical="center" wrapText="1"/>
    </x:xf>
    <x:xf numFmtId="164" fontId="22" fillId="17" borderId="8" xfId="0" applyNumberFormat="1" applyFont="1" applyFill="1" applyBorder="1" applyAlignment="1">
      <x:alignment horizontal="center" vertical="center" wrapText="1"/>
    </x:xf>
    <x:xf numFmtId="164" fontId="16" fillId="17" borderId="7" xfId="0" applyNumberFormat="1" applyFont="1" applyFill="1" applyBorder="1" applyAlignment="1">
      <x:alignment horizontal="center" vertical="center" wrapText="1"/>
    </x:xf>
    <x:xf numFmtId="164" fontId="22" fillId="17" borderId="8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16" fillId="17" borderId="7" xfId="0" applyNumberFormat="1" applyFont="1" applyFill="1" applyBorder="1" applyAlignment="1">
      <x:alignment horizontal="center" vertical="center" wrapText="1"/>
    </x:xf>
    <x:xf numFmtId="164" fontId="16" fillId="17" borderId="7" xfId="0" applyNumberFormat="1" applyFont="1" applyFill="1" applyBorder="1" applyAlignment="1">
      <x:alignment horizontal="general" vertical="center" wrapText="1"/>
    </x:xf>
    <x:xf numFmtId="164" fontId="24" fillId="17" borderId="7" xfId="0" applyNumberFormat="1" applyFont="1" applyFill="1" applyBorder="1" applyAlignment="1">
      <x:alignment horizontal="center" vertical="center" wrapText="0"/>
    </x:xf>
    <x:xf numFmtId="164" fontId="24" fillId="17" borderId="8" xfId="0" applyNumberFormat="1" applyFont="1" applyFill="1" applyBorder="1" applyAlignment="1">
      <x:alignment horizontal="center" vertical="center" wrapText="0"/>
    </x:xf>
    <x:xf numFmtId="164" fontId="23" fillId="17" borderId="7" xfId="0" applyNumberFormat="1" applyFont="1" applyFill="1" applyBorder="1" applyAlignment="1">
      <x:alignment horizontal="center" vertical="center" wrapText="1"/>
    </x:xf>
    <x:xf numFmtId="164" fontId="24" fillId="17" borderId="8" xfId="0" applyNumberFormat="1" applyFont="1" applyFill="1" applyBorder="1" applyAlignment="1">
      <x:alignment horizontal="center" vertical="center" wrapText="1"/>
    </x:xf>
    <x:xf numFmtId="164" fontId="24" fillId="17" borderId="7" xfId="0" applyNumberFormat="1" applyFont="1" applyFill="1" applyBorder="1" applyAlignment="1">
      <x:alignment horizontal="center" vertical="center" wrapText="1"/>
    </x:xf>
    <x:xf numFmtId="175" fontId="23" fillId="17" borderId="7" xfId="0" applyNumberFormat="1" applyFont="1" applyFill="1" applyBorder="1" applyAlignment="1">
      <x:alignment horizontal="general" vertical="center" wrapText="1"/>
    </x:xf>
    <x:xf numFmtId="164" fontId="23" fillId="17" borderId="7" xfId="0" applyNumberFormat="1" applyFont="1" applyFill="1" applyBorder="1" applyAlignment="1">
      <x:alignment horizontal="general" vertical="center" wrapText="1"/>
    </x:xf>
    <x:xf numFmtId="164" fontId="24" fillId="17" borderId="8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24" fillId="17" borderId="7" xfId="0" applyNumberFormat="1" applyFont="1" applyFill="1" applyBorder="1" applyAlignment="1">
      <x:alignment horizontal="center" vertical="center" wrapText="1"/>
    </x:xf>
    <x:xf numFmtId="164" fontId="24" fillId="17" borderId="7" xfId="0" applyNumberFormat="1" applyFont="1" applyFill="1" applyBorder="1" applyAlignment="1">
      <x:alignment horizontal="general" vertical="center" wrapText="1"/>
    </x:xf>
    <x:xf numFmtId="164" fontId="24" fillId="17" borderId="9" xfId="0" applyNumberFormat="1" applyFont="1" applyFill="1" applyBorder="1" applyAlignment="1">
      <x:alignment horizontal="center" vertical="center" wrapText="0"/>
    </x:xf>
    <x:xf numFmtId="164" fontId="23" fillId="17" borderId="9" xfId="0" applyNumberFormat="1" applyFont="1" applyFill="1" applyBorder="1" applyAlignment="1">
      <x:alignment horizontal="center" vertical="center" wrapText="1"/>
    </x:xf>
    <x:xf numFmtId="164" fontId="24" fillId="17" borderId="9" xfId="0" applyNumberFormat="1" applyFont="1" applyFill="1" applyBorder="1" applyAlignment="1">
      <x:alignment horizontal="center" vertical="center" wrapText="1"/>
    </x:xf>
    <x:xf numFmtId="175" fontId="23" fillId="17" borderId="9" xfId="0" applyNumberFormat="1" applyFont="1" applyFill="1" applyBorder="1" applyAlignment="1">
      <x:alignment horizontal="general" vertical="center" wrapText="1"/>
    </x:xf>
    <x:xf numFmtId="164" fontId="23" fillId="17" borderId="9" xfId="0" applyNumberFormat="1" applyFont="1" applyFill="1" applyBorder="1" applyAlignment="1">
      <x:alignment horizontal="general" vertical="center" wrapText="1"/>
    </x:xf>
    <x:xf numFmtId="164" fontId="24" fillId="17" borderId="9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24" fillId="17" borderId="9" xfId="0" applyNumberFormat="1" applyFont="1" applyFill="1" applyBorder="1" applyAlignment="1">
      <x:alignment horizontal="center" vertical="center" wrapText="1"/>
    </x:xf>
    <x:xf numFmtId="164" fontId="24" fillId="17" borderId="9" xfId="0" applyNumberFormat="1" applyFont="1" applyFill="1" applyBorder="1" applyAlignment="1">
      <x:alignment horizontal="general" vertical="center" wrapText="1"/>
    </x:xf>
    <x:xf numFmtId="175" fontId="23" fillId="18" borderId="9" xfId="0" applyNumberFormat="1" applyFont="1" applyFill="1" applyBorder="1" applyAlignment="1">
      <x:alignment horizontal="general" vertical="center" wrapText="1"/>
    </x:xf>
    <x:xf numFmtId="164" fontId="23" fillId="18" borderId="9" xfId="0" applyNumberFormat="1" applyFont="1" applyFill="1" applyBorder="1" applyAlignment="1">
      <x:alignment horizontal="general" vertical="center" wrapText="1"/>
    </x:xf>
    <x:xf numFmtId="164" fontId="24" fillId="18" borderId="9" xfId="0" applyNumberFormat="1" applyFont="1" applyFill="1" applyBorder="1" applyAlignment="1">
      <x:alignment horizontal="center" vertical="center" wrapText="1"/>
    </x:xf>
    <x:xf numFmtId="164" fontId="24" fillId="18" borderId="9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24" fillId="18" borderId="9" xfId="0" applyNumberFormat="1" applyFont="1" applyFill="1" applyBorder="1" applyAlignment="1">
      <x:alignment horizontal="center" vertical="center" wrapText="1"/>
    </x:xf>
    <x:xf numFmtId="164" fontId="24" fillId="18" borderId="9" xfId="0" applyNumberFormat="1" applyFont="1" applyFill="1" applyBorder="1" applyAlignment="1">
      <x:alignment horizontal="general" vertical="center" wrapText="1"/>
    </x:xf>
    <x:xf numFmtId="164" fontId="20" fillId="17" borderId="9" xfId="0" applyNumberFormat="1" applyFont="1" applyFill="1" applyBorder="1" applyAlignment="1">
      <x:alignment horizontal="center" vertical="center" wrapText="0"/>
    </x:xf>
    <x:xf numFmtId="164" fontId="20" fillId="21" borderId="9" xfId="0" applyNumberFormat="1" applyFont="1" applyFill="1" applyBorder="1" applyAlignment="1">
      <x:alignment horizontal="center" vertical="center" wrapText="0"/>
    </x:xf>
    <x:xf numFmtId="164" fontId="20" fillId="22" borderId="9" xfId="0" applyNumberFormat="1" applyFont="1" applyFill="1" applyBorder="1" applyAlignment="1">
      <x:alignment horizontal="center" vertical="center" wrapText="0"/>
    </x:xf>
    <x:xf numFmtId="164" fontId="23" fillId="20" borderId="9" xfId="0" applyNumberFormat="1" applyFont="1" applyFill="1" applyBorder="1" applyAlignment="1">
      <x:alignment horizontal="center" vertical="center" wrapText="1"/>
    </x:xf>
    <x:xf numFmtId="164" fontId="24" fillId="20" borderId="9" xfId="0" applyNumberFormat="1" applyFont="1" applyFill="1" applyBorder="1" applyAlignment="1">
      <x:alignment horizontal="center" vertical="center" wrapText="1"/>
    </x:xf>
    <x:xf numFmtId="164" fontId="18" fillId="20" borderId="9" xfId="0" applyNumberFormat="1" applyFont="1" applyFill="1" applyBorder="1" applyAlignment="1">
      <x:alignment horizontal="center" vertical="center" wrapText="1"/>
    </x:xf>
    <x:xf numFmtId="164" fontId="21" fillId="20" borderId="9" xfId="0" applyNumberFormat="1" applyFont="1" applyFill="1" applyBorder="1" applyAlignment="1">
      <x:alignment horizontal="center" vertical="center" wrapText="1"/>
    </x:xf>
    <x:xf numFmtId="164" fontId="20" fillId="21" borderId="10" xfId="0" applyNumberFormat="1" applyFont="1" applyFill="1" applyBorder="1" applyAlignment="1">
      <x:alignment horizontal="center" vertical="center" wrapText="0"/>
    </x:xf>
    <x:xf numFmtId="164" fontId="21" fillId="20" borderId="10" xfId="0" applyNumberFormat="1" applyFont="1" applyFill="1" applyBorder="1" applyAlignment="1">
      <x:alignment horizontal="center" vertical="center" wrapText="1"/>
    </x:xf>
    <x:xf numFmtId="164" fontId="24" fillId="18" borderId="10" xfId="0" applyNumberFormat="1" applyFont="1" applyFill="1" applyBorder="1" applyAlignment="1">
      <x:alignment horizontal="center" vertical="center" wrapText="1"/>
    </x:xf>
    <x:xf numFmtId="164" fontId="24" fillId="17" borderId="10" xfId="0" applyNumberFormat="1" applyFont="1" applyFill="1" applyBorder="1" applyAlignment="1">
      <x:alignment horizontal="center" vertical="center" wrapText="1"/>
    </x:xf>
    <x:xf numFmtId="164" fontId="20" fillId="22" borderId="10" xfId="0" applyNumberFormat="1" applyFont="1" applyFill="1" applyBorder="1" applyAlignment="1">
      <x:alignment horizontal="center" vertical="center" wrapText="0"/>
    </x:xf>
    <x:xf numFmtId="164" fontId="24" fillId="18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4" fillId="17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0" fillId="17" borderId="10" xfId="0" applyNumberFormat="1" applyFont="1" applyFill="1" applyBorder="1" applyAlignment="1">
      <x:alignment horizontal="center" vertical="center" wrapText="0"/>
    </x:xf>
    <x:xf numFmtId="164" fontId="24" fillId="18" borderId="10" xfId="0" applyNumberFormat="1" applyFont="1" applyFill="1" applyBorder="1" applyAlignment="1">
      <x:alignment horizontal="general" vertical="center" wrapText="1"/>
    </x:xf>
    <x:xf numFmtId="164" fontId="24" fillId="17" borderId="10" xfId="0" applyNumberFormat="1" applyFont="1" applyFill="1" applyBorder="1" applyAlignment="1">
      <x:alignment horizontal="general" vertical="center" wrapText="1"/>
    </x:xf>
    <x:xf numFmtId="164" fontId="23" fillId="23" borderId="9" xfId="0" applyNumberFormat="1" applyFont="1" applyFill="1" applyBorder="1" applyAlignment="1">
      <x:alignment horizontal="general" vertical="top" wrapText="1"/>
    </x:xf>
    <x:xf numFmtId="164" fontId="19" fillId="23" borderId="9" xfId="0" applyNumberFormat="1" applyFont="1" applyFill="1" applyBorder="1" applyAlignment="1">
      <x:alignment horizontal="general" vertical="top" wrapText="1"/>
    </x:xf>
    <x:xf numFmtId="177" fontId="16" fillId="18" borderId="9" xfId="0" applyNumberFormat="1" applyFont="1" applyFill="1" applyBorder="1" applyAlignment="1">
      <x:alignment horizontal="center" vertical="center" wrapText="1"/>
    </x:xf>
    <x:xf numFmtId="200" fontId="16" fillId="10" borderId="9" xfId="0" applyNumberFormat="1" applyFont="1" applyFill="1" applyBorder="1" applyAlignment="1">
      <x:alignment horizontal="center" vertical="center" wrapText="1"/>
    </x:xf>
    <x:xf numFmtId="200" fontId="16" fillId="18" borderId="9" xfId="0" applyNumberFormat="1" applyFont="1" applyFill="1" applyBorder="1" applyAlignment="1">
      <x:alignment horizontal="center" vertical="center" wrapText="1"/>
    </x:xf>
    <x:xf numFmtId="164" fontId="15" fillId="24" borderId="9" xfId="0" applyNumberFormat="1" applyFont="1" applyFill="1" applyBorder="1" applyAlignment="1">
      <x:alignment horizontal="general" vertical="center" wrapText="1"/>
    </x:xf>
    <x:xf numFmtId="164" fontId="15" fillId="25" borderId="9" xfId="0" applyNumberFormat="1" applyFont="1" applyFill="1" applyBorder="1" applyAlignment="1">
      <x:alignment horizontal="general" vertical="center" wrapText="1"/>
    </x:xf>
    <x:xf numFmtId="164" fontId="16" fillId="24" borderId="10" xfId="0" applyNumberFormat="1" applyFont="1" applyFill="1" applyBorder="1" applyAlignment="1">
      <x:alignment horizontal="center" vertical="center" wrapText="1"/>
    </x:xf>
    <x:xf numFmtId="177" fontId="16" fillId="24" borderId="9" xfId="0" applyNumberFormat="1" applyFont="1" applyFill="1" applyBorder="1" applyAlignment="1">
      <x:alignment horizontal="center" vertical="center" wrapText="1"/>
    </x:xf>
    <x:xf numFmtId="164" fontId="16" fillId="24" borderId="9" xfId="0" applyNumberFormat="1" applyFont="1" applyFill="1" applyBorder="1" applyAlignment="1">
      <x:alignment horizontal="center" vertical="center" wrapText="1"/>
    </x:xf>
    <x:xf numFmtId="164" fontId="16" fillId="24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24" borderId="10" xfId="0" applyNumberFormat="1" applyFont="1" applyFill="1" applyBorder="1" applyAlignment="1">
      <x:alignment horizontal="general" vertical="center" wrapText="1"/>
    </x:xf>
    <x:xf numFmtId="164" fontId="16" fillId="25" borderId="10" xfId="0" applyNumberFormat="1" applyFont="1" applyFill="1" applyBorder="1" applyAlignment="1">
      <x:alignment horizontal="center" vertical="center" wrapText="1"/>
    </x:xf>
    <x:xf numFmtId="200" fontId="16" fillId="25" borderId="9" xfId="0" applyNumberFormat="1" applyFont="1" applyFill="1" applyBorder="1" applyAlignment="1">
      <x:alignment horizontal="center" vertical="center" wrapText="1"/>
    </x:xf>
    <x:xf numFmtId="164" fontId="16" fillId="25" borderId="9" xfId="0" applyNumberFormat="1" applyFont="1" applyFill="1" applyBorder="1" applyAlignment="1">
      <x:alignment horizontal="center" vertical="center" wrapText="1"/>
    </x:xf>
    <x:xf numFmtId="164" fontId="16" fillId="25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16" fillId="25" borderId="9" xfId="0" applyNumberFormat="1" applyFont="1" applyFill="1" applyBorder="1" applyAlignment="1">
      <x:alignment horizontal="center" vertical="center" wrapText="1"/>
    </x:xf>
    <x:xf numFmtId="164" fontId="16" fillId="25" borderId="10" xfId="0" applyNumberFormat="1" applyFont="1" applyFill="1" applyBorder="1" applyAlignment="1">
      <x:alignment horizontal="general" vertical="center" wrapText="1"/>
    </x:xf>
    <x:xf numFmtId="200" fontId="16" fillId="24" borderId="9" xfId="0" applyNumberFormat="1" applyFont="1" applyFill="1" applyBorder="1" applyAlignment="1">
      <x:alignment horizontal="center" vertical="center" wrapText="1"/>
    </x:xf>
    <x:xf numFmtId="164" fontId="15" fillId="24" borderId="9" xfId="0" applyNumberFormat="1" applyFont="1" applyFill="1" applyBorder="1" applyAlignment="1">
      <x:alignment horizontal="general" vertical="top" wrapText="1"/>
    </x:xf>
    <x:xf numFmtId="175" fontId="15" fillId="24" borderId="9" xfId="0" applyNumberFormat="1" applyFont="1" applyFill="1" applyBorder="1" applyAlignment="1">
      <x:alignment horizontal="general" vertical="top" wrapText="1"/>
    </x:xf>
    <x:xf numFmtId="164" fontId="19" fillId="24" borderId="9" xfId="0" applyNumberFormat="1" applyFont="1" applyFill="1" applyBorder="1" applyAlignment="1">
      <x:alignment horizontal="general" vertical="top" wrapText="1"/>
    </x:xf>
    <x:xf numFmtId="164" fontId="16" fillId="24" borderId="9" xfId="0" applyNumberFormat="1" applyFont="1" applyFill="1" applyBorder="1" applyAlignment="1">
      <x:alignment horizontal="general" vertical="top" wrapText="1"/>
    </x:xf>
    <x:xf numFmtId="164" fontId="15" fillId="25" borderId="9" xfId="0" applyNumberFormat="1" applyFont="1" applyFill="1" applyBorder="1" applyAlignment="1">
      <x:alignment horizontal="general" vertical="top" wrapText="1"/>
    </x:xf>
    <x:xf numFmtId="164" fontId="16" fillId="25" borderId="9" xfId="0" applyNumberFormat="1" applyFont="1" applyFill="1" applyBorder="1" applyAlignment="1">
      <x:alignment horizontal="general" vertical="top" wrapText="1"/>
    </x:xf>
    <x:xf numFmtId="176" fontId="15" fillId="24" borderId="9" xfId="0" applyNumberFormat="1" applyFont="1" applyFill="1" applyBorder="1" applyAlignment="1">
      <x:alignment horizontal="general" vertical="top" wrapText="1"/>
    </x:xf>
    <x:xf numFmtId="176" fontId="15" fillId="25" borderId="9" xfId="0" applyNumberFormat="1" applyFont="1" applyFill="1" applyBorder="1" applyAlignment="1">
      <x:alignment horizontal="general" vertical="top" wrapText="1"/>
    </x:xf>
    <x:xf numFmtId="164" fontId="15" fillId="26" borderId="9" xfId="0" applyNumberFormat="1" applyFont="1" applyFill="1" applyBorder="1" applyAlignment="1">
      <x:alignment horizontal="general" vertical="top" wrapText="1"/>
    </x:xf>
    <x:xf numFmtId="175" fontId="15" fillId="26" borderId="9" xfId="0" applyNumberFormat="1" applyFont="1" applyFill="1" applyBorder="1" applyAlignment="1">
      <x:alignment horizontal="general" vertical="top" wrapText="1"/>
    </x:xf>
    <x:xf numFmtId="164" fontId="19" fillId="26" borderId="9" xfId="0" applyNumberFormat="1" applyFont="1" applyFill="1" applyBorder="1" applyAlignment="1">
      <x:alignment horizontal="general" vertical="top" wrapText="1"/>
    </x:xf>
    <x:xf numFmtId="164" fontId="19" fillId="27" borderId="9" xfId="0" applyNumberFormat="1" applyFont="1" applyFill="1" applyBorder="1" applyAlignment="1">
      <x:alignment horizontal="general" vertical="top" wrapText="1"/>
    </x:xf>
    <x:xf numFmtId="164" fontId="16" fillId="26" borderId="9" xfId="0" applyNumberFormat="1" applyFont="1" applyFill="1" applyBorder="1" applyAlignment="1">
      <x:alignment horizontal="general" vertical="top" wrapText="1"/>
    </x:xf>
    <x:xf numFmtId="164" fontId="15" fillId="28" borderId="9" xfId="0" applyNumberFormat="1" applyFont="1" applyFill="1" applyBorder="1" applyAlignment="1">
      <x:alignment horizontal="general" vertical="top" wrapText="1"/>
    </x:xf>
    <x:xf numFmtId="164" fontId="16" fillId="28" borderId="9" xfId="0" applyNumberFormat="1" applyFont="1" applyFill="1" applyBorder="1" applyAlignment="1">
      <x:alignment horizontal="general" vertical="top" wrapText="1"/>
    </x:xf>
    <x:xf numFmtId="176" fontId="15" fillId="26" borderId="9" xfId="0" applyNumberFormat="1" applyFont="1" applyFill="1" applyBorder="1" applyAlignment="1">
      <x:alignment horizontal="general" vertical="top" wrapText="1"/>
    </x:xf>
    <x:xf numFmtId="176" fontId="15" fillId="28" borderId="9" xfId="0" applyNumberFormat="1" applyFont="1" applyFill="1" applyBorder="1" applyAlignment="1">
      <x:alignment horizontal="general" vertical="top" wrapText="1"/>
    </x:xf>
    <x:xf numFmtId="164" fontId="16" fillId="29" borderId="9" xfId="0" applyNumberFormat="1" applyFont="1" applyFill="1" applyBorder="1" applyAlignment="1">
      <x:alignment horizontal="general" vertical="center" wrapText="1"/>
    </x:xf>
    <x:xf numFmtId="164" fontId="16" fillId="30" borderId="9" xfId="0" applyNumberFormat="1" applyFont="1" applyFill="1" applyBorder="1" applyAlignment="1">
      <x:alignment horizontal="general" vertical="center" wrapText="1"/>
    </x:xf>
    <x:xf numFmtId="164" fontId="15" fillId="18" borderId="9" xfId="0" applyNumberFormat="1" applyFont="1" applyFill="1" applyBorder="1" applyAlignment="1">
      <x:alignment horizontal="general" vertical="center" wrapText="1"/>
    </x:xf>
    <x:xf numFmtId="164" fontId="20" fillId="31" borderId="9" xfId="0" applyNumberFormat="1" applyFont="1" applyFill="1" applyBorder="1" applyAlignment="1">
      <x:alignment horizontal="center" vertical="center" wrapText="0"/>
    </x:xf>
    <x:xf numFmtId="164" fontId="20" fillId="31" borderId="10" xfId="0" applyNumberFormat="1" applyFont="1" applyFill="1" applyBorder="1" applyAlignment="1">
      <x:alignment horizontal="center" vertical="center" wrapText="0"/>
    </x:xf>
    <x:xf numFmtId="164" fontId="18" fillId="13" borderId="9" xfId="0" applyNumberFormat="1" applyFont="1" applyFill="1" applyBorder="1" applyAlignment="1">
      <x:alignment horizontal="general" vertical="top" wrapText="1"/>
    </x:xf>
    <x:xf numFmtId="177" fontId="19" fillId="23" borderId="9" xfId="0" applyNumberFormat="1" applyFont="1" applyFill="1" applyBorder="1" applyAlignment="1">
      <x:alignment horizontal="general" vertical="top" wrapText="1"/>
    </x:xf>
    <x:xf numFmtId="177" fontId="19" fillId="32" borderId="9" xfId="0" applyNumberFormat="1" applyFont="1" applyFill="1" applyBorder="1" applyAlignment="1">
      <x:alignment horizontal="general" vertical="top" wrapText="1"/>
    </x:xf>
    <x:xf numFmtId="177" fontId="14" fillId="32" borderId="9" xfId="0" applyNumberFormat="1" applyFont="1" applyFill="1" applyBorder="1" applyAlignment="1">
      <x:alignment horizontal="general" vertical="top" wrapText="1"/>
    </x:xf>
    <x:xf numFmtId="176" fontId="15" fillId="33" borderId="9" xfId="0" applyNumberFormat="1" applyFont="1" applyFill="1" applyBorder="1" applyAlignment="1">
      <x:alignment horizontal="general" vertical="top" wrapText="1"/>
    </x:xf>
    <x:xf numFmtId="177" fontId="15" fillId="33" borderId="9" xfId="0" applyNumberFormat="1" applyFont="1" applyFill="1" applyBorder="1" applyAlignment="1">
      <x:alignment horizontal="general" vertical="top" wrapText="1"/>
    </x:xf>
    <x:xf numFmtId="164" fontId="15" fillId="33" borderId="9" xfId="0" applyNumberFormat="1" applyFont="1" applyFill="1" applyBorder="1" applyAlignment="1">
      <x:alignment horizontal="general" vertical="top" wrapText="1"/>
    </x:xf>
    <x:xf numFmtId="176" fontId="15" fillId="34" borderId="9" xfId="0" applyNumberFormat="1" applyFont="1" applyFill="1" applyBorder="1" applyAlignment="1">
      <x:alignment horizontal="general" vertical="top" wrapText="1"/>
    </x:xf>
    <x:xf numFmtId="177" fontId="15" fillId="34" borderId="9" xfId="0" applyNumberFormat="1" applyFont="1" applyFill="1" applyBorder="1" applyAlignment="1">
      <x:alignment horizontal="general" vertical="top" wrapText="1"/>
    </x:xf>
    <x:xf numFmtId="164" fontId="15" fillId="34" borderId="9" xfId="0" applyNumberFormat="1" applyFont="1" applyFill="1" applyBorder="1" applyAlignment="1">
      <x:alignment horizontal="general" vertical="top" wrapText="1"/>
    </x:xf>
    <x:xf numFmtId="177" fontId="15" fillId="35" borderId="9" xfId="0" applyNumberFormat="1" applyFont="1" applyFill="1" applyBorder="1" applyAlignment="1">
      <x:alignment horizontal="general" vertical="top" wrapText="1"/>
    </x:xf>
    <x:xf numFmtId="177" fontId="15" fillId="36" borderId="9" xfId="0" applyNumberFormat="1" applyFont="1" applyFill="1" applyBorder="1" applyAlignment="1">
      <x:alignment horizontal="general" vertical="top" wrapText="1"/>
    </x:xf>
    <x:xf numFmtId="164" fontId="25" fillId="37" borderId="9" xfId="0" applyNumberFormat="1" applyFont="1" applyFill="1" applyBorder="1" applyAlignment="1">
      <x:alignment horizontal="general" vertical="top" wrapText="1"/>
    </x:xf>
    <x:xf numFmtId="164" fontId="26" fillId="37" borderId="9" xfId="0" applyNumberFormat="1" applyFont="1" applyFill="1" applyBorder="1" applyAlignment="1">
      <x:alignment horizontal="general" vertical="top" wrapText="1"/>
    </x:xf>
    <x:xf numFmtId="164" fontId="14" fillId="37" borderId="9" xfId="0" applyNumberFormat="1" applyFont="1" applyFill="1" applyBorder="1" applyAlignment="1">
      <x:alignment horizontal="general" vertical="top" wrapText="1"/>
    </x:xf>
    <x:xf numFmtId="164" fontId="17" fillId="37" borderId="9" xfId="0" applyNumberFormat="1" applyFont="1" applyFill="1" applyBorder="1" applyAlignment="1">
      <x:alignment horizontal="general" vertical="top" wrapText="1"/>
    </x:xf>
    <x:xf numFmtId="164" fontId="27" fillId="0" borderId="0" xfId="0" applyNumberFormat="1" applyFont="1" applyFill="1" applyBorder="1" applyAlignment="1">
      <x:alignment horizontal="general" vertical="bottom" wrapText="0"/>
    </x:xf>
    <x:xf numFmtId="164" fontId="28" fillId="0" borderId="0" xfId="0" applyNumberFormat="1" applyFont="1" applyFill="1" applyBorder="1" applyAlignment="1">
      <x:alignment horizontal="general" vertical="bottom" wrapText="0"/>
    </x:xf>
    <x:xf numFmtId="164" fontId="21" fillId="0" borderId="0" xfId="0" applyNumberFormat="1" applyFont="1" applyFill="1" applyBorder="1" applyAlignment="1">
      <x:alignment horizontal="general" vertical="bottom" wrapText="0"/>
    </x:xf>
    <x:xf numFmtId="164" fontId="0" fillId="0" borderId="0" xfId="0" applyNumberFormat="1" applyFont="1" applyFill="1" applyBorder="1" applyAlignment="1">
      <x:alignment horizontal="general" vertical="bottom" wrapText="0"/>
    </x:xf>
    <x:xf numFmtId="164" fontId="0" fillId="0" borderId="0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0" borderId="0" xfId="0" applyNumberFormat="1" applyFont="1" applyFill="1" applyBorder="1" applyAlignment="1">
      <x:alignment horizontal="general" vertical="center" wrapText="0"/>
    </x:xf>
    <x:xf numFmtId="164" fontId="0" fillId="0" borderId="0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38" borderId="0" xfId="0" applyNumberFormat="1" applyFont="1" applyFill="1" applyBorder="1" applyAlignment="1">
      <x:alignment horizontal="general" vertical="center" wrapText="0"/>
    </x:xf>
    <x:xf numFmtId="164" fontId="17" fillId="38" borderId="0" xfId="0" applyNumberFormat="1" applyFont="1" applyFill="1" applyBorder="1" applyAlignment="1">
      <x:alignment horizontal="general" vertical="center" wrapText="0"/>
    </x:xf>
    <x:xf numFmtId="164" fontId="17" fillId="38" borderId="0" xfId="0" applyNumberFormat="1" applyFont="1" applyFill="1" applyBorder="1" applyAlignment="1">
      <x:alignment horizontal="general" vertical="center" wrapText="1"/>
    </x:xf>
    <x:xf numFmtId="164" fontId="0" fillId="39" borderId="0" xfId="0" applyNumberFormat="1" applyFont="1" applyFill="1" applyBorder="1" applyAlignment="1">
      <x:alignment horizontal="general" vertical="center" wrapText="0"/>
    </x:xf>
    <x:xf numFmtId="164" fontId="0" fillId="39" borderId="0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40" borderId="0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40" borderId="0" xfId="0" applyNumberFormat="1" applyFont="1" applyFill="1" applyBorder="1" applyAlignment="1">
      <x:alignment horizontal="general" vertical="center" wrapText="0"/>
    </x:xf>
    <x:xf numFmtId="164" fontId="0" fillId="41" borderId="0" xfId="0" applyNumberFormat="1" applyFont="1" applyFill="1" applyBorder="1" applyAlignment="1">
      <x:alignment horizontal="general" vertical="center" wrapText="0"/>
    </x:xf>
    <x:xf numFmtId="164" fontId="0" fillId="41" borderId="0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42" borderId="0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42" borderId="0" xfId="0" applyNumberFormat="1" applyFont="1" applyFill="1" applyBorder="1" applyAlignment="1">
      <x:alignment horizontal="general" vertical="center" wrapText="0"/>
    </x:xf>
    <x:xf numFmtId="201" fontId="0" fillId="39" borderId="0" xfId="0" applyNumberFormat="1" applyFont="1" applyFill="1" applyBorder="1" applyAlignment="1">
      <x:alignment horizontal="general" vertical="center" wrapText="0"/>
    </x:xf>
    <x:xf numFmtId="201" fontId="0" fillId="41" borderId="0" xfId="0" applyNumberFormat="1" applyFont="1" applyFill="1" applyBorder="1" applyAlignment="1">
      <x:alignment horizontal="general" vertical="center" wrapText="0"/>
    </x:xf>
    <x:xf numFmtId="202" fontId="0" fillId="40" borderId="0" xfId="0" applyNumberFormat="1" applyFont="1" applyFill="1" applyBorder="1" applyAlignment="1">
      <x:alignment horizontal="general" vertical="center" wrapText="0"/>
    </x:xf>
    <x:xf numFmtId="202" fontId="0" fillId="39" borderId="0" xfId="0" applyNumberFormat="1" applyFont="1" applyFill="1" applyBorder="1" applyAlignment="1">
      <x:alignment horizontal="general" vertical="center" wrapText="0"/>
    </x:xf>
    <x:xf numFmtId="202" fontId="0" fillId="42" borderId="0" xfId="0" applyNumberFormat="1" applyFont="1" applyFill="1" applyBorder="1" applyAlignment="1">
      <x:alignment horizontal="general" vertical="center" wrapText="0"/>
    </x:xf>
    <x:xf numFmtId="202" fontId="0" fillId="41" borderId="0" xfId="0" applyNumberFormat="1" applyFont="1" applyFill="1" applyBorder="1" applyAlignment="1">
      <x:alignment horizontal="general" vertical="center" wrapText="0"/>
    </x:xf>
    <x:xf numFmtId="164" fontId="0" fillId="38" borderId="0" xfId="0" applyNumberFormat="1" applyFont="1" applyFill="1" applyBorder="1" applyAlignment="1">
      <x:alignment horizontal="general" vertical="bottom" wrapText="0"/>
    </x:xf>
    <x:xf numFmtId="164" fontId="17" fillId="38" borderId="0" xfId="0" applyNumberFormat="1" applyFont="1" applyFill="1" applyBorder="1" applyAlignment="1">
      <x:alignment horizontal="general" vertical="bottom" wrapText="0"/>
    </x:xf>
    <x:xf numFmtId="164" fontId="0" fillId="43" borderId="0" xfId="0" applyNumberFormat="1" applyFont="1" applyFill="1" applyBorder="1" applyAlignment="1">
      <x:alignment horizontal="general" vertical="bottom" wrapText="0"/>
    </x:xf>
    <x:xf numFmtId="164" fontId="17" fillId="43" borderId="0" xfId="0" applyNumberFormat="1" applyFont="1" applyFill="1" applyBorder="1" applyAlignment="1">
      <x:alignment horizontal="general" vertical="bottom" wrapText="0"/>
    </x:xf>
    <x:xf numFmtId="164" fontId="17" fillId="43" borderId="0" xfId="0" applyNumberFormat="1" applyFont="1" applyFill="1" applyBorder="1" applyAlignment="1">
      <x:alignment horizontal="general" vertical="bottom" wrapText="1"/>
    </x:xf>
    <x:xf numFmtId="164" fontId="17" fillId="43" borderId="0" xfId="0" applyNumberFormat="1" applyFont="1" applyFill="1" applyBorder="1" applyAlignment="1">
      <x:alignment horizontal="general" vertical="center" wrapText="1"/>
    </x:xf>
    <x:xf numFmtId="202" fontId="0" fillId="0" borderId="0" xfId="0" applyNumberFormat="1" applyFont="1" applyFill="1" applyBorder="1" applyAlignment="1">
      <x:alignment horizontal="general" vertical="center" wrapText="0"/>
    </x:xf>
    <x:xf numFmtId="177" fontId="0" fillId="0" borderId="0" xfId="0" applyNumberFormat="1" applyFont="1" applyFill="1" applyBorder="1" applyAlignment="1">
      <x:alignment horizontal="general" vertical="center" wrapText="0"/>
    </x:xf>
    <x:xf numFmtId="177" fontId="0" fillId="39" borderId="0" xfId="0" applyNumberFormat="1" applyFont="1" applyFill="1" applyBorder="1" applyAlignment="1">
      <x:alignment horizontal="general" vertical="center" wrapText="0"/>
    </x:xf>
    <x:xf numFmtId="177" fontId="0" fillId="41" borderId="0" xfId="0" applyNumberFormat="1" applyFont="1" applyFill="1" applyBorder="1" applyAlignment="1">
      <x:alignment horizontal="general" vertical="center" wrapText="0"/>
    </x:xf>
    <x:xf numFmtId="164" fontId="15" fillId="18" borderId="9" xfId="0" applyNumberFormat="1" applyFont="1" applyFill="1" applyBorder="1" applyAlignment="1">
      <x:alignment horizontal="general" vertical="top" wrapText="1"/>
    </x:xf>
    <x:xf numFmtId="175" fontId="15" fillId="18" borderId="9" xfId="0" applyNumberFormat="1" applyFont="1" applyFill="1" applyBorder="1" applyAlignment="1">
      <x:alignment horizontal="general" vertical="top" wrapText="1"/>
    </x:xf>
    <x:xf numFmtId="177" fontId="14" fillId="18" borderId="9" xfId="0" applyNumberFormat="1" applyFont="1" applyFill="1" applyBorder="1" applyAlignment="1">
      <x:alignment horizontal="general" vertical="top" wrapText="1"/>
    </x:xf>
    <x:xf numFmtId="164" fontId="15" fillId="44" borderId="9" xfId="0" applyNumberFormat="1" applyFont="1" applyFill="1" applyBorder="1" applyAlignment="1">
      <x:alignment horizontal="general" vertical="top" wrapText="1"/>
    </x:xf>
    <x:xf numFmtId="175" fontId="15" fillId="44" borderId="9" xfId="0" applyNumberFormat="1" applyFont="1" applyFill="1" applyBorder="1" applyAlignment="1">
      <x:alignment horizontal="general" vertical="top" wrapText="1"/>
    </x:xf>
    <x:xf numFmtId="177" fontId="14" fillId="44" borderId="9" xfId="0" applyNumberFormat="1" applyFont="1" applyFill="1" applyBorder="1" applyAlignment="1">
      <x:alignment horizontal="general" vertical="top" wrapText="1"/>
    </x:xf>
    <x:xf numFmtId="177" fontId="15" fillId="44" borderId="9" xfId="0" applyNumberFormat="1" applyFont="1" applyFill="1" applyBorder="1" applyAlignment="1">
      <x:alignment horizontal="general" vertical="top" wrapText="1"/>
    </x:xf>
    <x:xf numFmtId="164" fontId="15" fillId="45" borderId="9" xfId="0" applyNumberFormat="1" applyFont="1" applyFill="1" applyBorder="1" applyAlignment="1">
      <x:alignment horizontal="general" vertical="top" wrapText="1"/>
    </x:xf>
    <x:xf numFmtId="175" fontId="15" fillId="45" borderId="9" xfId="0" applyNumberFormat="1" applyFont="1" applyFill="1" applyBorder="1" applyAlignment="1">
      <x:alignment horizontal="general" vertical="top" wrapText="1"/>
    </x:xf>
    <x:xf numFmtId="177" fontId="14" fillId="45" borderId="9" xfId="0" applyNumberFormat="1" applyFont="1" applyFill="1" applyBorder="1" applyAlignment="1">
      <x:alignment horizontal="general" vertical="top" wrapText="1"/>
    </x:xf>
    <x:xf numFmtId="177" fontId="15" fillId="45" borderId="9" xfId="0" applyNumberFormat="1" applyFont="1" applyFill="1" applyBorder="1" applyAlignment="1">
      <x:alignment horizontal="general" vertical="top" wrapText="1"/>
    </x:xf>
    <x:xf numFmtId="164" fontId="29" fillId="0" borderId="0" xfId="0" applyNumberFormat="1" applyFont="1" applyFill="1" applyBorder="1" applyAlignment="1">
      <x:alignment horizontal="general" vertical="bottom" wrapText="0"/>
    </x:xf>
    <x:xf numFmtId="164" fontId="0" fillId="46" borderId="0" xfId="0" applyNumberFormat="1" applyFont="1" applyFill="1" applyBorder="1" applyAlignment="1">
      <x:alignment horizontal="general" vertical="bottom" wrapText="0"/>
    </x:xf>
    <x:xf numFmtId="164" fontId="17" fillId="46" borderId="0" xfId="0" applyNumberFormat="1" applyFont="1" applyFill="1" applyBorder="1" applyAlignment="1">
      <x:alignment horizontal="general" vertical="bottom" wrapText="0"/>
    </x:xf>
    <x:xf numFmtId="164" fontId="17" fillId="46" borderId="0" xfId="0" applyNumberFormat="1" applyFont="1" applyFill="1" applyBorder="1" applyAlignment="1">
      <x:alignment horizontal="general" vertical="bottom" wrapText="1"/>
    </x:xf>
    <x:xf numFmtId="164" fontId="30" fillId="0" borderId="0" xfId="0" applyNumberFormat="1" applyFont="1" applyFill="1" applyBorder="1" applyAlignment="1">
      <x:alignment horizontal="general" vertical="bottom" wrapText="0"/>
    </x:xf>
    <x:xf numFmtId="164" fontId="30" fillId="0" borderId="0" xfId="0" applyNumberFormat="1" applyFont="1" applyFill="1" applyBorder="1" applyAlignment="1">
      <x:alignment horizontal="general" vertical="center" wrapText="0"/>
    </x:xf>
    <x:xf numFmtId="164" fontId="30" fillId="47" borderId="0" xfId="0" applyNumberFormat="1" applyFont="1" applyFill="1" applyBorder="1" applyAlignment="1">
      <x:alignment horizontal="general" vertical="center" wrapText="0"/>
    </x:xf>
    <x:xf numFmtId="164" fontId="30" fillId="45" borderId="0" xfId="0" applyNumberFormat="1" applyFont="1" applyFill="1" applyBorder="1" applyAlignment="1">
      <x:alignment horizontal="general" vertical="center" wrapText="0"/>
    </x:xf>
    <x:xf numFmtId="164" fontId="30" fillId="48" borderId="0" xfId="0" applyNumberFormat="1" applyFont="1" applyFill="1" applyBorder="1" applyAlignment="1">
      <x:alignment horizontal="general" vertical="center" wrapText="0"/>
    </x:xf>
    <x:xf numFmtId="164" fontId="30" fillId="44" borderId="0" xfId="0" applyNumberFormat="1" applyFont="1" applyFill="1" applyBorder="1" applyAlignment="1">
      <x:alignment horizontal="general" vertical="center" wrapText="0"/>
    </x:xf>
    <x:xf numFmtId="201" fontId="30" fillId="47" borderId="0" xfId="0" applyNumberFormat="1" applyFont="1" applyFill="1" applyBorder="1" applyAlignment="1">
      <x:alignment horizontal="general" vertical="center" wrapText="0"/>
    </x:xf>
    <x:xf numFmtId="201" fontId="30" fillId="48" borderId="0" xfId="0" applyNumberFormat="1" applyFont="1" applyFill="1" applyBorder="1" applyAlignment="1">
      <x:alignment horizontal="general" vertical="center" wrapText="0"/>
    </x:xf>
    <x:xf numFmtId="177" fontId="30" fillId="45" borderId="0" xfId="0" applyNumberFormat="1" applyFont="1" applyFill="1" applyBorder="1" applyAlignment="1">
      <x:alignment horizontal="general" vertical="center" wrapText="0"/>
    </x:xf>
    <x:xf numFmtId="177" fontId="30" fillId="47" borderId="0" xfId="0" applyNumberFormat="1" applyFont="1" applyFill="1" applyBorder="1" applyAlignment="1">
      <x:alignment horizontal="general" vertical="center" wrapText="0"/>
    </x:xf>
    <x:xf numFmtId="177" fontId="30" fillId="44" borderId="0" xfId="0" applyNumberFormat="1" applyFont="1" applyFill="1" applyBorder="1" applyAlignment="1">
      <x:alignment horizontal="general" vertical="center" wrapText="0"/>
    </x:xf>
    <x:xf numFmtId="177" fontId="30" fillId="48" borderId="0" xfId="0" applyNumberFormat="1" applyFont="1" applyFill="1" applyBorder="1" applyAlignment="1">
      <x:alignment horizontal="general" vertical="center" wrapText="0"/>
    </x:xf>
    <x:xf numFmtId="203" fontId="30" fillId="47" borderId="0" xfId="0" applyNumberFormat="1" applyFont="1" applyFill="1" applyBorder="1" applyAlignment="1">
      <x:alignment horizontal="general" vertical="center" wrapText="0"/>
    </x:xf>
    <x:xf numFmtId="203" fontId="30" fillId="48" borderId="0" xfId="0" applyNumberFormat="1" applyFont="1" applyFill="1" applyBorder="1" applyAlignment="1">
      <x:alignment horizontal="general" vertical="center" wrapText="0"/>
    </x:xf>
    <x:xf numFmtId="164" fontId="30" fillId="45" borderId="0" xfId="0" applyNumberFormat="1" applyFont="1" applyFill="1" applyBorder="1" applyAlignment="1">
      <x:alignment horizontal="general" vertical="center" wrapText="1"/>
    </x:xf>
    <x:xf numFmtId="164" fontId="30" fillId="44" borderId="0" xfId="0" applyNumberFormat="1" applyFont="1" applyFill="1" applyBorder="1" applyAlignment="1">
      <x:alignment horizontal="general" vertical="center" wrapText="1"/>
    </x:xf>
    <x:xf numFmtId="164" fontId="30" fillId="47" borderId="0" xfId="0" applyNumberFormat="1" applyFont="1" applyFill="1" applyBorder="1" applyAlignment="1">
      <x:alignment horizontal="general" vertical="center" wrapText="1"/>
    </x:xf>
    <x:xf numFmtId="164" fontId="30" fillId="48" borderId="0" xfId="0" applyNumberFormat="1" applyFont="1" applyFill="1" applyBorder="1" applyAlignment="1">
      <x:alignment horizontal="general" vertical="center" wrapText="1"/>
    </x:xf>
    <x:xf numFmtId="202" fontId="0" fillId="48" borderId="0" xfId="0" applyNumberFormat="1" applyFont="1" applyFill="1" applyBorder="1" applyAlignment="1">
      <x:alignment horizontal="general" vertical="center" wrapText="0"/>
    </x:xf>
    <x:xf numFmtId="202" fontId="0" fillId="47" borderId="0" xfId="0" applyNumberFormat="1" applyFont="1" applyFill="1" applyBorder="1" applyAlignment="1">
      <x:alignment horizontal="general" vertical="center" wrapText="0"/>
    </x:xf>
    <x:xf numFmtId="177" fontId="0" fillId="48" borderId="0" xfId="0" applyNumberFormat="1" applyFont="1" applyFill="1" applyBorder="1" applyAlignment="1">
      <x:alignment horizontal="general" vertical="center" wrapText="0"/>
    </x:xf>
    <x:xf numFmtId="177" fontId="0" fillId="47" borderId="0" xfId="0" applyNumberFormat="1" applyFont="1" applyFill="1" applyBorder="1" applyAlignment="1">
      <x:alignment horizontal="general" vertical="center" wrapText="0"/>
    </x:xf>
    <x:xf numFmtId="164" fontId="21" fillId="13" borderId="10" xfId="0" applyNumberFormat="1" applyFont="1" applyFill="1" applyBorder="1" applyAlignment="1">
      <x:alignment horizontal="center" vertical="center" wrapText="1"/>
    </x:xf>
    <x:xf numFmtId="164" fontId="0" fillId="49" borderId="0" xfId="0" applyNumberFormat="1" applyFont="1" applyFill="1" applyBorder="1" applyAlignment="1">
      <x:alignment horizontal="general" vertical="bottom" wrapText="0"/>
    </x:xf>
    <x:xf numFmtId="164" fontId="17" fillId="49" borderId="0" xfId="0" applyNumberFormat="1" applyFont="1" applyFill="1" applyBorder="1" applyAlignment="1">
      <x:alignment horizontal="general" vertical="bottom" wrapText="0"/>
    </x:xf>
    <x:xf numFmtId="164" fontId="16" fillId="23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0" fillId="16" borderId="9" xfId="0" applyNumberFormat="1" applyFont="1" applyFill="1" applyBorder="1" applyAlignment="1">
      <x:alignment horizontal="center" vertical="center" wrapText="0"/>
    </x:xf>
    <x:xf numFmtId="164" fontId="20" fillId="16" borderId="10" xfId="0" applyNumberFormat="1" applyFont="1" applyFill="1" applyBorder="1" applyAlignment="1">
      <x:alignment horizontal="center" vertical="center" wrapText="0"/>
    </x:xf>
    <x:xf numFmtId="164" fontId="15" fillId="10" borderId="9" xfId="0" applyNumberFormat="1" applyFont="1" applyFill="1" applyBorder="1" applyAlignment="1">
      <x:alignment horizontal="general" vertical="top" wrapText="1"/>
    </x:xf>
    <x:xf numFmtId="164" fontId="0" fillId="50" borderId="0" xfId="0" applyNumberFormat="1" applyFont="1" applyFill="1" applyBorder="1" applyAlignment="1">
      <x:alignment horizontal="general" vertical="bottom" wrapText="0"/>
    </x:xf>
    <x:xf numFmtId="202" fontId="0" fillId="50" borderId="0" xfId="0" applyNumberFormat="1" applyFont="1" applyFill="1" applyBorder="1" applyAlignment="1">
      <x:alignment horizontal="general" vertical="bottom" wrapText="0"/>
    </x:xf>
    <x:xf numFmtId="203" fontId="30" fillId="10" borderId="0" xfId="0" applyNumberFormat="1" applyFont="1" applyFill="1" applyBorder="1" applyAlignment="1">
      <x:alignment horizontal="general" vertical="center" wrapText="0"/>
    </x:xf>
    <x:xf numFmtId="203" fontId="30" fillId="39" borderId="0" xfId="0" applyNumberFormat="1" applyFont="1" applyFill="1" applyBorder="1" applyAlignment="1">
      <x:alignment horizontal="general" vertical="center" wrapText="0"/>
    </x:xf>
  </x:cellXfs>
  <x:cellStyles count="19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Comma" xfId="20"/>
    <x:cellStyle name="Comma 1" xfId="21"/>
    <x:cellStyle name="Comma [0]" xfId="22"/>
    <x:cellStyle name="Comma [0] 2" xfId="23"/>
    <x:cellStyle name="Currency" xfId="24"/>
    <x:cellStyle name="Currency 3" xfId="25"/>
    <x:cellStyle name="Currency [0]" xfId="26"/>
    <x:cellStyle name="Currency [0] 4" xfId="27"/>
    <x:cellStyle name="Normal" xfId="28"/>
    <x:cellStyle name="Normal 1" xfId="29"/>
    <x:cellStyle name="Normal 5" xfId="30"/>
    <x:cellStyle name="Percent" xfId="31"/>
    <x:cellStyle name="Percent 6" xfId="32"/>
  </x:cellStyles>
  <x:dxfs count="15">
    <x:dxf>
      <x:fill>
        <x:patternFill>
          <x:bgColor rgb="FF33465E"/>
        </x:patternFill>
      </x:fill>
    </x:dxf>
    <x:dxf>
      <x:fill>
        <x:patternFill>
          <x:bgColor rgb="FFFFF4D6"/>
        </x:patternFill>
      </x:fill>
    </x:dxf>
    <x:dxf>
      <x:fill>
        <x:patternFill>
          <x:bgColor rgb="FF243247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DFEEE2"/>
        </x:patternFill>
      </x:fill>
    </x:dxf>
    <x:dxf>
      <x:font>
        <x:b/>
        <x:color rgb="FF2D6543"/>
      </x:font>
      <x:fill>
        <x:patternFill>
          <x:bgColor rgb="FFDFEEE3"/>
        </x:patternFill>
      </x:fill>
    </x:dxf>
    <x:dxf>
      <x:font>
        <x:b/>
        <x:color rgb="FF2D6543"/>
      </x:font>
      <x:fill>
        <x:patternFill>
          <x:bgColor rgb="FFDFEEE3"/>
        </x:patternFill>
      </x:fill>
    </x:dxf>
    <x:dxf>
      <x:font>
        <x:b/>
        <x:color rgb="FF2D6543"/>
      </x:font>
      <x:fill>
        <x:patternFill>
          <x:bgColor rgb="FFDFEEE3"/>
        </x:patternFill>
      </x:fill>
    </x:dxf>
    <x:dxf>
      <x:font>
        <x:b/>
        <x:color rgb="FF2D6543"/>
      </x:font>
      <x:fill>
        <x:patternFill>
          <x:bgColor rgb="FFDFEEE3"/>
        </x:patternFill>
      </x:fill>
    </x:dxf>
    <x:dxf>
      <x:font>
        <x:color rgb="FF9C2525"/>
      </x:font>
      <x:fill>
        <x:patternFill>
          <x:bgColor rgb="FFFCE8E6"/>
        </x:patternFill>
      </x:fill>
    </x:dxf>
    <x:dxf>
      <x:font>
        <x:b/>
        <x:color rgb="FF24523B"/>
      </x:font>
      <x:fill>
        <x:patternFill>
          <x:bgColor rgb="FFCDE8D7"/>
        </x:patternFill>
      </x:fill>
    </x:dxf>
    <x:dxf>
      <x:font>
        <x:color rgb="FF24523B"/>
      </x:font>
      <x:fill>
        <x:patternFill>
          <x:bgColor rgb="FFCDE8D7"/>
        </x:patternFill>
      </x:fill>
    </x:dxf>
    <x:dxf>
      <x:font>
        <x:color rgb="FF24523B"/>
      </x:font>
      <x:fill>
        <x:patternFill>
          <x:bgColor rgb="FFCDE8D7"/>
        </x:patternFill>
      </x:fill>
    </x:dxf>
    <x:dxf>
      <x:font>
        <x:color rgb="FF24523B"/>
      </x:font>
      <x:fill>
        <x:patternFill>
          <x:bgColor rgb="FFCDE8D7"/>
        </x:patternFill>
      </x:fill>
    </x:dxf>
    <x:dxf>
      <x:font>
        <x:color rgb="FF24523B"/>
      </x:font>
      <x:fill>
        <x:patternFill>
          <x:bgColor rgb="FFCDE8D7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D9E3EF"/>
      <x:rgbColor rgb="FF808080"/>
      <x:rgbColor rgb="FF9999FF"/>
      <x:rgbColor rgb="FF993366"/>
      <x:rgbColor rgb="FFFFF4D5"/>
      <x:rgbColor rgb="FFE8F3EC"/>
      <x:rgbColor rgb="FF660066"/>
      <x:rgbColor rgb="FFFF8080"/>
      <x:rgbColor rgb="FF0066CC"/>
      <x:rgbColor rgb="FFCCD6E2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E8EFF8"/>
      <x:rgbColor rgb="FFDFEEE2"/>
      <x:rgbColor rgb="FFFFF4D6"/>
      <x:rgbColor rgb="FFF0F2F5"/>
      <x:rgbColor rgb="FFFF99CC"/>
      <x:rgbColor rgb="FFCC99FF"/>
      <x:rgbColor rgb="FFE6ECF3"/>
      <x:rgbColor rgb="FF3366FF"/>
      <x:rgbColor rgb="FF33CCCC"/>
      <x:rgbColor rgb="FF99CC00"/>
      <x:rgbColor rgb="FFFFCC00"/>
      <x:rgbColor rgb="FFFF9900"/>
      <x:rgbColor rgb="FFFF6600"/>
      <x:rgbColor rgb="FF666699"/>
      <x:rgbColor rgb="FF8297AD"/>
      <x:rgbColor rgb="FF003366"/>
      <x:rgbColor rgb="FF339966"/>
      <x:rgbColor rgb="FF003300"/>
      <x:rgbColor rgb="FF333300"/>
      <x:rgbColor rgb="FF993300"/>
      <x:rgbColor rgb="FF993366"/>
      <x:rgbColor rgb="FF33465E"/>
      <x:rgbColor rgb="FF243247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c51596805d44bb" /><Relationship Type="http://schemas.openxmlformats.org/officeDocument/2006/relationships/theme" Target="/xl/theme/theme1.xml" Id="R91abec6246984f66" /><Relationship Type="http://schemas.microsoft.com/office/2022/11/relationships/FeaturePropertyBag" Target="/xl/featurePropertyBag/featurePropertyBag.xml" Id="Rf6dc615c20ce4d7d" /><Relationship Type="http://schemas.openxmlformats.org/officeDocument/2006/relationships/sharedStrings" Target="/xl/sharedStrings.xml" Id="Rab40c43bd27f4a8a" /><Relationship Type="http://schemas.openxmlformats.org/officeDocument/2006/relationships/worksheet" Target="/xl/worksheets/sheet1.xml" Id="R926f027438f44f44" /><Relationship Type="http://schemas.openxmlformats.org/officeDocument/2006/relationships/worksheet" Target="/xl/worksheets/sheet2.xml" Id="Rc8fe40f5bcce450d" /><Relationship Type="http://schemas.openxmlformats.org/officeDocument/2006/relationships/worksheet" Target="/xl/worksheets/sheet3.xml" Id="R8ada640bb1774a79" /><Relationship Type="http://schemas.openxmlformats.org/officeDocument/2006/relationships/worksheet" Target="/xl/worksheets/sheet4.xml" Id="Rfff7e0a72eef4eb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xerciseArsenal" displayName="ExerciseArsenal" ref="A35:D90" headerRowCount="1" totalsRowCount="0" totalsRowShown="0">
  <x:tableColumns count="4">
    <x:tableColumn id="1" name="Group"/>
    <x:tableColumn id="2" name="Exercise"/>
    <x:tableColumn id="3" name="Base intensity (0–10)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823d3aa471d47bc" /></Relationships>
</file>

<file path=xl/worksheets/sheet1.xml><?xml version="1.0" encoding="utf-8"?>
<x:worksheet xmlns:r="http://schemas.openxmlformats.org/officeDocument/2006/relationships" xmlns:x="http://schemas.openxmlformats.org/spreadsheetml/2006/main">
  <x:sheetPr>
    <x:tabColor rgb="FF33465E"/>
  </x:sheetPr>
  <x:sheetViews>
    <x:sheetView showGridLines="0" workbookViewId="0"/>
  </x:sheetViews>
  <x:sheetFormatPr defaultColWidth="8.6796875" defaultRowHeight="15"/>
  <x:cols>
    <x:col min="1" max="2" width="15" style="1" hidden="0" customWidth="1"/>
    <x:col min="3" max="3" width="28" style="1" hidden="0" customWidth="1"/>
    <x:col min="4" max="6" width="55" style="1" hidden="0" customWidth="1"/>
    <x:col min="7" max="7" width="16" style="1" hidden="0" customWidth="1"/>
    <x:col min="8" max="9" width="62" style="1" hidden="0" customWidth="1"/>
  </x:cols>
  <x:sheetData>
    <x:row r="1" ht="26" hidden="0" customHeight="1">
      <x:c r="A1" s="181" t="s">
        <x:v>0</x:v>
      </x:c>
      <x:c r="B1" s="181"/>
      <x:c r="C1" s="181"/>
      <x:c r="D1" s="181"/>
      <x:c r="E1" s="181"/>
      <x:c r="F1" s="181"/>
      <x:c r="G1" s="181"/>
      <x:c r="H1" s="175"/>
      <x:c r="I1" s="175"/>
    </x:row>
    <x:row r="2" ht="28" hidden="0" customHeight="1">
      <x:c r="A2" s="183" t="s">
        <x:v>1</x:v>
      </x:c>
      <x:c r="B2" s="183" t="s">
        <x:v>2</x:v>
      </x:c>
      <x:c r="C2" s="183" t="s">
        <x:v>3</x:v>
      </x:c>
      <x:c r="D2" s="183" t="s">
        <x:v>4</x:v>
      </x:c>
      <x:c r="E2" s="183" t="s">
        <x:v>5</x:v>
      </x:c>
      <x:c r="F2" s="183" t="str">
        <x:v>max_sets</x:v>
      </x:c>
      <x:c r="G2" s="292" t="str">
        <x:v>max_reps</x:v>
      </x:c>
      <x:c r="H2" s="175"/>
      <x:c r="I2" s="175"/>
    </x:row>
    <x:row r="3" ht="54" hidden="0" customHeight="1">
      <x:c r="A3" s="177" t="s">
        <x:v>6</x:v>
      </x:c>
      <x:c r="B3" s="177" t="s">
        <x:v>7</x:v>
      </x:c>
      <x:c r="C3" s="278" t="s">
        <x:v>8</x:v>
      </x:c>
      <x:c r="D3" s="278" t="s">
        <x:v>9</x:v>
      </x:c>
      <x:c r="E3" s="279" t="n">
        <x:v>46321.5</x:v>
      </x:c>
      <x:c r="F3" s="295" t="n">
        <x:v>3</x:v>
      </x:c>
      <x:c r="G3" s="295" t="n">
        <x:v>5</x:v>
      </x:c>
      <x:c r="H3" s="179"/>
      <x:c r="I3" s="179"/>
    </x:row>
    <x:row r="4" ht="18" hidden="0" customHeight="1">
      <x:c r="A4" s="174"/>
      <x:c r="B4" s="174"/>
      <x:c r="C4" s="174"/>
      <x:c r="D4" s="174"/>
      <x:c r="E4" s="174"/>
      <x:c r="F4" s="174"/>
      <x:c r="G4" s="174"/>
      <x:c r="H4" s="175"/>
      <x:c r="I4" s="175"/>
    </x:row>
    <x:row r="5" ht="26" hidden="0" customHeight="1">
      <x:c r="A5" s="181" t="s">
        <x:v>10</x:v>
      </x:c>
      <x:c r="B5" s="181"/>
      <x:c r="C5" s="181"/>
      <x:c r="D5" s="181"/>
      <x:c r="E5" s="181"/>
      <x:c r="F5" s="181"/>
      <x:c r="G5" s="181"/>
      <x:c r="H5" s="185"/>
      <x:c r="I5" s="179"/>
    </x:row>
    <x:row r="6" ht="28" hidden="0" customHeight="1">
      <x:c r="A6" s="183" t="s">
        <x:v>11</x:v>
      </x:c>
      <x:c r="B6" s="183" t="s">
        <x:v>12</x:v>
      </x:c>
      <x:c r="C6" s="183" t="s">
        <x:v>13</x:v>
      </x:c>
      <x:c r="D6" s="183" t="s">
        <x:v>14</x:v>
      </x:c>
      <x:c r="E6" s="183" t="s">
        <x:v>15</x:v>
      </x:c>
      <x:c r="F6" s="183" t="s">
        <x:v>16</x:v>
      </x:c>
      <x:c r="G6" s="183" t="s">
        <x:v>17</x:v>
      </x:c>
      <x:c r="H6" s="183" t="s">
        <x:v>18</x:v>
      </x:c>
      <x:c r="I6" s="175"/>
    </x:row>
    <x:row r="7" ht="76" hidden="0" customHeight="1">
      <x:c r="A7" s="177" t="s">
        <x:v>19</x:v>
      </x:c>
      <x:c r="B7" s="278" t="s">
        <x:v>20</x:v>
      </x:c>
      <x:c r="C7" s="278" t="s">
        <x:v>21</x:v>
      </x:c>
      <x:c r="D7" s="278" t="s">
        <x:v>22</x:v>
      </x:c>
      <x:c r="E7" s="278" t="s">
        <x:v>23</x:v>
      </x:c>
      <x:c r="F7" s="278" t="s">
        <x:v>24</x:v>
      </x:c>
      <x:c r="G7" s="278" t="s">
        <x:v>25</x:v>
      </x:c>
      <x:c r="H7" s="282"/>
      <x:c r="I7" s="179"/>
    </x:row>
    <x:row r="8" ht="76" hidden="0" customHeight="1">
      <x:c r="A8" s="174" t="s">
        <x:v>26</x:v>
      </x:c>
      <x:c r="B8" s="283" t="s">
        <x:v>27</x:v>
      </x:c>
      <x:c r="C8" s="283" t="s">
        <x:v>28</x:v>
      </x:c>
      <x:c r="D8" s="283" t="s">
        <x:v>29</x:v>
      </x:c>
      <x:c r="E8" s="283" t="s">
        <x:v>30</x:v>
      </x:c>
      <x:c r="F8" s="283" t="s">
        <x:v>24</x:v>
      </x:c>
      <x:c r="G8" s="283" t="s">
        <x:v>31</x:v>
      </x:c>
      <x:c r="H8" s="284"/>
      <x:c r="I8" s="175"/>
    </x:row>
    <x:row r="9" ht="76" hidden="0" customHeight="1">
      <x:c r="A9" s="177" t="s">
        <x:v>32</x:v>
      </x:c>
      <x:c r="B9" s="278" t="s">
        <x:v>33</x:v>
      </x:c>
      <x:c r="C9" s="278" t="s">
        <x:v>34</x:v>
      </x:c>
      <x:c r="D9" s="278" t="s">
        <x:v>29</x:v>
      </x:c>
      <x:c r="E9" s="278" t="s">
        <x:v>35</x:v>
      </x:c>
      <x:c r="F9" s="278" t="s">
        <x:v>24</x:v>
      </x:c>
      <x:c r="G9" s="278" t="s">
        <x:v>36</x:v>
      </x:c>
      <x:c r="H9" s="282"/>
      <x:c r="I9" s="179"/>
    </x:row>
    <x:row r="10" ht="76" hidden="0" customHeight="1">
      <x:c r="A10" s="174" t="s">
        <x:v>37</x:v>
      </x:c>
      <x:c r="B10" s="283" t="s">
        <x:v>38</x:v>
      </x:c>
      <x:c r="C10" s="283" t="s">
        <x:v>39</x:v>
      </x:c>
      <x:c r="D10" s="283" t="s">
        <x:v>40</x:v>
      </x:c>
      <x:c r="E10" s="283" t="s">
        <x:v>41</x:v>
      </x:c>
      <x:c r="F10" s="283" t="s">
        <x:v>42</x:v>
      </x:c>
      <x:c r="G10" s="283"/>
      <x:c r="H10" s="284" t="s">
        <x:v>37</x:v>
      </x:c>
      <x:c r="I10" s="175"/>
    </x:row>
    <x:row r="11" ht="84" hidden="0" customHeight="1">
      <x:c r="A11" s="177" t="s">
        <x:v>43</x:v>
      </x:c>
      <x:c r="B11" s="278" t="s">
        <x:v>44</x:v>
      </x:c>
      <x:c r="C11" s="278" t="s">
        <x:v>45</x:v>
      </x:c>
      <x:c r="D11" s="278" t="s">
        <x:v>46</x:v>
      </x:c>
      <x:c r="E11" s="278" t="s">
        <x:v>47</x:v>
      </x:c>
      <x:c r="F11" s="278" t="s">
        <x:v>42</x:v>
      </x:c>
      <x:c r="G11" s="278"/>
      <x:c r="H11" s="282" t="s">
        <x:v>43</x:v>
      </x:c>
      <x:c r="I11" s="179"/>
    </x:row>
    <x:row r="12" ht="26" hidden="0" customHeight="1">
      <x:c r="A12" s="181" t="s">
        <x:v>48</x:v>
      </x:c>
      <x:c r="B12" s="181"/>
      <x:c r="C12" s="181"/>
      <x:c r="D12" s="181"/>
      <x:c r="E12" s="181"/>
      <x:c r="F12" s="174"/>
      <x:c r="G12" s="174"/>
      <x:c r="H12" s="175"/>
      <x:c r="I12" s="175"/>
    </x:row>
    <x:row r="13" ht="28" hidden="0" customHeight="1">
      <x:c r="A13" s="183" t="s">
        <x:v>49</x:v>
      </x:c>
      <x:c r="B13" s="183" t="s">
        <x:v>50</x:v>
      </x:c>
      <x:c r="C13" s="183" t="s">
        <x:v>12</x:v>
      </x:c>
      <x:c r="D13" s="183" t="s">
        <x:v>51</x:v>
      </x:c>
      <x:c r="E13" s="183" t="s">
        <x:v>52</x:v>
      </x:c>
      <x:c r="F13" s="177"/>
      <x:c r="G13" s="177"/>
      <x:c r="H13" s="179"/>
      <x:c r="I13" s="179"/>
    </x:row>
    <x:row r="14" ht="110" hidden="0" customHeight="1">
      <x:c r="A14" s="174" t="s">
        <x:v>53</x:v>
      </x:c>
      <x:c r="B14" s="174" t="s">
        <x:v>6</x:v>
      </x:c>
      <x:c r="C14" s="174" t="s">
        <x:v>54</x:v>
      </x:c>
      <x:c r="D14" s="283" t="s">
        <x:v>55</x:v>
      </x:c>
      <x:c r="E14" s="283" t="s">
        <x:v>56</x:v>
      </x:c>
      <x:c r="F14" s="174"/>
      <x:c r="G14" s="174"/>
      <x:c r="H14" s="175"/>
      <x:c r="I14" s="175"/>
    </x:row>
    <x:row r="15" ht="110" hidden="0" customHeight="1">
      <x:c r="A15" s="177" t="s">
        <x:v>57</x:v>
      </x:c>
      <x:c r="B15" s="177" t="s">
        <x:v>6</x:v>
      </x:c>
      <x:c r="C15" s="177" t="s">
        <x:v>58</x:v>
      </x:c>
      <x:c r="D15" s="278" t="s">
        <x:v>59</x:v>
      </x:c>
      <x:c r="E15" s="278" t="s">
        <x:v>60</x:v>
      </x:c>
      <x:c r="F15" s="177"/>
      <x:c r="G15" s="177"/>
      <x:c r="H15" s="179"/>
      <x:c r="I15" s="179"/>
    </x:row>
    <x:row r="16" ht="110" hidden="0" customHeight="1">
      <x:c r="A16" s="174" t="s">
        <x:v>61</x:v>
      </x:c>
      <x:c r="B16" s="174" t="s">
        <x:v>6</x:v>
      </x:c>
      <x:c r="C16" s="174" t="s">
        <x:v>62</x:v>
      </x:c>
      <x:c r="D16" s="283" t="s">
        <x:v>63</x:v>
      </x:c>
      <x:c r="E16" s="283" t="s">
        <x:v>26</x:v>
      </x:c>
      <x:c r="F16" s="174"/>
      <x:c r="G16" s="174"/>
      <x:c r="H16" s="175"/>
      <x:c r="I16" s="175"/>
    </x:row>
    <x:row r="17" ht="110" hidden="0" customHeight="1">
      <x:c r="A17" s="177" t="s">
        <x:v>64</x:v>
      </x:c>
      <x:c r="B17" s="177" t="s">
        <x:v>6</x:v>
      </x:c>
      <x:c r="C17" s="177" t="s">
        <x:v>65</x:v>
      </x:c>
      <x:c r="D17" s="278" t="s">
        <x:v>66</x:v>
      </x:c>
      <x:c r="E17" s="278" t="s">
        <x:v>67</x:v>
      </x:c>
      <x:c r="F17" s="177"/>
      <x:c r="G17" s="177"/>
      <x:c r="H17" s="179"/>
      <x:c r="I17" s="179"/>
    </x:row>
    <x:row r="18" ht="18" hidden="0" customHeight="1">
      <x:c r="A18" s="175"/>
      <x:c r="B18" s="175"/>
      <x:c r="C18" s="175"/>
      <x:c r="D18" s="175"/>
      <x:c r="E18" s="175"/>
      <x:c r="F18" s="175"/>
      <x:c r="G18" s="175"/>
      <x:c r="H18" s="175"/>
      <x:c r="I18" s="175"/>
    </x:row>
    <x:row r="19" ht="26" hidden="0" customHeight="1">
      <x:c r="A19" s="181" t="s">
        <x:v>68</x:v>
      </x:c>
      <x:c r="B19" s="181"/>
      <x:c r="C19" s="181"/>
      <x:c r="D19" s="181"/>
      <x:c r="E19" s="181"/>
      <x:c r="F19" s="181"/>
      <x:c r="G19" s="181"/>
      <x:c r="H19" s="185"/>
      <x:c r="I19" s="185"/>
    </x:row>
    <x:row r="20" ht="28" hidden="0" customHeight="1">
      <x:c r="A20" s="183" t="s">
        <x:v>69</x:v>
      </x:c>
      <x:c r="B20" s="183" t="s">
        <x:v>70</x:v>
      </x:c>
      <x:c r="C20" s="183" t="s">
        <x:v>71</x:v>
      </x:c>
      <x:c r="D20" s="183" t="s">
        <x:v>72</x:v>
      </x:c>
      <x:c r="E20" s="183" t="s">
        <x:v>73</x:v>
      </x:c>
      <x:c r="F20" s="183" t="s">
        <x:v>74</x:v>
      </x:c>
      <x:c r="G20" s="183" t="s">
        <x:v>75</x:v>
      </x:c>
      <x:c r="H20" s="183" t="s">
        <x:v>53</x:v>
      </x:c>
      <x:c r="I20" s="183" t="s">
        <x:v>57</x:v>
      </x:c>
    </x:row>
    <x:row r="21" ht="95" hidden="0" customHeight="1">
      <x:c r="A21" s="177" t="n">
        <x:v>1</x:v>
      </x:c>
      <x:c r="B21" s="178" t="n">
        <x:f aca="0">$E$3+7*(A21-1)</x:f>
        <x:v>46321.5</x:v>
      </x:c>
      <x:c r="C21" s="278" t="s">
        <x:v>76</x:v>
      </x:c>
      <x:c r="D21" s="278" t="s">
        <x:v>77</x:v>
      </x:c>
      <x:c r="E21" s="278" t="s">
        <x:v>78</x:v>
      </x:c>
      <x:c r="F21" s="278" t="s">
        <x:v>79</x:v>
      </x:c>
      <x:c r="G21" s="278" t="n">
        <x:v>160</x:v>
      </x:c>
      <x:c r="H21" s="278" t="s">
        <x:v>80</x:v>
      </x:c>
      <x:c r="I21" s="278" t="s">
        <x:v>81</x:v>
      </x:c>
    </x:row>
    <x:row r="22" ht="95" hidden="0" customHeight="1">
      <x:c r="A22" s="174" t="n">
        <x:v>2</x:v>
      </x:c>
      <x:c r="B22" s="176" t="n">
        <x:f aca="0">$E$3+7*(A22-1)</x:f>
        <x:v>46328.5</x:v>
      </x:c>
      <x:c r="C22" s="283" t="s">
        <x:v>76</x:v>
      </x:c>
      <x:c r="D22" s="283" t="s">
        <x:v>77</x:v>
      </x:c>
      <x:c r="E22" s="283" t="s">
        <x:v>82</x:v>
      </x:c>
      <x:c r="F22" s="283" t="s">
        <x:v>79</x:v>
      </x:c>
      <x:c r="G22" s="283" t="n">
        <x:v>160</x:v>
      </x:c>
      <x:c r="H22" s="283" t="s">
        <x:v>83</x:v>
      </x:c>
      <x:c r="I22" s="283" t="s">
        <x:v>84</x:v>
      </x:c>
    </x:row>
    <x:row r="23" ht="95" hidden="0" customHeight="1">
      <x:c r="A23" s="177" t="n">
        <x:v>3</x:v>
      </x:c>
      <x:c r="B23" s="178" t="n">
        <x:f aca="0">$E$3+7*(A23-1)</x:f>
        <x:v>46335.5</x:v>
      </x:c>
      <x:c r="C23" s="278" t="s">
        <x:v>76</x:v>
      </x:c>
      <x:c r="D23" s="278" t="s">
        <x:v>77</x:v>
      </x:c>
      <x:c r="E23" s="278" t="s">
        <x:v>85</x:v>
      </x:c>
      <x:c r="F23" s="278" t="s">
        <x:v>79</x:v>
      </x:c>
      <x:c r="G23" s="278" t="n">
        <x:v>160</x:v>
      </x:c>
      <x:c r="H23" s="278" t="s">
        <x:v>86</x:v>
      </x:c>
      <x:c r="I23" s="278" t="s">
        <x:v>87</x:v>
      </x:c>
    </x:row>
    <x:row r="24" ht="95" hidden="0" customHeight="1">
      <x:c r="A24" s="174" t="n">
        <x:v>4</x:v>
      </x:c>
      <x:c r="B24" s="176" t="n">
        <x:f aca="0">$E$3+7*(A24-1)</x:f>
        <x:v>46342.5</x:v>
      </x:c>
      <x:c r="C24" s="283" t="s">
        <x:v>88</x:v>
      </x:c>
      <x:c r="D24" s="283" t="s">
        <x:v>89</x:v>
      </x:c>
      <x:c r="E24" s="283" t="s">
        <x:v>90</x:v>
      </x:c>
      <x:c r="F24" s="283" t="s">
        <x:v>79</x:v>
      </x:c>
      <x:c r="G24" s="283" t="n">
        <x:v>81</x:v>
      </x:c>
      <x:c r="H24" s="283" t="s">
        <x:v>91</x:v>
      </x:c>
      <x:c r="I24" s="283" t="s">
        <x:v>92</x:v>
      </x:c>
    </x:row>
    <x:row r="25" ht="95" hidden="0" customHeight="1">
      <x:c r="A25" s="177" t="n">
        <x:v>5</x:v>
      </x:c>
      <x:c r="B25" s="178" t="n">
        <x:f aca="0">$E$3+7*(A25-1)</x:f>
        <x:v>46349.5</x:v>
      </x:c>
      <x:c r="C25" s="278" t="s">
        <x:v>93</x:v>
      </x:c>
      <x:c r="D25" s="278" t="s">
        <x:v>77</x:v>
      </x:c>
      <x:c r="E25" s="278" t="s">
        <x:v>94</x:v>
      </x:c>
      <x:c r="F25" s="278" t="s">
        <x:v>79</x:v>
      </x:c>
      <x:c r="G25" s="278" t="n">
        <x:v>160</x:v>
      </x:c>
      <x:c r="H25" s="278" t="s">
        <x:v>95</x:v>
      </x:c>
      <x:c r="I25" s="278" t="s">
        <x:v>96</x:v>
      </x:c>
    </x:row>
    <x:row r="26" ht="95" hidden="0" customHeight="1">
      <x:c r="A26" s="174" t="n">
        <x:v>6</x:v>
      </x:c>
      <x:c r="B26" s="176" t="n">
        <x:f aca="0">$E$3+7*(A26-1)</x:f>
        <x:v>46356.5</x:v>
      </x:c>
      <x:c r="C26" s="283" t="s">
        <x:v>93</x:v>
      </x:c>
      <x:c r="D26" s="283" t="s">
        <x:v>77</x:v>
      </x:c>
      <x:c r="E26" s="283" t="s">
        <x:v>97</x:v>
      </x:c>
      <x:c r="F26" s="283" t="s">
        <x:v>79</x:v>
      </x:c>
      <x:c r="G26" s="283" t="n">
        <x:v>160</x:v>
      </x:c>
      <x:c r="H26" s="283" t="s">
        <x:v>98</x:v>
      </x:c>
      <x:c r="I26" s="283" t="s">
        <x:v>99</x:v>
      </x:c>
    </x:row>
    <x:row r="27" ht="95" hidden="0" customHeight="1">
      <x:c r="A27" s="177" t="n">
        <x:v>7</x:v>
      </x:c>
      <x:c r="B27" s="178" t="n">
        <x:f aca="0">$E$3+7*(A27-1)</x:f>
        <x:v>46363.5</x:v>
      </x:c>
      <x:c r="C27" s="278" t="s">
        <x:v>93</x:v>
      </x:c>
      <x:c r="D27" s="278" t="s">
        <x:v>77</x:v>
      </x:c>
      <x:c r="E27" s="278" t="s">
        <x:v>100</x:v>
      </x:c>
      <x:c r="F27" s="278" t="s">
        <x:v>79</x:v>
      </x:c>
      <x:c r="G27" s="278" t="n">
        <x:v>160</x:v>
      </x:c>
      <x:c r="H27" s="278" t="s">
        <x:v>101</x:v>
      </x:c>
      <x:c r="I27" s="278" t="s">
        <x:v>102</x:v>
      </x:c>
    </x:row>
    <x:row r="28" ht="95" hidden="0" customHeight="1">
      <x:c r="A28" s="174" t="n">
        <x:v>8</x:v>
      </x:c>
      <x:c r="B28" s="176" t="n">
        <x:f aca="0">$E$3+7*(A28-1)</x:f>
        <x:v>46370.5</x:v>
      </x:c>
      <x:c r="C28" s="283" t="s">
        <x:v>88</x:v>
      </x:c>
      <x:c r="D28" s="283" t="s">
        <x:v>89</x:v>
      </x:c>
      <x:c r="E28" s="283" t="s">
        <x:v>103</x:v>
      </x:c>
      <x:c r="F28" s="283" t="s">
        <x:v>79</x:v>
      </x:c>
      <x:c r="G28" s="283" t="n">
        <x:v>81</x:v>
      </x:c>
      <x:c r="H28" s="283" t="s">
        <x:v>104</x:v>
      </x:c>
      <x:c r="I28" s="283" t="s">
        <x:v>105</x:v>
      </x:c>
    </x:row>
    <x:row r="29" ht="95" hidden="0" customHeight="1">
      <x:c r="A29" s="177" t="n">
        <x:v>9</x:v>
      </x:c>
      <x:c r="B29" s="178" t="n">
        <x:f aca="0">$E$3+7*(A29-1)</x:f>
        <x:v>46377.5</x:v>
      </x:c>
      <x:c r="C29" s="278" t="s">
        <x:v>106</x:v>
      </x:c>
      <x:c r="D29" s="278" t="s">
        <x:v>77</x:v>
      </x:c>
      <x:c r="E29" s="278" t="s">
        <x:v>107</x:v>
      </x:c>
      <x:c r="F29" s="278" t="s">
        <x:v>79</x:v>
      </x:c>
      <x:c r="G29" s="278" t="n">
        <x:v>160</x:v>
      </x:c>
      <x:c r="H29" s="278" t="s">
        <x:v>108</x:v>
      </x:c>
      <x:c r="I29" s="278" t="s">
        <x:v>109</x:v>
      </x:c>
    </x:row>
    <x:row r="30" ht="95" hidden="0" customHeight="1">
      <x:c r="A30" s="174" t="n">
        <x:v>10</x:v>
      </x:c>
      <x:c r="B30" s="176" t="n">
        <x:f aca="0">$E$3+7*(A30-1)</x:f>
        <x:v>46384.5</x:v>
      </x:c>
      <x:c r="C30" s="283" t="s">
        <x:v>106</x:v>
      </x:c>
      <x:c r="D30" s="283" t="s">
        <x:v>77</x:v>
      </x:c>
      <x:c r="E30" s="283" t="s">
        <x:v>110</x:v>
      </x:c>
      <x:c r="F30" s="283" t="s">
        <x:v>79</x:v>
      </x:c>
      <x:c r="G30" s="283" t="n">
        <x:v>160</x:v>
      </x:c>
      <x:c r="H30" s="283" t="s">
        <x:v>111</x:v>
      </x:c>
      <x:c r="I30" s="283" t="s">
        <x:v>112</x:v>
      </x:c>
    </x:row>
    <x:row r="31" ht="95" hidden="0" customHeight="1">
      <x:c r="A31" s="177" t="n">
        <x:v>11</x:v>
      </x:c>
      <x:c r="B31" s="178" t="n">
        <x:f aca="0">$E$3+7*(A31-1)</x:f>
        <x:v>46391.5</x:v>
      </x:c>
      <x:c r="C31" s="278" t="s">
        <x:v>106</x:v>
      </x:c>
      <x:c r="D31" s="278" t="s">
        <x:v>77</x:v>
      </x:c>
      <x:c r="E31" s="278" t="s">
        <x:v>113</x:v>
      </x:c>
      <x:c r="F31" s="278" t="s">
        <x:v>79</x:v>
      </x:c>
      <x:c r="G31" s="278" t="n">
        <x:v>160</x:v>
      </x:c>
      <x:c r="H31" s="278" t="s">
        <x:v>114</x:v>
      </x:c>
      <x:c r="I31" s="278" t="s">
        <x:v>115</x:v>
      </x:c>
    </x:row>
    <x:row r="32" ht="95" hidden="0" customHeight="1">
      <x:c r="A32" s="174" t="n">
        <x:v>12</x:v>
      </x:c>
      <x:c r="B32" s="176" t="n">
        <x:f aca="0">$E$3+7*(A32-1)</x:f>
        <x:v>46398.5</x:v>
      </x:c>
      <x:c r="C32" s="283" t="s">
        <x:v>116</x:v>
      </x:c>
      <x:c r="D32" s="283" t="s">
        <x:v>117</x:v>
      </x:c>
      <x:c r="E32" s="283" t="s">
        <x:v>118</x:v>
      </x:c>
      <x:c r="F32" s="283" t="s">
        <x:v>79</x:v>
      </x:c>
      <x:c r="G32" s="283" t="n">
        <x:v>75</x:v>
      </x:c>
      <x:c r="H32" s="283" t="s">
        <x:v>119</x:v>
      </x:c>
      <x:c r="I32" s="283" t="s">
        <x:v>120</x:v>
      </x:c>
    </x:row>
    <x:row r="33" ht="18" hidden="0" customHeight="1">
      <x:c r="A33" s="179"/>
      <x:c r="B33" s="179"/>
      <x:c r="C33" s="179"/>
      <x:c r="D33" s="179"/>
      <x:c r="E33" s="179"/>
      <x:c r="F33" s="179"/>
      <x:c r="G33" s="179"/>
      <x:c r="H33" s="179"/>
      <x:c r="I33" s="179"/>
    </x:row>
    <x:row r="34" ht="26" hidden="0" customHeight="1">
      <x:c r="A34" s="181" t="s">
        <x:v>121</x:v>
      </x:c>
      <x:c r="B34" s="181"/>
      <x:c r="C34" s="174"/>
      <x:c r="D34" s="174"/>
      <x:c r="E34" s="174"/>
      <x:c r="F34" s="174"/>
      <x:c r="G34" s="174"/>
      <x:c r="H34" s="175"/>
      <x:c r="I34" s="175"/>
    </x:row>
    <x:row r="35" ht="38" hidden="0" customHeight="1">
      <x:c r="A35" s="183" t="s">
        <x:v>122</x:v>
      </x:c>
      <x:c r="B35" s="183" t="s">
        <x:v>123</x:v>
      </x:c>
      <x:c r="C35" s="292" t="str">
        <x:v>Base intensity (0–10)</x:v>
      </x:c>
      <x:c r="D35" s="292" t="str">
        <x:v>Unit</x:v>
      </x:c>
      <x:c r="E35"/>
      <x:c r="F35"/>
      <x:c r="G35" s="179"/>
      <x:c r="H35" s="179"/>
      <x:c r="I35" s="179"/>
    </x:row>
    <x:row r="36" ht="24" hidden="0" customHeight="1">
      <x:c r="A36" s="174" t="s">
        <x:v>20</x:v>
      </x:c>
      <x:c r="B36" s="174" t="s">
        <x:v>124</x:v>
      </x:c>
      <x:c r="C36" s="348" t="n">
        <x:v>1</x:v>
      </x:c>
      <x:c r="D36" s="385" t="str">
        <x:v>reps</x:v>
      </x:c>
      <x:c r="E36"/>
      <x:c r="F36"/>
      <x:c r="G36" s="175"/>
      <x:c r="H36" s="175"/>
      <x:c r="I36" s="175"/>
    </x:row>
    <x:row r="37" ht="15" hidden="0" customHeight="1">
      <x:c r="A37" s="177" t="s">
        <x:v>20</x:v>
      </x:c>
      <x:c r="B37" s="177" t="s">
        <x:v>125</x:v>
      </x:c>
      <x:c r="C37" s="352" t="n">
        <x:v>2</x:v>
      </x:c>
      <x:c r="D37" s="342" t="str">
        <x:v>reps</x:v>
      </x:c>
      <x:c r="E37"/>
      <x:c r="F37"/>
      <x:c r="G37" s="177"/>
      <x:c r="H37" s="179"/>
      <x:c r="I37" s="179"/>
    </x:row>
    <x:row r="38" ht="15" hidden="0" customHeight="1">
      <x:c r="A38" s="174" t="s">
        <x:v>20</x:v>
      </x:c>
      <x:c r="B38" s="174" t="s">
        <x:v>126</x:v>
      </x:c>
      <x:c r="C38" s="348" t="n">
        <x:v>1</x:v>
      </x:c>
      <x:c r="D38" s="385" t="str">
        <x:v>reps</x:v>
      </x:c>
      <x:c r="E38"/>
      <x:c r="F38"/>
      <x:c r="G38" s="174"/>
      <x:c r="H38" s="175"/>
      <x:c r="I38" s="175"/>
    </x:row>
    <x:row r="39" ht="15" hidden="0" customHeight="1">
      <x:c r="A39" s="177" t="s">
        <x:v>20</x:v>
      </x:c>
      <x:c r="B39" s="177" t="s">
        <x:v>127</x:v>
      </x:c>
      <x:c r="C39" s="352" t="n">
        <x:v>4</x:v>
      </x:c>
      <x:c r="D39" s="342" t="str">
        <x:v>reps</x:v>
      </x:c>
      <x:c r="E39"/>
      <x:c r="F39"/>
      <x:c r="G39" s="177"/>
      <x:c r="H39" s="179"/>
      <x:c r="I39" s="179"/>
    </x:row>
    <x:row r="40" ht="36" hidden="0" customHeight="1">
      <x:c r="A40" s="174" t="s">
        <x:v>20</x:v>
      </x:c>
      <x:c r="B40" s="174" t="s">
        <x:v>128</x:v>
      </x:c>
      <x:c r="C40" s="348" t="n">
        <x:v>6</x:v>
      </x:c>
      <x:c r="D40" s="385" t="str">
        <x:v>reps</x:v>
      </x:c>
      <x:c r="E40"/>
      <x:c r="F40"/>
      <x:c r="G40" s="174"/>
      <x:c r="H40" s="175"/>
      <x:c r="I40" s="175"/>
    </x:row>
    <x:row r="41" ht="15" hidden="0" customHeight="1">
      <x:c r="A41" s="177" t="s">
        <x:v>20</x:v>
      </x:c>
      <x:c r="B41" s="177" t="s">
        <x:v>129</x:v>
      </x:c>
      <x:c r="C41" s="352" t="n">
        <x:v>4</x:v>
      </x:c>
      <x:c r="D41" s="342" t="str">
        <x:v>reps</x:v>
      </x:c>
      <x:c r="E41"/>
      <x:c r="F41"/>
      <x:c r="G41" s="177"/>
      <x:c r="H41" s="179"/>
      <x:c r="I41" s="179"/>
    </x:row>
    <x:row r="42" ht="24" hidden="0" customHeight="1">
      <x:c r="A42" s="174" t="s">
        <x:v>20</x:v>
      </x:c>
      <x:c r="B42" s="174" t="s">
        <x:v>130</x:v>
      </x:c>
      <x:c r="C42" s="348" t="n">
        <x:v>6</x:v>
      </x:c>
      <x:c r="D42" s="385" t="str">
        <x:v>reps</x:v>
      </x:c>
      <x:c r="E42"/>
      <x:c r="F42"/>
      <x:c r="G42" s="174"/>
      <x:c r="H42" s="175"/>
      <x:c r="I42" s="175"/>
    </x:row>
    <x:row r="43" ht="15" hidden="0" customHeight="1">
      <x:c r="A43" s="177" t="s">
        <x:v>20</x:v>
      </x:c>
      <x:c r="B43" s="177" t="s">
        <x:v>131</x:v>
      </x:c>
      <x:c r="C43" s="352" t="n">
        <x:v>4</x:v>
      </x:c>
      <x:c r="D43" s="342" t="str">
        <x:v>reps</x:v>
      </x:c>
      <x:c r="E43"/>
      <x:c r="F43"/>
      <x:c r="G43" s="177"/>
      <x:c r="H43" s="179"/>
      <x:c r="I43" s="179"/>
    </x:row>
    <x:row r="44" ht="24" hidden="0" customHeight="1">
      <x:c r="A44" s="174" t="s">
        <x:v>20</x:v>
      </x:c>
      <x:c r="B44" s="174" t="s">
        <x:v>132</x:v>
      </x:c>
      <x:c r="C44" s="348" t="n">
        <x:v>1</x:v>
      </x:c>
      <x:c r="D44" s="385" t="str">
        <x:v>reps</x:v>
      </x:c>
      <x:c r="E44"/>
      <x:c r="F44"/>
      <x:c r="G44" s="174"/>
      <x:c r="H44" s="175"/>
      <x:c r="I44" s="175"/>
    </x:row>
    <x:row r="45" ht="15" hidden="0" customHeight="1">
      <x:c r="A45" s="177" t="s">
        <x:v>20</x:v>
      </x:c>
      <x:c r="B45" s="177" t="s">
        <x:v>133</x:v>
      </x:c>
      <x:c r="C45" s="352" t="n">
        <x:v>4</x:v>
      </x:c>
      <x:c r="D45" s="342" t="str">
        <x:v>reps</x:v>
      </x:c>
      <x:c r="E45"/>
      <x:c r="F45"/>
      <x:c r="G45" s="177"/>
      <x:c r="H45" s="179"/>
      <x:c r="I45" s="179"/>
    </x:row>
    <x:row r="46" ht="24" hidden="0" customHeight="1">
      <x:c r="A46" s="174" t="s">
        <x:v>20</x:v>
      </x:c>
      <x:c r="B46" s="174" t="s">
        <x:v>134</x:v>
      </x:c>
      <x:c r="C46" s="348" t="n">
        <x:v>4</x:v>
      </x:c>
      <x:c r="D46" s="385" t="str">
        <x:v>reps</x:v>
      </x:c>
      <x:c r="E46"/>
      <x:c r="F46"/>
      <x:c r="G46" s="174"/>
      <x:c r="H46" s="175"/>
      <x:c r="I46" s="175"/>
    </x:row>
    <x:row r="47" ht="15" hidden="0" customHeight="1">
      <x:c r="A47" s="177" t="s">
        <x:v>20</x:v>
      </x:c>
      <x:c r="B47" s="177" t="s">
        <x:v>135</x:v>
      </x:c>
      <x:c r="C47" s="352" t="n">
        <x:v>4</x:v>
      </x:c>
      <x:c r="D47" s="342" t="str">
        <x:v>reps</x:v>
      </x:c>
      <x:c r="E47"/>
      <x:c r="F47"/>
      <x:c r="G47" s="179"/>
      <x:c r="H47" s="179"/>
      <x:c r="I47" s="179"/>
    </x:row>
    <x:row r="48" ht="24" hidden="0" customHeight="1">
      <x:c r="A48" s="174" t="s">
        <x:v>20</x:v>
      </x:c>
      <x:c r="B48" s="174" t="s">
        <x:v>136</x:v>
      </x:c>
      <x:c r="C48" s="348" t="n">
        <x:v>4</x:v>
      </x:c>
      <x:c r="D48" s="385" t="str">
        <x:v>reps</x:v>
      </x:c>
      <x:c r="E48"/>
      <x:c r="F48"/>
      <x:c r="G48" s="175"/>
      <x:c r="H48" s="175"/>
      <x:c r="I48" s="175"/>
    </x:row>
    <x:row r="49" ht="15" hidden="0" customHeight="1">
      <x:c r="A49" s="177" t="s">
        <x:v>20</x:v>
      </x:c>
      <x:c r="B49" s="177" t="s">
        <x:v>137</x:v>
      </x:c>
      <x:c r="C49" s="352" t="n">
        <x:v>4</x:v>
      </x:c>
      <x:c r="D49" s="342" t="str">
        <x:v>reps</x:v>
      </x:c>
      <x:c r="E49"/>
      <x:c r="F49"/>
      <x:c r="G49" s="179"/>
      <x:c r="H49" s="179"/>
      <x:c r="I49" s="179"/>
    </x:row>
    <x:row r="50" ht="24" hidden="0" customHeight="1">
      <x:c r="A50" s="174" t="s">
        <x:v>20</x:v>
      </x:c>
      <x:c r="B50" s="174" t="s">
        <x:v>138</x:v>
      </x:c>
      <x:c r="C50" s="348" t="n">
        <x:v>6</x:v>
      </x:c>
      <x:c r="D50" s="385" t="str">
        <x:v>reps</x:v>
      </x:c>
      <x:c r="E50"/>
      <x:c r="F50"/>
      <x:c r="G50" s="175"/>
      <x:c r="H50" s="175"/>
      <x:c r="I50" s="175"/>
    </x:row>
    <x:row r="51" ht="24" hidden="0" customHeight="1">
      <x:c r="A51" s="177" t="s">
        <x:v>20</x:v>
      </x:c>
      <x:c r="B51" s="177" t="s">
        <x:v>139</x:v>
      </x:c>
      <x:c r="C51" s="352" t="n">
        <x:v>4</x:v>
      </x:c>
      <x:c r="D51" s="342" t="str">
        <x:v>reps</x:v>
      </x:c>
      <x:c r="E51"/>
      <x:c r="F51"/>
      <x:c r="G51" s="179"/>
      <x:c r="H51" s="179"/>
      <x:c r="I51" s="179"/>
    </x:row>
    <x:row r="52" ht="24" hidden="0" customHeight="1">
      <x:c r="A52" s="174" t="s">
        <x:v>20</x:v>
      </x:c>
      <x:c r="B52" s="174" t="s">
        <x:v>140</x:v>
      </x:c>
      <x:c r="C52" s="348" t="n">
        <x:v>7</x:v>
      </x:c>
      <x:c r="D52" s="385" t="str">
        <x:v>reps</x:v>
      </x:c>
      <x:c r="E52"/>
      <x:c r="F52"/>
      <x:c r="G52" s="175"/>
      <x:c r="H52" s="175"/>
      <x:c r="I52" s="175"/>
    </x:row>
    <x:row r="53" ht="24" hidden="0" customHeight="1">
      <x:c r="A53" s="177" t="s">
        <x:v>20</x:v>
      </x:c>
      <x:c r="B53" s="177" t="s">
        <x:v>141</x:v>
      </x:c>
      <x:c r="C53" s="352" t="n">
        <x:v>8</x:v>
      </x:c>
      <x:c r="D53" s="342" t="str">
        <x:v>reps</x:v>
      </x:c>
      <x:c r="E53"/>
      <x:c r="F53"/>
      <x:c r="G53" s="179"/>
      <x:c r="H53" s="179"/>
      <x:c r="I53" s="179"/>
    </x:row>
    <x:row r="54" ht="24" hidden="0" customHeight="1">
      <x:c r="A54" s="174" t="s">
        <x:v>20</x:v>
      </x:c>
      <x:c r="B54" s="174" t="s">
        <x:v>142</x:v>
      </x:c>
      <x:c r="C54" s="348" t="n">
        <x:v>8</x:v>
      </x:c>
      <x:c r="D54" s="385" t="str">
        <x:v>reps</x:v>
      </x:c>
      <x:c r="E54"/>
      <x:c r="F54"/>
      <x:c r="G54" s="175"/>
      <x:c r="H54" s="175"/>
      <x:c r="I54" s="175"/>
    </x:row>
    <x:row r="55" ht="15" hidden="0" customHeight="1">
      <x:c r="A55" s="177" t="s">
        <x:v>20</x:v>
      </x:c>
      <x:c r="B55" s="177" t="s">
        <x:v>143</x:v>
      </x:c>
      <x:c r="C55" s="352" t="n">
        <x:v>8</x:v>
      </x:c>
      <x:c r="D55" s="342" t="str">
        <x:v>reps</x:v>
      </x:c>
      <x:c r="E55"/>
      <x:c r="F55"/>
      <x:c r="G55" s="179"/>
      <x:c r="H55" s="179"/>
      <x:c r="I55" s="179"/>
    </x:row>
    <x:row r="56" ht="24" hidden="0" customHeight="1">
      <x:c r="A56" s="174" t="s">
        <x:v>144</x:v>
      </x:c>
      <x:c r="B56" s="174" t="s">
        <x:v>145</x:v>
      </x:c>
      <x:c r="C56" s="348" t="n">
        <x:v>1</x:v>
      </x:c>
      <x:c r="D56" s="385" t="str">
        <x:v>seconds</x:v>
      </x:c>
      <x:c r="E56"/>
      <x:c r="F56"/>
      <x:c r="G56" s="175"/>
      <x:c r="H56" s="175"/>
      <x:c r="I56" s="175"/>
    </x:row>
    <x:row r="57" ht="24" hidden="0" customHeight="1">
      <x:c r="A57" s="177" t="s">
        <x:v>144</x:v>
      </x:c>
      <x:c r="B57" s="177" t="s">
        <x:v>146</x:v>
      </x:c>
      <x:c r="C57" s="352" t="n">
        <x:v>4</x:v>
      </x:c>
      <x:c r="D57" s="342" t="str">
        <x:v>seconds</x:v>
      </x:c>
      <x:c r="E57"/>
      <x:c r="F57"/>
      <x:c r="G57" s="179"/>
      <x:c r="H57" s="179"/>
      <x:c r="I57" s="179"/>
    </x:row>
    <x:row r="58" ht="24" hidden="0" customHeight="1">
      <x:c r="A58" s="174" t="s">
        <x:v>144</x:v>
      </x:c>
      <x:c r="B58" s="174" t="s">
        <x:v>147</x:v>
      </x:c>
      <x:c r="C58" s="348" t="n">
        <x:v>1</x:v>
      </x:c>
      <x:c r="D58" s="385" t="str">
        <x:v>seconds</x:v>
      </x:c>
      <x:c r="E58"/>
      <x:c r="F58"/>
      <x:c r="G58" s="175"/>
      <x:c r="H58" s="175"/>
      <x:c r="I58" s="175"/>
    </x:row>
    <x:row r="59" ht="15" hidden="0" customHeight="1">
      <x:c r="A59" s="177" t="s">
        <x:v>144</x:v>
      </x:c>
      <x:c r="B59" s="177" t="s">
        <x:v>148</x:v>
      </x:c>
      <x:c r="C59" s="352" t="n">
        <x:v>4</x:v>
      </x:c>
      <x:c r="D59" s="342" t="str">
        <x:v>seconds</x:v>
      </x:c>
      <x:c r="E59"/>
      <x:c r="F59"/>
      <x:c r="G59" s="179"/>
      <x:c r="H59" s="179"/>
      <x:c r="I59" s="179"/>
    </x:row>
    <x:row r="60" ht="24" hidden="0" customHeight="1">
      <x:c r="A60" s="174" t="s">
        <x:v>144</x:v>
      </x:c>
      <x:c r="B60" s="174" t="s">
        <x:v>149</x:v>
      </x:c>
      <x:c r="C60" s="348" t="n">
        <x:v>1</x:v>
      </x:c>
      <x:c r="D60" s="385" t="str">
        <x:v>seconds</x:v>
      </x:c>
      <x:c r="E60"/>
      <x:c r="F60"/>
      <x:c r="G60" s="175"/>
      <x:c r="H60" s="175"/>
      <x:c r="I60" s="175"/>
    </x:row>
    <x:row r="61" ht="15" hidden="0" customHeight="1">
      <x:c r="A61" s="177" t="s">
        <x:v>144</x:v>
      </x:c>
      <x:c r="B61" s="177" t="s">
        <x:v>150</x:v>
      </x:c>
      <x:c r="C61" s="352" t="n">
        <x:v>1</x:v>
      </x:c>
      <x:c r="D61" s="342" t="str">
        <x:v>reps</x:v>
      </x:c>
      <x:c r="E61"/>
      <x:c r="F61"/>
      <x:c r="G61" s="179"/>
      <x:c r="H61" s="179"/>
      <x:c r="I61" s="179"/>
    </x:row>
    <x:row r="62" ht="15" hidden="0" customHeight="1">
      <x:c r="A62" s="174" t="s">
        <x:v>144</x:v>
      </x:c>
      <x:c r="B62" s="174" t="s">
        <x:v>151</x:v>
      </x:c>
      <x:c r="C62" s="348" t="n">
        <x:v>4</x:v>
      </x:c>
      <x:c r="D62" s="385" t="str">
        <x:v>reps</x:v>
      </x:c>
      <x:c r="E62"/>
      <x:c r="F62"/>
      <x:c r="G62" s="175"/>
      <x:c r="H62" s="175"/>
      <x:c r="I62" s="175"/>
    </x:row>
    <x:row r="63" ht="24" hidden="0" customHeight="1">
      <x:c r="A63" s="177" t="s">
        <x:v>144</x:v>
      </x:c>
      <x:c r="B63" s="177" t="s">
        <x:v>152</x:v>
      </x:c>
      <x:c r="C63" s="352" t="n">
        <x:v>4</x:v>
      </x:c>
      <x:c r="D63" s="342" t="str">
        <x:v>reps</x:v>
      </x:c>
      <x:c r="E63"/>
      <x:c r="F63"/>
      <x:c r="G63" s="179"/>
      <x:c r="H63" s="179"/>
      <x:c r="I63" s="179"/>
    </x:row>
    <x:row r="64" ht="24" hidden="0" customHeight="1">
      <x:c r="A64" s="174" t="s">
        <x:v>144</x:v>
      </x:c>
      <x:c r="B64" s="174" t="s">
        <x:v>153</x:v>
      </x:c>
      <x:c r="C64" s="348" t="n">
        <x:v>6</x:v>
      </x:c>
      <x:c r="D64" s="385" t="str">
        <x:v>reps</x:v>
      </x:c>
      <x:c r="E64"/>
      <x:c r="F64"/>
      <x:c r="G64" s="175"/>
      <x:c r="H64" s="175"/>
      <x:c r="I64" s="175"/>
    </x:row>
    <x:row r="65" ht="24" hidden="0" customHeight="1">
      <x:c r="A65" s="177" t="s">
        <x:v>144</x:v>
      </x:c>
      <x:c r="B65" s="177" t="s">
        <x:v>154</x:v>
      </x:c>
      <x:c r="C65" s="352" t="n">
        <x:v>7</x:v>
      </x:c>
      <x:c r="D65" s="342" t="str">
        <x:v>reps</x:v>
      </x:c>
      <x:c r="E65"/>
      <x:c r="F65"/>
      <x:c r="G65" s="179"/>
      <x:c r="H65" s="179"/>
      <x:c r="I65" s="179"/>
    </x:row>
    <x:row r="66" ht="24" hidden="0" customHeight="1">
      <x:c r="A66" s="174" t="s">
        <x:v>144</x:v>
      </x:c>
      <x:c r="B66" s="174" t="s">
        <x:v>155</x:v>
      </x:c>
      <x:c r="C66" s="348" t="n">
        <x:v>7</x:v>
      </x:c>
      <x:c r="D66" s="385" t="str">
        <x:v>reps</x:v>
      </x:c>
      <x:c r="E66"/>
      <x:c r="F66"/>
      <x:c r="G66" s="175"/>
      <x:c r="H66" s="175"/>
      <x:c r="I66" s="175"/>
    </x:row>
    <x:row r="67" ht="15" hidden="0" customHeight="1">
      <x:c r="A67" s="177" t="s">
        <x:v>144</x:v>
      </x:c>
      <x:c r="B67" s="177" t="s">
        <x:v>156</x:v>
      </x:c>
      <x:c r="C67" s="352" t="n">
        <x:v>4</x:v>
      </x:c>
      <x:c r="D67" s="342" t="str">
        <x:v>reps</x:v>
      </x:c>
      <x:c r="E67"/>
      <x:c r="F67"/>
      <x:c r="G67" s="179"/>
      <x:c r="H67" s="179"/>
      <x:c r="I67" s="179"/>
    </x:row>
    <x:row r="68" ht="15" hidden="0" customHeight="1">
      <x:c r="A68" s="174" t="s">
        <x:v>144</x:v>
      </x:c>
      <x:c r="B68" s="174" t="s">
        <x:v>157</x:v>
      </x:c>
      <x:c r="C68" s="348" t="n">
        <x:v>7</x:v>
      </x:c>
      <x:c r="D68" s="385" t="str">
        <x:v>reps</x:v>
      </x:c>
      <x:c r="E68"/>
      <x:c r="F68"/>
      <x:c r="G68" s="175"/>
      <x:c r="H68" s="175"/>
      <x:c r="I68" s="175"/>
    </x:row>
    <x:row r="69" ht="24" hidden="0" customHeight="1">
      <x:c r="A69" s="177" t="s">
        <x:v>144</x:v>
      </x:c>
      <x:c r="B69" s="177" t="s">
        <x:v>158</x:v>
      </x:c>
      <x:c r="C69" s="352" t="n">
        <x:v>8</x:v>
      </x:c>
      <x:c r="D69" s="342" t="str">
        <x:v>reps</x:v>
      </x:c>
      <x:c r="E69"/>
      <x:c r="F69"/>
      <x:c r="G69" s="179"/>
      <x:c r="H69" s="179"/>
      <x:c r="I69" s="179"/>
    </x:row>
    <x:row r="70" ht="15" hidden="0" customHeight="1">
      <x:c r="A70" s="174" t="s">
        <x:v>144</x:v>
      </x:c>
      <x:c r="B70" s="174" t="s">
        <x:v>159</x:v>
      </x:c>
      <x:c r="C70" s="348" t="n">
        <x:v>8</x:v>
      </x:c>
      <x:c r="D70" s="385" t="str">
        <x:v>reps</x:v>
      </x:c>
      <x:c r="E70"/>
      <x:c r="F70"/>
      <x:c r="G70" s="175"/>
      <x:c r="H70" s="175"/>
      <x:c r="I70" s="175"/>
    </x:row>
    <x:row r="71" ht="24" hidden="0" customHeight="1">
      <x:c r="A71" s="177" t="s">
        <x:v>144</x:v>
      </x:c>
      <x:c r="B71" s="177" t="s">
        <x:v>160</x:v>
      </x:c>
      <x:c r="C71" s="352" t="n">
        <x:v>4</x:v>
      </x:c>
      <x:c r="D71" s="342" t="str">
        <x:v>reps</x:v>
      </x:c>
      <x:c r="E71"/>
      <x:c r="F71"/>
      <x:c r="G71" s="179"/>
      <x:c r="H71" s="179"/>
      <x:c r="I71" s="179"/>
    </x:row>
    <x:row r="72" ht="15" hidden="0" customHeight="1">
      <x:c r="A72" s="174" t="s">
        <x:v>144</x:v>
      </x:c>
      <x:c r="B72" s="174" t="s">
        <x:v>161</x:v>
      </x:c>
      <x:c r="C72" s="348" t="n">
        <x:v>8</x:v>
      </x:c>
      <x:c r="D72" s="385" t="str">
        <x:v>reps</x:v>
      </x:c>
      <x:c r="E72"/>
      <x:c r="F72"/>
      <x:c r="G72" s="175"/>
      <x:c r="H72" s="175"/>
      <x:c r="I72" s="175"/>
    </x:row>
    <x:row r="73" ht="15" hidden="0" customHeight="1">
      <x:c r="A73" s="177" t="s">
        <x:v>33</x:v>
      </x:c>
      <x:c r="B73" s="177" t="s">
        <x:v>162</x:v>
      </x:c>
      <x:c r="C73" s="352" t="n">
        <x:v>2</x:v>
      </x:c>
      <x:c r="D73" s="342" t="str">
        <x:v>reps/leg</x:v>
      </x:c>
      <x:c r="E73"/>
      <x:c r="F73"/>
      <x:c r="G73" s="179"/>
      <x:c r="H73" s="179"/>
      <x:c r="I73" s="179"/>
    </x:row>
    <x:row r="74" ht="24" hidden="0" customHeight="1">
      <x:c r="A74" s="174" t="s">
        <x:v>33</x:v>
      </x:c>
      <x:c r="B74" s="174" t="s">
        <x:v>163</x:v>
      </x:c>
      <x:c r="C74" s="348" t="n">
        <x:v>2</x:v>
      </x:c>
      <x:c r="D74" s="385" t="str">
        <x:v>reps/leg</x:v>
      </x:c>
      <x:c r="E74"/>
      <x:c r="F74"/>
      <x:c r="G74" s="175"/>
      <x:c r="H74" s="175"/>
      <x:c r="I74" s="175"/>
    </x:row>
    <x:row r="75" ht="15" hidden="0" customHeight="1">
      <x:c r="A75" s="177" t="s">
        <x:v>33</x:v>
      </x:c>
      <x:c r="B75" s="177" t="s">
        <x:v>164</x:v>
      </x:c>
      <x:c r="C75" s="352" t="n">
        <x:v>2</x:v>
      </x:c>
      <x:c r="D75" s="342" t="str">
        <x:v>reps/leg</x:v>
      </x:c>
      <x:c r="E75"/>
      <x:c r="F75"/>
      <x:c r="G75" s="179"/>
      <x:c r="H75" s="179"/>
      <x:c r="I75" s="179"/>
    </x:row>
    <x:row r="76" ht="24" hidden="0" customHeight="1">
      <x:c r="A76" s="174" t="s">
        <x:v>33</x:v>
      </x:c>
      <x:c r="B76" s="174" t="s">
        <x:v>165</x:v>
      </x:c>
      <x:c r="C76" s="348" t="n">
        <x:v>2</x:v>
      </x:c>
      <x:c r="D76" s="385" t="str">
        <x:v>reps/leg</x:v>
      </x:c>
      <x:c r="E76"/>
      <x:c r="F76"/>
      <x:c r="G76" s="175"/>
      <x:c r="H76" s="175"/>
      <x:c r="I76" s="175"/>
    </x:row>
    <x:row r="77" ht="24" hidden="0" customHeight="1">
      <x:c r="A77" s="177" t="s">
        <x:v>33</x:v>
      </x:c>
      <x:c r="B77" s="177" t="s">
        <x:v>166</x:v>
      </x:c>
      <x:c r="C77" s="352" t="n">
        <x:v>4</x:v>
      </x:c>
      <x:c r="D77" s="342" t="str">
        <x:v>reps/leg</x:v>
      </x:c>
      <x:c r="E77"/>
      <x:c r="F77"/>
      <x:c r="G77" s="179"/>
      <x:c r="H77" s="179"/>
      <x:c r="I77" s="179"/>
    </x:row>
    <x:row r="78" ht="24" hidden="0" customHeight="1">
      <x:c r="A78" s="174" t="s">
        <x:v>33</x:v>
      </x:c>
      <x:c r="B78" s="174" t="s">
        <x:v>167</x:v>
      </x:c>
      <x:c r="C78" s="348" t="n">
        <x:v>4</x:v>
      </x:c>
      <x:c r="D78" s="385" t="str">
        <x:v>reps/leg</x:v>
      </x:c>
      <x:c r="E78"/>
      <x:c r="F78"/>
      <x:c r="G78" s="175"/>
      <x:c r="H78" s="175"/>
      <x:c r="I78" s="175"/>
    </x:row>
    <x:row r="79" ht="24" hidden="0" customHeight="1">
      <x:c r="A79" s="177" t="s">
        <x:v>33</x:v>
      </x:c>
      <x:c r="B79" s="177" t="s">
        <x:v>168</x:v>
      </x:c>
      <x:c r="C79" s="352" t="n">
        <x:v>4</x:v>
      </x:c>
      <x:c r="D79" s="342" t="str">
        <x:v>reps/leg</x:v>
      </x:c>
      <x:c r="E79"/>
      <x:c r="F79"/>
      <x:c r="G79" s="179"/>
      <x:c r="H79" s="179"/>
      <x:c r="I79" s="179"/>
    </x:row>
    <x:row r="80" ht="24" hidden="0" customHeight="1">
      <x:c r="A80" s="174" t="s">
        <x:v>33</x:v>
      </x:c>
      <x:c r="B80" s="174" t="s">
        <x:v>169</x:v>
      </x:c>
      <x:c r="C80" s="348" t="n">
        <x:v>2</x:v>
      </x:c>
      <x:c r="D80" s="385" t="str">
        <x:v>reps/leg</x:v>
      </x:c>
      <x:c r="E80"/>
      <x:c r="F80"/>
      <x:c r="G80" s="175"/>
      <x:c r="H80" s="175"/>
      <x:c r="I80" s="175"/>
    </x:row>
    <x:row r="81" ht="15" hidden="0" customHeight="1">
      <x:c r="A81" s="177" t="s">
        <x:v>33</x:v>
      </x:c>
      <x:c r="B81" s="177" t="s">
        <x:v>170</x:v>
      </x:c>
      <x:c r="C81" s="352" t="n">
        <x:v>2</x:v>
      </x:c>
      <x:c r="D81" s="342" t="str">
        <x:v>reps/leg</x:v>
      </x:c>
      <x:c r="E81"/>
      <x:c r="F81"/>
      <x:c r="G81" s="179"/>
      <x:c r="H81" s="179"/>
      <x:c r="I81" s="179"/>
    </x:row>
    <x:row r="82" ht="15" hidden="0" customHeight="1">
      <x:c r="A82" s="174" t="s">
        <x:v>33</x:v>
      </x:c>
      <x:c r="B82" s="174" t="s">
        <x:v>171</x:v>
      </x:c>
      <x:c r="C82" s="348" t="n">
        <x:v>8</x:v>
      </x:c>
      <x:c r="D82" s="385" t="str">
        <x:v>reps/leg</x:v>
      </x:c>
      <x:c r="E82"/>
      <x:c r="F82"/>
      <x:c r="G82" s="175"/>
      <x:c r="H82" s="175"/>
      <x:c r="I82" s="175"/>
    </x:row>
    <x:row r="83" ht="15" hidden="0" customHeight="1">
      <x:c r="A83" s="177" t="s">
        <x:v>33</x:v>
      </x:c>
      <x:c r="B83" s="177" t="s">
        <x:v>172</x:v>
      </x:c>
      <x:c r="C83" s="352" t="n">
        <x:v>8</x:v>
      </x:c>
      <x:c r="D83" s="342" t="str">
        <x:v>reps/leg</x:v>
      </x:c>
      <x:c r="E83"/>
      <x:c r="F83"/>
      <x:c r="G83" s="179"/>
      <x:c r="H83" s="179"/>
      <x:c r="I83" s="179"/>
    </x:row>
    <x:row r="84" ht="15" hidden="0" customHeight="1">
      <x:c r="A84" s="174" t="s">
        <x:v>33</x:v>
      </x:c>
      <x:c r="B84" s="174" t="s">
        <x:v>173</x:v>
      </x:c>
      <x:c r="C84" s="348" t="n">
        <x:v>8</x:v>
      </x:c>
      <x:c r="D84" s="385" t="str">
        <x:v>reps/leg</x:v>
      </x:c>
      <x:c r="E84"/>
      <x:c r="F84"/>
      <x:c r="G84" s="175"/>
      <x:c r="H84" s="175"/>
      <x:c r="I84" s="175"/>
    </x:row>
    <x:row r="85" ht="15" hidden="0" customHeight="1">
      <x:c r="A85" s="177" t="s">
        <x:v>33</x:v>
      </x:c>
      <x:c r="B85" s="177" t="s">
        <x:v>174</x:v>
      </x:c>
      <x:c r="C85" s="352" t="n">
        <x:v>6</x:v>
      </x:c>
      <x:c r="D85" s="342" t="str">
        <x:v>seconds</x:v>
      </x:c>
      <x:c r="E85"/>
      <x:c r="F85"/>
      <x:c r="G85" s="179"/>
      <x:c r="H85" s="179"/>
      <x:c r="I85" s="179"/>
    </x:row>
    <x:row r="86" ht="15" hidden="0" customHeight="1">
      <x:c r="A86" s="174" t="s">
        <x:v>33</x:v>
      </x:c>
      <x:c r="B86" s="174" t="s">
        <x:v>175</x:v>
      </x:c>
      <x:c r="C86" s="348" t="n">
        <x:v>4</x:v>
      </x:c>
      <x:c r="D86" s="385" t="str">
        <x:v>seconds</x:v>
      </x:c>
      <x:c r="E86"/>
      <x:c r="F86"/>
      <x:c r="G86" s="175"/>
      <x:c r="H86" s="175"/>
      <x:c r="I86" s="175"/>
    </x:row>
    <x:row r="87" ht="15" hidden="0" customHeight="1">
      <x:c r="A87" s="177" t="s">
        <x:v>33</x:v>
      </x:c>
      <x:c r="B87" s="177" t="s">
        <x:v>176</x:v>
      </x:c>
      <x:c r="C87" s="352" t="n">
        <x:v>5</x:v>
      </x:c>
      <x:c r="D87" s="342" t="str">
        <x:v>seconds</x:v>
      </x:c>
      <x:c r="E87"/>
      <x:c r="F87"/>
      <x:c r="G87" s="179"/>
      <x:c r="H87" s="179"/>
      <x:c r="I87" s="179"/>
    </x:row>
    <x:row r="88" ht="36" hidden="0" customHeight="1">
      <x:c r="A88" s="174" t="s">
        <x:v>33</x:v>
      </x:c>
      <x:c r="B88" s="174" t="s">
        <x:v>177</x:v>
      </x:c>
      <x:c r="C88" s="348" t="n">
        <x:v>5</x:v>
      </x:c>
      <x:c r="D88" s="385" t="str">
        <x:v>seconds</x:v>
      </x:c>
      <x:c r="E88"/>
      <x:c r="F88"/>
      <x:c r="G88" s="175"/>
      <x:c r="H88" s="175"/>
      <x:c r="I88" s="175"/>
    </x:row>
    <x:row r="89" ht="36" hidden="0" customHeight="1">
      <x:c r="A89" s="177" t="s">
        <x:v>178</x:v>
      </x:c>
      <x:c r="B89" s="177" t="s">
        <x:v>179</x:v>
      </x:c>
      <x:c r="C89" s="352" t="n">
        <x:v>1</x:v>
      </x:c>
      <x:c r="D89" s="342" t="str">
        <x:v>seconds</x:v>
      </x:c>
      <x:c r="E89"/>
      <x:c r="F89"/>
      <x:c r="G89" s="179"/>
      <x:c r="H89" s="179"/>
      <x:c r="I89" s="179"/>
    </x:row>
    <x:row r="90" ht="24" hidden="0" customHeight="1">
      <x:c r="A90" s="174" t="s">
        <x:v>178</x:v>
      </x:c>
      <x:c r="B90" s="174" t="s">
        <x:v>180</x:v>
      </x:c>
      <x:c r="C90" s="348" t="n">
        <x:v>1</x:v>
      </x:c>
      <x:c r="D90" s="385" t="str">
        <x:v>seconds</x:v>
      </x:c>
      <x:c r="E90"/>
      <x:c r="F90"/>
      <x:c r="G90" s="175"/>
      <x:c r="H90" s="175"/>
      <x:c r="I90" s="175"/>
    </x:row>
    <x:row r="91" ht="82" hidden="0" customHeight="1"/>
    <x:row r="92" ht="82" hidden="0" customHeight="1"/>
    <x:row r="93" ht="82" hidden="0" customHeight="1"/>
    <x:row r="94" ht="82" hidden="0" customHeight="1"/>
    <x:row r="95" ht="82" hidden="0" customHeight="1"/>
    <x:row r="96" ht="82" hidden="0" customHeight="1"/>
    <x:row r="97" ht="82" hidden="0" customHeight="1"/>
    <x:row r="98" ht="82" hidden="0" customHeight="1"/>
    <x:row r="99" ht="82" hidden="0" customHeight="1"/>
    <x:row r="100" ht="82" hidden="0" customHeight="1"/>
    <x:row r="101" ht="82" hidden="0" customHeight="1"/>
    <x:row r="102" ht="82" hidden="0" customHeight="1"/>
    <x:row r="103" ht="82" hidden="0" customHeight="1"/>
    <x:row r="1048574" ht="12.800000190734863" hidden="0"/>
    <x:row r="1048575" ht="12.800000190734863" hidden="0"/>
    <x:row r="1048576" ht="12.800000190734863" hidden="0"/>
  </x:sheetData>
  <x:dataValidations count="4">
    <x:dataValidation type="list" errorStyle="stop" operator="between" allowBlank="0" showDropDown="0" showInputMessage="0" showErrorMessage="0" sqref="F7:F10">
      <x:formula1>"milestone,maintenance"</x:formula1>
      <x:formula2>0</x:formula2>
    </x:dataValidation>
    <x:dataValidation type="list" errorStyle="stop" operator="between" allowBlank="0" showDropDown="0" showInputMessage="0" showErrorMessage="0" sqref="F11">
      <x:formula1>"milestone,maintenance"</x:formula1>
      <x:formula2>0</x:formula2>
    </x:dataValidation>
    <x:dataValidation type="whole" operator="between" sqref="C36:C90">
      <x:formula1>0</x:formula1>
      <x:formula2>10</x:formula2>
    </x:dataValidation>
    <x:dataValidation type="list" sqref="D36:D90">
      <x:formula1>"reps,reps/leg,seconds"</x:formula1>
    </x:dataValidation>
  </x:dataValidations>
  <x:pageMargins left="0.7" right="0.7" top="0.75" bottom="0.75" header="0.3" footer="0.3"/>
  <x:tableParts count="1">
    <x:tablePart r:id="Rd823d3aa471d47bc"/>
  </x:tableParts>
</x:worksheet>
</file>

<file path=xl/worksheets/sheet2.xml><?xml version="1.0" encoding="utf-8"?>
<x:worksheet xmlns:x="http://schemas.openxmlformats.org/spreadsheetml/2006/main">
  <x:sheetPr>
    <x:tabColor rgb="FF33465E"/>
  </x:sheetPr>
  <x:sheetViews>
    <x:sheetView showGridLines="0" workbookViewId="0">
      <x:pane ySplit="2" topLeftCell="A3" activePane="bottomLeft" state="frozen"/>
    </x:sheetView>
  </x:sheetViews>
  <x:sheetFormatPr defaultColWidth="8.6796875" defaultRowHeight="15"/>
  <x:cols>
    <x:col min="1" max="3" width="16" style="1" hidden="0" customWidth="1"/>
    <x:col min="4" max="4" width="12" style="1" hidden="0" customWidth="1"/>
    <x:col min="5" max="6" width="22" style="1" hidden="0" customWidth="1"/>
    <x:col min="7" max="7" width="44" hidden="0" customWidth="1"/>
  </x:cols>
  <x:sheetData>
    <x:row r="1" ht="26" hidden="0" customHeight="1">
      <x:c r="A1" s="306" t="s">
        <x:v>181</x:v>
      </x:c>
      <x:c r="B1" s="306"/>
      <x:c r="C1" s="306"/>
      <x:c r="D1" s="306"/>
      <x:c r="E1" s="306"/>
      <x:c r="F1" s="306"/>
      <x:c r="G1" s="307"/>
    </x:row>
    <x:row r="2" ht="28" hidden="0" customHeight="1">
      <x:c r="A2" s="183" t="s">
        <x:v>182</x:v>
      </x:c>
      <x:c r="B2" s="183" t="s">
        <x:v>183</x:v>
      </x:c>
      <x:c r="C2" s="183" t="s">
        <x:v>184</x:v>
      </x:c>
      <x:c r="D2" s="183" t="s">
        <x:v>75</x:v>
      </x:c>
      <x:c r="E2" s="183" t="s">
        <x:v>185</x:v>
      </x:c>
      <x:c r="F2" s="183" t="s">
        <x:v>186</x:v>
      </x:c>
      <x:c r="G2" s="183" t="s">
        <x:v>187</x:v>
      </x:c>
    </x:row>
    <x:row r="3" ht="26" hidden="0" customHeight="1">
      <x:c r="A3" s="177" t="s">
        <x:v>188</x:v>
      </x:c>
      <x:c r="B3" s="296"/>
      <x:c r="C3" s="296"/>
      <x:c r="D3" s="302" t="str">
        <x:f aca="0">IF(OR(B3="",C3=""),"",ROUND(MOD(C3-B3,1)*1440,6))</x:f>
      </x:c>
      <x:c r="E3" s="298"/>
      <x:c r="F3" s="298"/>
      <x:c r="G3" s="298"/>
    </x:row>
    <x:row r="4" ht="26" hidden="0" customHeight="1">
      <x:c r="A4" s="174" t="s">
        <x:v>188</x:v>
      </x:c>
      <x:c r="B4" s="299"/>
      <x:c r="C4" s="299"/>
      <x:c r="D4" s="303" t="str">
        <x:f aca="0">IF(OR(B4="",C4=""),"",ROUND(MOD(C4-B4,1)*1440,6))</x:f>
      </x:c>
      <x:c r="E4" s="301"/>
      <x:c r="F4" s="301"/>
      <x:c r="G4" s="301"/>
    </x:row>
    <x:row r="5" ht="28" hidden="0" customHeight="1">
      <x:c r="A5" s="177" t="s">
        <x:v>189</x:v>
      </x:c>
      <x:c r="B5" s="296" t="n">
        <x:v>0.833333333333333</x:v>
      </x:c>
      <x:c r="C5" s="296" t="n">
        <x:v>0.875</x:v>
      </x:c>
      <x:c r="D5" s="302" t="n">
        <x:f aca="0">IF(OR(B5="",C5=""),"",ROUND(MOD(C5-B5,1)*1440,6))</x:f>
        <x:v>60</x:v>
      </x:c>
      <x:c r="E5" s="298" t="s">
        <x:v>44</x:v>
      </x:c>
      <x:c r="F5" s="298" t="s">
        <x:v>190</x:v>
      </x:c>
      <x:c r="G5" s="298" t="s">
        <x:v>191</x:v>
      </x:c>
    </x:row>
    <x:row r="6" ht="26" hidden="0" customHeight="1">
      <x:c r="A6" s="174" t="s">
        <x:v>189</x:v>
      </x:c>
      <x:c r="B6" s="299"/>
      <x:c r="C6" s="299"/>
      <x:c r="D6" s="303" t="str">
        <x:f aca="0">IF(OR(B6="",C6=""),"",ROUND(MOD(C6-B6,1)*1440,6))</x:f>
      </x:c>
      <x:c r="E6" s="301"/>
      <x:c r="F6" s="301"/>
      <x:c r="G6" s="301"/>
    </x:row>
    <x:row r="7" ht="26" hidden="0" customHeight="1">
      <x:c r="A7" s="177" t="s">
        <x:v>192</x:v>
      </x:c>
      <x:c r="B7" s="296"/>
      <x:c r="C7" s="296"/>
      <x:c r="D7" s="302" t="str">
        <x:f aca="0">IF(OR(B7="",C7=""),"",ROUND(MOD(C7-B7,1)*1440,6))</x:f>
      </x:c>
      <x:c r="E7" s="298"/>
      <x:c r="F7" s="298"/>
      <x:c r="G7" s="298"/>
    </x:row>
    <x:row r="8" ht="26" hidden="0" customHeight="1">
      <x:c r="A8" s="174" t="s">
        <x:v>192</x:v>
      </x:c>
      <x:c r="B8" s="299"/>
      <x:c r="C8" s="299"/>
      <x:c r="D8" s="303" t="str">
        <x:f aca="0">IF(OR(B8="",C8=""),"",ROUND(MOD(C8-B8,1)*1440,6))</x:f>
      </x:c>
      <x:c r="E8" s="301"/>
      <x:c r="F8" s="301"/>
      <x:c r="G8" s="301"/>
    </x:row>
    <x:row r="9" ht="26" hidden="0" customHeight="1">
      <x:c r="A9" s="177" t="s">
        <x:v>193</x:v>
      </x:c>
      <x:c r="B9" s="296"/>
      <x:c r="C9" s="296"/>
      <x:c r="D9" s="302" t="str">
        <x:f aca="0">IF(OR(B9="",C9=""),"",ROUND(MOD(C9-B9,1)*1440,6))</x:f>
      </x:c>
      <x:c r="E9" s="298"/>
      <x:c r="F9" s="298"/>
      <x:c r="G9" s="298"/>
    </x:row>
    <x:row r="10" ht="26" hidden="0" customHeight="1">
      <x:c r="A10" s="174" t="s">
        <x:v>193</x:v>
      </x:c>
      <x:c r="B10" s="299"/>
      <x:c r="C10" s="299"/>
      <x:c r="D10" s="303" t="str">
        <x:f aca="0">IF(OR(B10="",C10=""),"",ROUND(MOD(C10-B10,1)*1440,6))</x:f>
      </x:c>
      <x:c r="E10" s="301"/>
      <x:c r="F10" s="301"/>
      <x:c r="G10" s="301"/>
    </x:row>
    <x:row r="11" ht="26" hidden="0" customHeight="1">
      <x:c r="A11" s="177" t="s">
        <x:v>194</x:v>
      </x:c>
      <x:c r="B11" s="296"/>
      <x:c r="C11" s="296"/>
      <x:c r="D11" s="302" t="str">
        <x:f aca="0">IF(OR(B11="",C11=""),"",ROUND(MOD(C11-B11,1)*1440,6))</x:f>
      </x:c>
      <x:c r="E11" s="298"/>
      <x:c r="F11" s="298"/>
      <x:c r="G11" s="298"/>
    </x:row>
    <x:row r="12" ht="26" hidden="0" customHeight="1">
      <x:c r="A12" s="174" t="s">
        <x:v>194</x:v>
      </x:c>
      <x:c r="B12" s="299"/>
      <x:c r="C12" s="299"/>
      <x:c r="D12" s="303" t="str">
        <x:f aca="0">IF(OR(B12="",C12=""),"",ROUND(MOD(C12-B12,1)*1440,6))</x:f>
      </x:c>
      <x:c r="E12" s="301"/>
      <x:c r="F12" s="301"/>
      <x:c r="G12" s="301"/>
    </x:row>
    <x:row r="13" ht="26" hidden="0" customHeight="1">
      <x:c r="A13" s="177" t="s">
        <x:v>195</x:v>
      </x:c>
      <x:c r="B13" s="296"/>
      <x:c r="C13" s="296"/>
      <x:c r="D13" s="302" t="str">
        <x:f aca="0">IF(OR(B13="",C13=""),"",ROUND(MOD(C13-B13,1)*1440,6))</x:f>
      </x:c>
      <x:c r="E13" s="298"/>
      <x:c r="F13" s="298"/>
      <x:c r="G13" s="298"/>
    </x:row>
    <x:row r="14" ht="26" hidden="0" customHeight="1">
      <x:c r="A14" s="174" t="s">
        <x:v>195</x:v>
      </x:c>
      <x:c r="B14" s="299"/>
      <x:c r="C14" s="299"/>
      <x:c r="D14" s="303" t="str">
        <x:f aca="0">IF(OR(B14="",C14=""),"",ROUND(MOD(C14-B14,1)*1440,6))</x:f>
      </x:c>
      <x:c r="E14" s="301"/>
      <x:c r="F14" s="301"/>
      <x:c r="G14" s="301"/>
    </x:row>
    <x:row r="15" ht="28" hidden="0" customHeight="1">
      <x:c r="A15" s="177" t="s">
        <x:v>196</x:v>
      </x:c>
      <x:c r="B15" s="296" t="n">
        <x:v>0.4375</x:v>
      </x:c>
      <x:c r="C15" s="296" t="n">
        <x:v>0.479166666666667</x:v>
      </x:c>
      <x:c r="D15" s="302" t="n">
        <x:f aca="0">IF(OR(B15="",C15=""),"",ROUND(MOD(C15-B15,1)*1440,6))</x:f>
        <x:v>60</x:v>
      </x:c>
      <x:c r="E15" s="298" t="s">
        <x:v>38</x:v>
      </x:c>
      <x:c r="F15" s="298" t="s">
        <x:v>190</x:v>
      </x:c>
      <x:c r="G15" s="298" t="s">
        <x:v>197</x:v>
      </x:c>
    </x:row>
    <x:row r="16" ht="26" hidden="0" customHeight="1">
      <x:c r="A16" s="174" t="s">
        <x:v>196</x:v>
      </x:c>
      <x:c r="B16" s="299"/>
      <x:c r="C16" s="299"/>
      <x:c r="D16" s="303" t="str">
        <x:f aca="0">IF(OR(B16="",C16=""),"",ROUND(MOD(C16-B16,1)*1440,6))</x:f>
      </x:c>
      <x:c r="E16" s="301"/>
      <x:c r="F16" s="301"/>
      <x:c r="G16" s="30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33465E"/>
  </x:sheetPr>
  <x:sheetViews>
    <x:sheetView showGridLines="0" workbookViewId="0">
      <x:pane xSplit="2" ySplit="2" topLeftCell="C3" activePane="bottomRight" state="frozen"/>
    </x:sheetView>
  </x:sheetViews>
  <x:sheetFormatPr defaultColWidth="8.6796875" defaultRowHeight="15"/>
  <x:cols>
    <x:col min="1" max="2" width="14" style="1" hidden="0" customWidth="1"/>
    <x:col min="3" max="3" width="72" style="1" hidden="0" customWidth="1"/>
    <x:col min="4" max="4" width="29" style="1" hidden="0" customWidth="1"/>
    <x:col min="5" max="7" width="17" style="1" hidden="0" customWidth="1"/>
    <x:col min="8" max="11" width="30" style="1" hidden="0" customWidth="1"/>
    <x:col min="12" max="25" width="12" hidden="0" customWidth="1"/>
    <x:col min="26" max="26" width="9" hidden="0" customWidth="1"/>
    <x:col min="16383" max="16384" width="11.529999732971191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  <x:col min="23" max="23" width="9" hidden="0" customWidth="1"/>
    <x:col min="24" max="24" width="9" hidden="0" customWidth="1"/>
    <x:col min="25" max="25" width="9" hidden="0" customWidth="1"/>
    <x:col min="27" max="27" width="9" hidden="0" customWidth="1"/>
    <x:col min="29" max="29" width="32" hidden="0" customWidth="1"/>
    <x:col min="30" max="30" width="27" hidden="0" customWidth="1"/>
    <x:col min="31" max="31" width="27" hidden="0" customWidth="1"/>
    <x:col min="32" max="32" width="27" hidden="0" customWidth="1"/>
    <x:col min="33" max="33" width="19" hidden="0" customWidth="1"/>
    <x:col min="34" max="34" width="19" hidden="0" customWidth="1"/>
    <x:col min="35" max="35" width="24" hidden="0" customWidth="1"/>
    <x:col min="36" max="36" width="24" hidden="0" customWidth="1"/>
    <x:col min="37" max="37" width="19" hidden="0" customWidth="1"/>
    <x:col min="38" max="38" width="19" hidden="0" customWidth="1"/>
    <x:col min="28" max="28" width="13" hidden="0" customWidth="1"/>
  </x:cols>
  <x:sheetData>
    <x:row r="1" ht="26" hidden="0" customHeight="1">
      <x:c r="A1" s="290" t="str">
        <x:v>Daily training</x:v>
      </x:c>
      <x:c r="B1" s="290"/>
      <x:c r="C1" s="290"/>
      <x:c r="D1" s="290"/>
      <x:c r="E1" s="290"/>
      <x:c r="F1" s="290"/>
      <x:c r="G1" s="290"/>
      <x:c r="H1" s="291" t="s">
        <x:v>53</x:v>
      </x:c>
      <x:c r="I1" s="290"/>
      <x:c r="J1" s="290"/>
      <x:c r="K1" s="290"/>
      <x:c r="L1" s="290"/>
      <x:c r="M1" s="290"/>
      <x:c r="N1" s="291" t="s">
        <x:v>57</x:v>
      </x:c>
      <x:c r="O1" s="290"/>
      <x:c r="P1" s="290"/>
      <x:c r="Q1" s="290"/>
      <x:c r="R1" s="290"/>
      <x:c r="S1" s="290"/>
      <x:c r="T1" s="291" t="s">
        <x:v>198</x:v>
      </x:c>
      <x:c r="U1" s="290"/>
      <x:c r="V1" s="290"/>
      <x:c r="W1" s="290"/>
      <x:c r="X1" s="290"/>
      <x:c r="Y1" s="290"/>
      <x:c r="Z1" s="291" t="str">
        <x:v>Core</x:v>
      </x:c>
      <x:c r="AA1" s="290"/>
      <x:c r="AB1" s="384" t="str">
        <x:v>Session</x:v>
      </x:c>
      <x:c r="AC1" s="383"/>
      <x:c r="AD1" s="383"/>
      <x:c r="AE1" s="383"/>
      <x:c r="AF1" s="383"/>
      <x:c r="AG1" s="333" t="str">
        <x:v>Daily scores</x:v>
      </x:c>
      <x:c r="AH1" s="333"/>
      <x:c r="AI1" s="333"/>
      <x:c r="AJ1" s="333"/>
      <x:c r="AK1" s="333"/>
      <x:c r="AL1" s="333"/>
    </x:row>
    <x:row r="2" ht="42" hidden="0" customHeight="1">
      <x:c r="A2" s="239" t="s">
        <x:v>199</x:v>
      </x:c>
      <x:c r="B2" s="239" t="s">
        <x:v>200</x:v>
      </x:c>
      <x:c r="C2" s="239" t="s">
        <x:v>0</x:v>
      </x:c>
      <x:c r="D2" s="239" t="s">
        <x:v>201</x:v>
      </x:c>
      <x:c r="E2" s="239" t="s">
        <x:v>202</x:v>
      </x:c>
      <x:c r="F2" s="239" t="s">
        <x:v>203</x:v>
      </x:c>
      <x:c r="G2" s="239" t="s">
        <x:v>204</x:v>
      </x:c>
      <x:c r="H2" s="242" t="s">
        <x:v>205</x:v>
      </x:c>
      <x:c r="I2" s="240" t="n">
        <x:v>1</x:v>
      </x:c>
      <x:c r="J2" s="240" t="n">
        <x:v>2</x:v>
      </x:c>
      <x:c r="K2" s="240" t="n">
        <x:v>3</x:v>
      </x:c>
      <x:c r="L2" s="240" t="n">
        <x:v>4</x:v>
      </x:c>
      <x:c r="M2" s="240" t="n">
        <x:v>5</x:v>
      </x:c>
      <x:c r="N2" s="242" t="s">
        <x:v>205</x:v>
      </x:c>
      <x:c r="O2" s="240" t="n">
        <x:v>1</x:v>
      </x:c>
      <x:c r="P2" s="240" t="n">
        <x:v>2</x:v>
      </x:c>
      <x:c r="Q2" s="240" t="n">
        <x:v>3</x:v>
      </x:c>
      <x:c r="R2" s="240" t="n">
        <x:v>4</x:v>
      </x:c>
      <x:c r="S2" s="240" t="n">
        <x:v>5</x:v>
      </x:c>
      <x:c r="T2" s="242" t="s">
        <x:v>205</x:v>
      </x:c>
      <x:c r="U2" s="240" t="n">
        <x:v>1</x:v>
      </x:c>
      <x:c r="V2" s="240" t="n">
        <x:v>2</x:v>
      </x:c>
      <x:c r="W2" s="240" t="n">
        <x:v>3</x:v>
      </x:c>
      <x:c r="X2" s="240" t="n">
        <x:v>4</x:v>
      </x:c>
      <x:c r="Y2" s="240" t="n">
        <x:v>5</x:v>
      </x:c>
      <x:c r="Z2" s="242" t="str">
        <x:v>Done</x:v>
      </x:c>
      <x:c r="AA2" s="240" t="str">
        <x:v>Rounds</x:v>
      </x:c>
      <x:c r="AB2" s="379" t="str">
        <x:v>All done</x:v>
      </x:c>
      <x:c r="AC2" s="242" t="str">
        <x:v>Notes</x:v>
      </x:c>
      <x:c r="AD2" s="240" t="str">
        <x:v>Muscle-up result</x:v>
      </x:c>
      <x:c r="AE2" s="240" t="str">
        <x:v>HSPU result</x:v>
      </x:c>
      <x:c r="AF2" s="240" t="str">
        <x:v>Pistol result</x:v>
      </x:c>
      <x:c r="AG2" s="337" t="str">
        <x:v>Planned intensity</x:v>
      </x:c>
      <x:c r="AH2" s="337" t="str">
        <x:v>Effort rating</x:v>
      </x:c>
      <x:c r="AI2" s="337" t="str">
        <x:v>Expected performance</x:v>
      </x:c>
      <x:c r="AJ2" s="337" t="str">
        <x:v>Actual performance</x:v>
      </x:c>
      <x:c r="AK2" s="337" t="str">
        <x:v>Scored metrics</x:v>
      </x:c>
      <x:c r="AL2" s="337" t="str">
        <x:v>Planned metrics</x:v>
      </x:c>
    </x:row>
    <x:row r="3" ht="88" hidden="0" customHeight="1">
      <x:c r="A3" s="228" t="n">
        <x:f aca="0">Strategy!$E$3+0</x:f>
        <x:v>46321.5</x:v>
      </x:c>
      <x:c r="B3" s="229" t="s">
        <x:v>53</x:v>
      </x:c>
      <x:c r="C3" s="289" t="str">
        <x:f aca="0">SUBSTITUTE(SUBSTITUTE(SUBSTITUTE("35 min skills"&amp;CHAR(10)&amp;Strategy!H21,", B)",CHAR(10)&amp;"B)"),", C)",CHAR(10)&amp;"C)"),", Core:",CHAR(10)&amp;"Core:")</x:f>
        <x:v>35 min skills
A) Scapular pull-up: 3 x 5
B) High pull (chest-to-bar intent): 3 x 3
C) Box pistol: 3 x 5/leg
Core: 5 rounds</x:v>
      </x:c>
      <x:c r="D3" s="229" t="s">
        <x:v>206</x:v>
      </x:c>
      <x:c r="E3" s="229" t="n">
        <x:v>65</x:v>
      </x:c>
      <x:c r="F3" s="256"/>
      <x:c r="G3" s="256" t="s">
        <x:v>207</x:v>
      </x:c>
      <x:c r="H3" s="258" t="b">
        <x:f aca="0">FALSE()</x:f>
        <x:v>0</x:v>
      </x:c>
      <x:c r="I3" s="259" t="n">
        <x:v>5</x:v>
      </x:c>
      <x:c r="J3" s="259" t="n">
        <x:v>5</x:v>
      </x:c>
      <x:c r="K3" s="259" t="n">
        <x:v>5</x:v>
      </x:c>
      <x:c r="L3" s="260"/>
      <x:c r="M3" s="260"/>
      <x:c r="N3" s="258" t="b">
        <x:f aca="0">FALSE()</x:f>
        <x:v>0</x:v>
      </x:c>
      <x:c r="O3" s="259" t="n">
        <x:v>3</x:v>
      </x:c>
      <x:c r="P3" s="259" t="n">
        <x:v>3</x:v>
      </x:c>
      <x:c r="Q3" s="259" t="n">
        <x:v>3</x:v>
      </x:c>
      <x:c r="R3" s="260"/>
      <x:c r="S3" s="260"/>
      <x:c r="T3" s="258" t="b">
        <x:f aca="0">FALSE()</x:f>
        <x:v>0</x:v>
      </x:c>
      <x:c r="U3" s="259" t="n">
        <x:v>5</x:v>
      </x:c>
      <x:c r="V3" s="259" t="n">
        <x:v>5</x:v>
      </x:c>
      <x:c r="W3" s="259" t="n">
        <x:v>5</x:v>
      </x:c>
      <x:c r="X3" s="260"/>
      <x:c r="Y3" s="260"/>
      <x:c r="Z3" s="261" t="b">
        <x:v>0</x:v>
      </x:c>
      <x:c r="AA3" s="259" t="n">
        <x:v>5</x:v>
      </x:c>
      <x:c r="AB3" s="382" t="b">
        <x:v>0</x:v>
      </x:c>
      <x:c r="AC3" s="262"/>
      <x:c r="AD3" s="287"/>
      <x:c r="AE3" s="287"/>
      <x:c r="AF3" s="287"/>
      <x:c r="AG3" s="377" t="n">
        <x:f>IF(COUNT(Scoring!X5:X11)&lt;&gt;ROWS(Scoring!X5:X11),"",IF(SUM(Scoring!V5:V11)=0,0,ROUND(SUM(Scoring!X5:X11)/SUM(Scoring!V5:V11),0)))</x:f>
        <x:v>5</x:v>
      </x:c>
      <x:c r="AH3" s="328"/>
      <x:c r="AI3" s="329" t="n">
        <x:f>IF(COUNT(Scoring!H5:H8)&gt;0,MEDIAN(Scoring!H5:H8),"")</x:f>
        <x:v>100</x:v>
      </x:c>
      <x:c r="AJ3" s="329" t="str">
        <x:f>IF(COUNT(Scoring!I5:I8)&gt;0,MEDIAN(Scoring!I5:I8),"")</x:f>
      </x:c>
      <x:c r="AK3" s="340" t="n">
        <x:f>COUNT(Scoring!I5:I8)</x:f>
        <x:v>0</x:v>
      </x:c>
      <x:c r="AL3" s="340" t="n">
        <x:f>COUNT(Scoring!H5:H8)</x:f>
        <x:v>4</x:v>
      </x:c>
    </x:row>
    <x:row r="4" ht="88" hidden="0" customHeight="1">
      <x:c r="A4" s="223" t="n">
        <x:f aca="0">Strategy!$E$3+1</x:f>
        <x:v>46322.5</x:v>
      </x:c>
      <x:c r="B4" s="224" t="s">
        <x:v>61</x:v>
      </x:c>
      <x:c r="C4" s="224" t="s">
        <x:v>208</x:v>
      </x:c>
      <x:c r="D4" s="224" t="s">
        <x:v>209</x:v>
      </x:c>
      <x:c r="E4" s="224" t="n">
        <x:v>10</x:v>
      </x:c>
      <x:c r="F4" s="257"/>
      <x:c r="G4" s="257" t="s">
        <x:v>207</x:v>
      </x:c>
      <x:c r="H4" s="263" t="b">
        <x:f aca="0">FALSE()</x:f>
        <x:v>0</x:v>
      </x:c>
      <x:c r="I4" s="264" t="n">
        <x:v>0.001388888888888889</x:v>
      </x:c>
      <x:c r="J4" s="265"/>
      <x:c r="K4" s="265"/>
      <x:c r="L4" s="265"/>
      <x:c r="M4" s="265"/>
      <x:c r="N4" s="263" t="b">
        <x:f aca="0">FALSE()</x:f>
        <x:v>0</x:v>
      </x:c>
      <x:c r="O4" s="264" t="n">
        <x:v>0.00017361111111111112</x:v>
      </x:c>
      <x:c r="P4" s="264" t="n">
        <x:v>0.00017361111111111112</x:v>
      </x:c>
      <x:c r="Q4" s="264" t="n">
        <x:v>0.00017361111111111112</x:v>
      </x:c>
      <x:c r="R4" s="265"/>
      <x:c r="S4" s="265"/>
      <x:c r="T4" s="263" t="b">
        <x:f aca="0">FALSE()</x:f>
        <x:v>0</x:v>
      </x:c>
      <x:c r="U4" s="264" t="n">
        <x:v>0.00017361111111111112</x:v>
      </x:c>
      <x:c r="V4" s="264" t="n">
        <x:v>0.00017361111111111112</x:v>
      </x:c>
      <x:c r="W4" s="265"/>
      <x:c r="X4" s="265"/>
      <x:c r="Y4" s="265"/>
      <x:c r="Z4" s="266" t="b">
        <x:v>0</x:v>
      </x:c>
      <x:c r="AA4" s="267"/>
      <x:c r="AB4" s="266" t="b">
        <x:v>0</x:v>
      </x:c>
      <x:c r="AC4" s="268"/>
      <x:c r="AD4" s="288"/>
      <x:c r="AE4" s="288"/>
      <x:c r="AF4" s="288"/>
      <x:c r="AG4" s="378" t="n">
        <x:f>IF(COUNT(Scoring!X12:X14)&lt;&gt;ROWS(Scoring!X12:X14),"",IF(SUM(Scoring!V12:V14)=0,0,ROUND(SUM(Scoring!X12:X14)/SUM(Scoring!V12:V14),0)))</x:f>
        <x:v>1</x:v>
      </x:c>
      <x:c r="AH4" s="330"/>
      <x:c r="AI4" s="331" t="n">
        <x:f>IF(COUNT(Scoring!H9:H11)&gt;0,MEDIAN(Scoring!H9:H11),"")</x:f>
        <x:v>100</x:v>
      </x:c>
      <x:c r="AJ4" s="331" t="str">
        <x:f>IF(COUNT(Scoring!I9:I11)&gt;0,MEDIAN(Scoring!I9:I11),"")</x:f>
      </x:c>
      <x:c r="AK4" s="341" t="n">
        <x:f>COUNT(Scoring!I9:I11)</x:f>
        <x:v>0</x:v>
      </x:c>
      <x:c r="AL4" s="341" t="n">
        <x:f>COUNT(Scoring!H9:H11)</x:f>
        <x:v>3</x:v>
      </x:c>
    </x:row>
    <x:row r="5" ht="88" hidden="0" customHeight="1">
      <x:c r="A5" s="228" t="n">
        <x:f aca="0">Strategy!$E$3+3</x:f>
        <x:v>46324.5</x:v>
      </x:c>
      <x:c r="B5" s="229" t="s">
        <x:v>57</x:v>
      </x:c>
      <x:c r="C5" s="289" t="str">
        <x:f aca="0">SUBSTITUTE(SUBSTITUTE(SUBSTITUTE("35 min skills"&amp;CHAR(10)&amp;Strategy!I21,", B)",CHAR(10)&amp;"B)"),", C)",CHAR(10)&amp;"C)"),", Core:",CHAR(10)&amp;"Core:")</x:f>
        <x:v>35 min skills
A) Chest-to-wall handstand: 3 x 20 sec
B) Pike push-up: 3 x 5
C) Box pistol: 3 x 5/leg
Core: 5 rounds</x:v>
      </x:c>
      <x:c r="D5" s="229" t="s">
        <x:v>210</x:v>
      </x:c>
      <x:c r="E5" s="229" t="n">
        <x:v>65</x:v>
      </x:c>
      <x:c r="F5" s="256"/>
      <x:c r="G5" s="256" t="s">
        <x:v>207</x:v>
      </x:c>
      <x:c r="H5" s="258" t="b">
        <x:f aca="0">FALSE()</x:f>
        <x:v>0</x:v>
      </x:c>
      <x:c r="I5" s="269" t="n">
        <x:v>0.0002314814814814815</x:v>
      </x:c>
      <x:c r="J5" s="269" t="n">
        <x:v>0.0002314814814814815</x:v>
      </x:c>
      <x:c r="K5" s="269" t="n">
        <x:v>0.0002314814814814815</x:v>
      </x:c>
      <x:c r="L5" s="260"/>
      <x:c r="M5" s="260"/>
      <x:c r="N5" s="258" t="b">
        <x:f aca="0">FALSE()</x:f>
        <x:v>0</x:v>
      </x:c>
      <x:c r="O5" s="259" t="n">
        <x:v>5</x:v>
      </x:c>
      <x:c r="P5" s="259" t="n">
        <x:v>5</x:v>
      </x:c>
      <x:c r="Q5" s="259" t="n">
        <x:v>5</x:v>
      </x:c>
      <x:c r="R5" s="260"/>
      <x:c r="S5" s="260"/>
      <x:c r="T5" s="258" t="b">
        <x:f aca="0">FALSE()</x:f>
        <x:v>0</x:v>
      </x:c>
      <x:c r="U5" s="259" t="n">
        <x:v>5</x:v>
      </x:c>
      <x:c r="V5" s="259" t="n">
        <x:v>5</x:v>
      </x:c>
      <x:c r="W5" s="259" t="n">
        <x:v>5</x:v>
      </x:c>
      <x:c r="X5" s="260"/>
      <x:c r="Y5" s="260"/>
      <x:c r="Z5" s="261" t="b">
        <x:v>0</x:v>
      </x:c>
      <x:c r="AA5" s="259" t="n">
        <x:v>5</x:v>
      </x:c>
      <x:c r="AB5" s="382" t="b">
        <x:v>0</x:v>
      </x:c>
      <x:c r="AC5" s="262"/>
      <x:c r="AD5" s="287"/>
      <x:c r="AE5" s="287"/>
      <x:c r="AF5" s="287"/>
      <x:c r="AG5" s="377" t="n">
        <x:f>IF(COUNT(Scoring!X15:X21)&lt;&gt;ROWS(Scoring!X15:X21),"",IF(SUM(Scoring!V15:V21)=0,0,ROUND(SUM(Scoring!X15:X21)/SUM(Scoring!V15:V21),0)))</x:f>
        <x:v>5</x:v>
      </x:c>
      <x:c r="AH5" s="328"/>
      <x:c r="AI5" s="329" t="n">
        <x:f>IF(COUNT(Scoring!H12:H15)&gt;0,MEDIAN(Scoring!H12:H15),"")</x:f>
        <x:v>100</x:v>
      </x:c>
      <x:c r="AJ5" s="329" t="str">
        <x:f>IF(COUNT(Scoring!I12:I15)&gt;0,MEDIAN(Scoring!I12:I15),"")</x:f>
      </x:c>
      <x:c r="AK5" s="340" t="n">
        <x:f>COUNT(Scoring!I12:I15)</x:f>
        <x:v>0</x:v>
      </x:c>
      <x:c r="AL5" s="340" t="n">
        <x:f>COUNT(Scoring!H12:H15)</x:f>
        <x:v>4</x:v>
      </x:c>
    </x:row>
    <x:row r="6" ht="88" hidden="0" customHeight="1">
      <x:c r="A6" s="223" t="n">
        <x:f aca="0">Strategy!$E$3+5</x:f>
        <x:v>46326.5</x:v>
      </x:c>
      <x:c r="B6" s="224" t="s">
        <x:v>61</x:v>
      </x:c>
      <x:c r="C6" s="224" t="s">
        <x:v>211</x:v>
      </x:c>
      <x:c r="D6" s="224" t="s">
        <x:v>212</x:v>
      </x:c>
      <x:c r="E6" s="224" t="n">
        <x:v>20</x:v>
      </x:c>
      <x:c r="F6" s="257"/>
      <x:c r="G6" s="257" t="s">
        <x:v>207</x:v>
      </x:c>
      <x:c r="H6" s="263" t="b">
        <x:f aca="0">FALSE()</x:f>
        <x:v>0</x:v>
      </x:c>
      <x:c r="I6" s="264" t="n">
        <x:v>0.001388888888888889</x:v>
      </x:c>
      <x:c r="J6" s="265"/>
      <x:c r="K6" s="265"/>
      <x:c r="L6" s="265"/>
      <x:c r="M6" s="265"/>
      <x:c r="N6" s="263" t="b">
        <x:f aca="0">FALSE()</x:f>
        <x:v>0</x:v>
      </x:c>
      <x:c r="O6" s="264" t="n">
        <x:v>0.00017361111111111112</x:v>
      </x:c>
      <x:c r="P6" s="264" t="n">
        <x:v>0.00017361111111111112</x:v>
      </x:c>
      <x:c r="Q6" s="264" t="n">
        <x:v>0.00017361111111111112</x:v>
      </x:c>
      <x:c r="R6" s="265"/>
      <x:c r="S6" s="265"/>
      <x:c r="T6" s="263" t="b">
        <x:f aca="0">FALSE()</x:f>
        <x:v>0</x:v>
      </x:c>
      <x:c r="U6" s="264" t="n">
        <x:v>0.00017361111111111112</x:v>
      </x:c>
      <x:c r="V6" s="264" t="n">
        <x:v>0.00017361111111111112</x:v>
      </x:c>
      <x:c r="W6" s="264" t="n">
        <x:v>0.00017361111111111112</x:v>
      </x:c>
      <x:c r="X6" s="265"/>
      <x:c r="Y6" s="265"/>
      <x:c r="Z6" s="266" t="b">
        <x:v>0</x:v>
      </x:c>
      <x:c r="AA6" s="267"/>
      <x:c r="AB6" s="266" t="b">
        <x:v>0</x:v>
      </x:c>
      <x:c r="AC6" s="268"/>
      <x:c r="AD6" s="288"/>
      <x:c r="AE6" s="288"/>
      <x:c r="AF6" s="288"/>
      <x:c r="AG6" s="378" t="n">
        <x:f>IF(COUNT(Scoring!X22:X24)&lt;&gt;ROWS(Scoring!X22:X24),"",IF(SUM(Scoring!V22:V24)=0,0,ROUND(SUM(Scoring!X22:X24)/SUM(Scoring!V22:V24),0)))</x:f>
        <x:v>1</x:v>
      </x:c>
      <x:c r="AH6" s="330"/>
      <x:c r="AI6" s="331" t="n">
        <x:f>IF(COUNT(Scoring!H16:H18)&gt;0,MEDIAN(Scoring!H16:H18),"")</x:f>
        <x:v>100</x:v>
      </x:c>
      <x:c r="AJ6" s="331" t="str">
        <x:f>IF(COUNT(Scoring!I16:I18)&gt;0,MEDIAN(Scoring!I16:I18),"")</x:f>
      </x:c>
      <x:c r="AK6" s="341" t="n">
        <x:f>COUNT(Scoring!I16:I18)</x:f>
        <x:v>0</x:v>
      </x:c>
      <x:c r="AL6" s="341" t="n">
        <x:f>COUNT(Scoring!H16:H18)</x:f>
        <x:v>3</x:v>
      </x:c>
    </x:row>
    <x:row r="7" ht="88" hidden="0" customHeight="1">
      <x:c r="A7" s="228" t="n">
        <x:f aca="0">Strategy!$E$3+7</x:f>
        <x:v>46328.5</x:v>
      </x:c>
      <x:c r="B7" s="229" t="s">
        <x:v>53</x:v>
      </x:c>
      <x:c r="C7" s="289" t="str">
        <x:f aca="0">SUBSTITUTE(SUBSTITUTE(SUBSTITUTE("35 min skills"&amp;CHAR(10)&amp;Strategy!H22,", B)",CHAR(10)&amp;"B)"),", C)",CHAR(10)&amp;"C)"),", Core:",CHAR(10)&amp;"Core:")</x:f>
        <x:v>35 min skills
A) Band transition drill: 3 x 3
B) High pull: 3 x 3
C) Lower-box pistol with counterweight: 3 x 4/leg
Core: 5 rounds</x:v>
      </x:c>
      <x:c r="D7" s="229" t="s">
        <x:v>206</x:v>
      </x:c>
      <x:c r="E7" s="229" t="n">
        <x:v>65</x:v>
      </x:c>
      <x:c r="F7" s="256"/>
      <x:c r="G7" s="256" t="s">
        <x:v>207</x:v>
      </x:c>
      <x:c r="H7" s="258" t="b">
        <x:f aca="0">FALSE()</x:f>
        <x:v>0</x:v>
      </x:c>
      <x:c r="I7" s="259" t="n">
        <x:v>3</x:v>
      </x:c>
      <x:c r="J7" s="259" t="n">
        <x:v>3</x:v>
      </x:c>
      <x:c r="K7" s="259" t="n">
        <x:v>3</x:v>
      </x:c>
      <x:c r="L7" s="260"/>
      <x:c r="M7" s="260"/>
      <x:c r="N7" s="258" t="b">
        <x:f aca="0">FALSE()</x:f>
        <x:v>0</x:v>
      </x:c>
      <x:c r="O7" s="259" t="n">
        <x:v>3</x:v>
      </x:c>
      <x:c r="P7" s="259" t="n">
        <x:v>3</x:v>
      </x:c>
      <x:c r="Q7" s="259" t="n">
        <x:v>3</x:v>
      </x:c>
      <x:c r="R7" s="260"/>
      <x:c r="S7" s="260"/>
      <x:c r="T7" s="258" t="b">
        <x:f aca="0">FALSE()</x:f>
        <x:v>0</x:v>
      </x:c>
      <x:c r="U7" s="259" t="n">
        <x:v>4</x:v>
      </x:c>
      <x:c r="V7" s="259" t="n">
        <x:v>4</x:v>
      </x:c>
      <x:c r="W7" s="259" t="n">
        <x:v>4</x:v>
      </x:c>
      <x:c r="X7" s="260"/>
      <x:c r="Y7" s="260"/>
      <x:c r="Z7" s="261" t="b">
        <x:v>0</x:v>
      </x:c>
      <x:c r="AA7" s="259" t="n">
        <x:v>5</x:v>
      </x:c>
      <x:c r="AB7" s="382" t="b">
        <x:v>0</x:v>
      </x:c>
      <x:c r="AC7" s="262"/>
      <x:c r="AD7" s="287"/>
      <x:c r="AE7" s="287"/>
      <x:c r="AF7" s="287"/>
      <x:c r="AG7" s="377" t="n">
        <x:f>IF(COUNT(Scoring!X25:X31)&lt;&gt;ROWS(Scoring!X25:X31),"",IF(SUM(Scoring!V25:V31)=0,0,ROUND(SUM(Scoring!X25:X31)/SUM(Scoring!V25:V31),0)))</x:f>
        <x:v>5</x:v>
      </x:c>
      <x:c r="AH7" s="328"/>
      <x:c r="AI7" s="329" t="n">
        <x:f>IF(COUNT(Scoring!H19:H22)&gt;0,MEDIAN(Scoring!H19:H22),"")</x:f>
        <x:v>100</x:v>
      </x:c>
      <x:c r="AJ7" s="329" t="str">
        <x:f>IF(COUNT(Scoring!I19:I22)&gt;0,MEDIAN(Scoring!I19:I22),"")</x:f>
      </x:c>
      <x:c r="AK7" s="340" t="n">
        <x:f>COUNT(Scoring!I19:I22)</x:f>
        <x:v>0</x:v>
      </x:c>
      <x:c r="AL7" s="340" t="n">
        <x:f>COUNT(Scoring!H19:H22)</x:f>
        <x:v>4</x:v>
      </x:c>
    </x:row>
    <x:row r="8" ht="88" hidden="0" customHeight="1">
      <x:c r="A8" s="223" t="n">
        <x:f aca="0">Strategy!$E$3+8</x:f>
        <x:v>46329.5</x:v>
      </x:c>
      <x:c r="B8" s="224" t="s">
        <x:v>61</x:v>
      </x:c>
      <x:c r="C8" s="224" t="s">
        <x:v>208</x:v>
      </x:c>
      <x:c r="D8" s="224" t="s">
        <x:v>209</x:v>
      </x:c>
      <x:c r="E8" s="224" t="n">
        <x:v>10</x:v>
      </x:c>
      <x:c r="F8" s="257"/>
      <x:c r="G8" s="257" t="s">
        <x:v>207</x:v>
      </x:c>
      <x:c r="H8" s="263" t="b">
        <x:f aca="0">FALSE()</x:f>
        <x:v>0</x:v>
      </x:c>
      <x:c r="I8" s="264" t="n">
        <x:v>0.001388888888888889</x:v>
      </x:c>
      <x:c r="J8" s="265"/>
      <x:c r="K8" s="265"/>
      <x:c r="L8" s="265"/>
      <x:c r="M8" s="265"/>
      <x:c r="N8" s="263" t="b">
        <x:f aca="0">FALSE()</x:f>
        <x:v>0</x:v>
      </x:c>
      <x:c r="O8" s="264" t="n">
        <x:v>0.00017361111111111112</x:v>
      </x:c>
      <x:c r="P8" s="264" t="n">
        <x:v>0.00017361111111111112</x:v>
      </x:c>
      <x:c r="Q8" s="264" t="n">
        <x:v>0.00017361111111111112</x:v>
      </x:c>
      <x:c r="R8" s="265"/>
      <x:c r="S8" s="265"/>
      <x:c r="T8" s="263" t="b">
        <x:f aca="0">FALSE()</x:f>
        <x:v>0</x:v>
      </x:c>
      <x:c r="U8" s="264" t="n">
        <x:v>0.00017361111111111112</x:v>
      </x:c>
      <x:c r="V8" s="264" t="n">
        <x:v>0.00017361111111111112</x:v>
      </x:c>
      <x:c r="W8" s="265"/>
      <x:c r="X8" s="265"/>
      <x:c r="Y8" s="265"/>
      <x:c r="Z8" s="266" t="b">
        <x:v>0</x:v>
      </x:c>
      <x:c r="AA8" s="267"/>
      <x:c r="AB8" s="266" t="b">
        <x:v>0</x:v>
      </x:c>
      <x:c r="AC8" s="268"/>
      <x:c r="AD8" s="288"/>
      <x:c r="AE8" s="288"/>
      <x:c r="AF8" s="288"/>
      <x:c r="AG8" s="378" t="n">
        <x:f>IF(COUNT(Scoring!X32:X34)&lt;&gt;ROWS(Scoring!X32:X34),"",IF(SUM(Scoring!V32:V34)=0,0,ROUND(SUM(Scoring!X32:X34)/SUM(Scoring!V32:V34),0)))</x:f>
        <x:v>1</x:v>
      </x:c>
      <x:c r="AH8" s="330"/>
      <x:c r="AI8" s="331" t="n">
        <x:f>IF(COUNT(Scoring!H23:H25)&gt;0,MEDIAN(Scoring!H23:H25),"")</x:f>
        <x:v>100</x:v>
      </x:c>
      <x:c r="AJ8" s="331" t="str">
        <x:f>IF(COUNT(Scoring!I23:I25)&gt;0,MEDIAN(Scoring!I23:I25),"")</x:f>
      </x:c>
      <x:c r="AK8" s="341" t="n">
        <x:f>COUNT(Scoring!I23:I25)</x:f>
        <x:v>0</x:v>
      </x:c>
      <x:c r="AL8" s="341" t="n">
        <x:f>COUNT(Scoring!H23:H25)</x:f>
        <x:v>3</x:v>
      </x:c>
    </x:row>
    <x:row r="9" ht="88" hidden="0" customHeight="1">
      <x:c r="A9" s="228" t="n">
        <x:f aca="0">Strategy!$E$3+10</x:f>
        <x:v>46331.5</x:v>
      </x:c>
      <x:c r="B9" s="229" t="s">
        <x:v>57</x:v>
      </x:c>
      <x:c r="C9" s="289" t="str">
        <x:f aca="0">SUBSTITUTE(SUBSTITUTE(SUBSTITUTE("35 min skills"&amp;CHAR(10)&amp;Strategy!I22,", B)",CHAR(10)&amp;"B)"),", C)",CHAR(10)&amp;"C)"),", Core:",CHAR(10)&amp;"Core:")</x:f>
        <x:v>35 min skills
A) Wall handstand: 3 x 25 sec
B) Elevated pike push-up: 3 x 4
C) Lower-box pistol with counterweight: 3 x 4/leg
Core: 5 rounds</x:v>
      </x:c>
      <x:c r="D9" s="229" t="s">
        <x:v>210</x:v>
      </x:c>
      <x:c r="E9" s="229" t="n">
        <x:v>65</x:v>
      </x:c>
      <x:c r="F9" s="256"/>
      <x:c r="G9" s="256" t="s">
        <x:v>207</x:v>
      </x:c>
      <x:c r="H9" s="258" t="b">
        <x:f aca="0">FALSE()</x:f>
        <x:v>0</x:v>
      </x:c>
      <x:c r="I9" s="269" t="n">
        <x:v>0.00028935185185185184</x:v>
      </x:c>
      <x:c r="J9" s="269" t="n">
        <x:v>0.00028935185185185184</x:v>
      </x:c>
      <x:c r="K9" s="269" t="n">
        <x:v>0.00028935185185185184</x:v>
      </x:c>
      <x:c r="L9" s="260"/>
      <x:c r="M9" s="260"/>
      <x:c r="N9" s="258" t="b">
        <x:f aca="0">FALSE()</x:f>
        <x:v>0</x:v>
      </x:c>
      <x:c r="O9" s="259" t="n">
        <x:v>4</x:v>
      </x:c>
      <x:c r="P9" s="259" t="n">
        <x:v>4</x:v>
      </x:c>
      <x:c r="Q9" s="259" t="n">
        <x:v>4</x:v>
      </x:c>
      <x:c r="R9" s="260"/>
      <x:c r="S9" s="260"/>
      <x:c r="T9" s="258" t="b">
        <x:f aca="0">FALSE()</x:f>
        <x:v>0</x:v>
      </x:c>
      <x:c r="U9" s="259" t="n">
        <x:v>4</x:v>
      </x:c>
      <x:c r="V9" s="259" t="n">
        <x:v>4</x:v>
      </x:c>
      <x:c r="W9" s="259" t="n">
        <x:v>4</x:v>
      </x:c>
      <x:c r="X9" s="260"/>
      <x:c r="Y9" s="260"/>
      <x:c r="Z9" s="261" t="b">
        <x:v>0</x:v>
      </x:c>
      <x:c r="AA9" s="259" t="n">
        <x:v>5</x:v>
      </x:c>
      <x:c r="AB9" s="382" t="b">
        <x:v>0</x:v>
      </x:c>
      <x:c r="AC9" s="262"/>
      <x:c r="AD9" s="287"/>
      <x:c r="AE9" s="287"/>
      <x:c r="AF9" s="287"/>
      <x:c r="AG9" s="377" t="n">
        <x:f>IF(COUNT(Scoring!X35:X41)&lt;&gt;ROWS(Scoring!X35:X41),"",IF(SUM(Scoring!V35:V41)=0,0,ROUND(SUM(Scoring!X35:X41)/SUM(Scoring!V35:V41),0)))</x:f>
        <x:v>5</x:v>
      </x:c>
      <x:c r="AH9" s="328"/>
      <x:c r="AI9" s="329" t="n">
        <x:f>IF(COUNT(Scoring!H26:H29)&gt;0,MEDIAN(Scoring!H26:H29),"")</x:f>
        <x:v>100</x:v>
      </x:c>
      <x:c r="AJ9" s="329" t="str">
        <x:f>IF(COUNT(Scoring!I26:I29)&gt;0,MEDIAN(Scoring!I26:I29),"")</x:f>
      </x:c>
      <x:c r="AK9" s="340" t="n">
        <x:f>COUNT(Scoring!I26:I29)</x:f>
        <x:v>0</x:v>
      </x:c>
      <x:c r="AL9" s="340" t="n">
        <x:f>COUNT(Scoring!H26:H29)</x:f>
        <x:v>4</x:v>
      </x:c>
    </x:row>
    <x:row r="10" ht="88" hidden="0" customHeight="1">
      <x:c r="A10" s="223" t="n">
        <x:f aca="0">Strategy!$E$3+12</x:f>
        <x:v>46333.5</x:v>
      </x:c>
      <x:c r="B10" s="224" t="s">
        <x:v>61</x:v>
      </x:c>
      <x:c r="C10" s="224" t="s">
        <x:v>211</x:v>
      </x:c>
      <x:c r="D10" s="224" t="s">
        <x:v>212</x:v>
      </x:c>
      <x:c r="E10" s="224" t="n">
        <x:v>20</x:v>
      </x:c>
      <x:c r="F10" s="257"/>
      <x:c r="G10" s="257" t="s">
        <x:v>207</x:v>
      </x:c>
      <x:c r="H10" s="263" t="b">
        <x:f aca="0">FALSE()</x:f>
        <x:v>0</x:v>
      </x:c>
      <x:c r="I10" s="264" t="n">
        <x:v>0.001388888888888889</x:v>
      </x:c>
      <x:c r="J10" s="265"/>
      <x:c r="K10" s="265"/>
      <x:c r="L10" s="265"/>
      <x:c r="M10" s="265"/>
      <x:c r="N10" s="263" t="b">
        <x:f aca="0">FALSE()</x:f>
        <x:v>0</x:v>
      </x:c>
      <x:c r="O10" s="264" t="n">
        <x:v>0.00017361111111111112</x:v>
      </x:c>
      <x:c r="P10" s="264" t="n">
        <x:v>0.00017361111111111112</x:v>
      </x:c>
      <x:c r="Q10" s="264" t="n">
        <x:v>0.00017361111111111112</x:v>
      </x:c>
      <x:c r="R10" s="265"/>
      <x:c r="S10" s="265"/>
      <x:c r="T10" s="263" t="b">
        <x:f aca="0">FALSE()</x:f>
        <x:v>0</x:v>
      </x:c>
      <x:c r="U10" s="264" t="n">
        <x:v>0.00017361111111111112</x:v>
      </x:c>
      <x:c r="V10" s="264" t="n">
        <x:v>0.00017361111111111112</x:v>
      </x:c>
      <x:c r="W10" s="264" t="n">
        <x:v>0.00017361111111111112</x:v>
      </x:c>
      <x:c r="X10" s="265"/>
      <x:c r="Y10" s="265"/>
      <x:c r="Z10" s="266" t="b">
        <x:v>0</x:v>
      </x:c>
      <x:c r="AA10" s="267"/>
      <x:c r="AB10" s="266" t="b">
        <x:v>0</x:v>
      </x:c>
      <x:c r="AC10" s="268"/>
      <x:c r="AD10" s="288"/>
      <x:c r="AE10" s="288"/>
      <x:c r="AF10" s="288"/>
      <x:c r="AG10" s="378" t="n">
        <x:f>IF(COUNT(Scoring!X42:X44)&lt;&gt;ROWS(Scoring!X42:X44),"",IF(SUM(Scoring!V42:V44)=0,0,ROUND(SUM(Scoring!X42:X44)/SUM(Scoring!V42:V44),0)))</x:f>
        <x:v>1</x:v>
      </x:c>
      <x:c r="AH10" s="330"/>
      <x:c r="AI10" s="331" t="n">
        <x:f>IF(COUNT(Scoring!H30:H32)&gt;0,MEDIAN(Scoring!H30:H32),"")</x:f>
        <x:v>100</x:v>
      </x:c>
      <x:c r="AJ10" s="331" t="str">
        <x:f>IF(COUNT(Scoring!I30:I32)&gt;0,MEDIAN(Scoring!I30:I32),"")</x:f>
      </x:c>
      <x:c r="AK10" s="341" t="n">
        <x:f>COUNT(Scoring!I30:I32)</x:f>
        <x:v>0</x:v>
      </x:c>
      <x:c r="AL10" s="341" t="n">
        <x:f>COUNT(Scoring!H30:H32)</x:f>
        <x:v>3</x:v>
      </x:c>
    </x:row>
    <x:row r="11" ht="88" hidden="0" customHeight="1">
      <x:c r="A11" s="228" t="n">
        <x:f aca="0">Strategy!$E$3+14</x:f>
        <x:v>46335.5</x:v>
      </x:c>
      <x:c r="B11" s="229" t="s">
        <x:v>53</x:v>
      </x:c>
      <x:c r="C11" s="289" t="str">
        <x:f aca="0">SUBSTITUTE(SUBSTITUTE(SUBSTITUTE("35 min skills"&amp;CHAR(10)&amp;Strategy!H23,", B)",CHAR(10)&amp;"B)"),", C)",CHAR(10)&amp;"C)"),", Core:",CHAR(10)&amp;"Core:")</x:f>
        <x:v>35 min skills
A) Explosive pull-up: 4 x 2
B) Low-bar transition: 3 x 3
C) Assisted full-depth pistol: 3 x 4/leg
Core: 5 rounds</x:v>
      </x:c>
      <x:c r="D11" s="229" t="s">
        <x:v>206</x:v>
      </x:c>
      <x:c r="E11" s="229" t="n">
        <x:v>65</x:v>
      </x:c>
      <x:c r="F11" s="256"/>
      <x:c r="G11" s="256" t="s">
        <x:v>207</x:v>
      </x:c>
      <x:c r="H11" s="258" t="b">
        <x:f aca="0">FALSE()</x:f>
        <x:v>0</x:v>
      </x:c>
      <x:c r="I11" s="259" t="n">
        <x:v>2</x:v>
      </x:c>
      <x:c r="J11" s="259" t="n">
        <x:v>2</x:v>
      </x:c>
      <x:c r="K11" s="259" t="n">
        <x:v>2</x:v>
      </x:c>
      <x:c r="L11" s="259" t="n">
        <x:v>2</x:v>
      </x:c>
      <x:c r="M11" s="260"/>
      <x:c r="N11" s="258" t="b">
        <x:f aca="0">FALSE()</x:f>
        <x:v>0</x:v>
      </x:c>
      <x:c r="O11" s="259" t="n">
        <x:v>3</x:v>
      </x:c>
      <x:c r="P11" s="259" t="n">
        <x:v>3</x:v>
      </x:c>
      <x:c r="Q11" s="259" t="n">
        <x:v>3</x:v>
      </x:c>
      <x:c r="R11" s="260"/>
      <x:c r="S11" s="260"/>
      <x:c r="T11" s="258" t="b">
        <x:f aca="0">FALSE()</x:f>
        <x:v>0</x:v>
      </x:c>
      <x:c r="U11" s="259" t="n">
        <x:v>4</x:v>
      </x:c>
      <x:c r="V11" s="259" t="n">
        <x:v>4</x:v>
      </x:c>
      <x:c r="W11" s="259" t="n">
        <x:v>4</x:v>
      </x:c>
      <x:c r="X11" s="260"/>
      <x:c r="Y11" s="260"/>
      <x:c r="Z11" s="261" t="b">
        <x:v>0</x:v>
      </x:c>
      <x:c r="AA11" s="259" t="n">
        <x:v>5</x:v>
      </x:c>
      <x:c r="AB11" s="382" t="b">
        <x:v>0</x:v>
      </x:c>
      <x:c r="AC11" s="262"/>
      <x:c r="AD11" s="287"/>
      <x:c r="AE11" s="287"/>
      <x:c r="AF11" s="287"/>
      <x:c r="AG11" s="377" t="n">
        <x:f>IF(COUNT(Scoring!X45:X51)&lt;&gt;ROWS(Scoring!X45:X51),"",IF(SUM(Scoring!V45:V51)=0,0,ROUND(SUM(Scoring!X45:X51)/SUM(Scoring!V45:V51),0)))</x:f>
        <x:v>5</x:v>
      </x:c>
      <x:c r="AH11" s="328"/>
      <x:c r="AI11" s="329" t="n">
        <x:f>IF(COUNT(Scoring!H33:H36)&gt;0,MEDIAN(Scoring!H33:H36),"")</x:f>
        <x:v>100</x:v>
      </x:c>
      <x:c r="AJ11" s="329" t="str">
        <x:f>IF(COUNT(Scoring!I33:I36)&gt;0,MEDIAN(Scoring!I33:I36),"")</x:f>
      </x:c>
      <x:c r="AK11" s="340" t="n">
        <x:f>COUNT(Scoring!I33:I36)</x:f>
        <x:v>0</x:v>
      </x:c>
      <x:c r="AL11" s="340" t="n">
        <x:f>COUNT(Scoring!H33:H36)</x:f>
        <x:v>4</x:v>
      </x:c>
    </x:row>
    <x:row r="12" ht="88" hidden="0" customHeight="1">
      <x:c r="A12" s="223" t="n">
        <x:f aca="0">Strategy!$E$3+15</x:f>
        <x:v>46336.5</x:v>
      </x:c>
      <x:c r="B12" s="224" t="s">
        <x:v>61</x:v>
      </x:c>
      <x:c r="C12" s="224" t="s">
        <x:v>208</x:v>
      </x:c>
      <x:c r="D12" s="224" t="s">
        <x:v>209</x:v>
      </x:c>
      <x:c r="E12" s="224" t="n">
        <x:v>10</x:v>
      </x:c>
      <x:c r="F12" s="257"/>
      <x:c r="G12" s="257" t="s">
        <x:v>207</x:v>
      </x:c>
      <x:c r="H12" s="263" t="b">
        <x:f aca="0">FALSE()</x:f>
        <x:v>0</x:v>
      </x:c>
      <x:c r="I12" s="264" t="n">
        <x:v>0.001388888888888889</x:v>
      </x:c>
      <x:c r="J12" s="265"/>
      <x:c r="K12" s="265"/>
      <x:c r="L12" s="265"/>
      <x:c r="M12" s="265"/>
      <x:c r="N12" s="263" t="b">
        <x:f aca="0">FALSE()</x:f>
        <x:v>0</x:v>
      </x:c>
      <x:c r="O12" s="264" t="n">
        <x:v>0.00017361111111111112</x:v>
      </x:c>
      <x:c r="P12" s="264" t="n">
        <x:v>0.00017361111111111112</x:v>
      </x:c>
      <x:c r="Q12" s="264" t="n">
        <x:v>0.00017361111111111112</x:v>
      </x:c>
      <x:c r="R12" s="265"/>
      <x:c r="S12" s="265"/>
      <x:c r="T12" s="263" t="b">
        <x:f aca="0">FALSE()</x:f>
        <x:v>0</x:v>
      </x:c>
      <x:c r="U12" s="264" t="n">
        <x:v>0.00017361111111111112</x:v>
      </x:c>
      <x:c r="V12" s="264" t="n">
        <x:v>0.00017361111111111112</x:v>
      </x:c>
      <x:c r="W12" s="265"/>
      <x:c r="X12" s="265"/>
      <x:c r="Y12" s="265"/>
      <x:c r="Z12" s="266" t="b">
        <x:v>0</x:v>
      </x:c>
      <x:c r="AA12" s="267"/>
      <x:c r="AB12" s="266" t="b">
        <x:v>0</x:v>
      </x:c>
      <x:c r="AC12" s="268"/>
      <x:c r="AD12" s="288"/>
      <x:c r="AE12" s="288"/>
      <x:c r="AF12" s="288"/>
      <x:c r="AG12" s="378" t="n">
        <x:f>IF(COUNT(Scoring!X52:X54)&lt;&gt;ROWS(Scoring!X52:X54),"",IF(SUM(Scoring!V52:V54)=0,0,ROUND(SUM(Scoring!X52:X54)/SUM(Scoring!V52:V54),0)))</x:f>
        <x:v>1</x:v>
      </x:c>
      <x:c r="AH12" s="330"/>
      <x:c r="AI12" s="331" t="n">
        <x:f>IF(COUNT(Scoring!H37:H39)&gt;0,MEDIAN(Scoring!H37:H39),"")</x:f>
        <x:v>100</x:v>
      </x:c>
      <x:c r="AJ12" s="331" t="str">
        <x:f>IF(COUNT(Scoring!I37:I39)&gt;0,MEDIAN(Scoring!I37:I39),"")</x:f>
      </x:c>
      <x:c r="AK12" s="341" t="n">
        <x:f>COUNT(Scoring!I37:I39)</x:f>
        <x:v>0</x:v>
      </x:c>
      <x:c r="AL12" s="341" t="n">
        <x:f>COUNT(Scoring!H37:H39)</x:f>
        <x:v>3</x:v>
      </x:c>
    </x:row>
    <x:row r="13" ht="88" hidden="0" customHeight="1">
      <x:c r="A13" s="228" t="n">
        <x:f aca="0">Strategy!$E$3+17</x:f>
        <x:v>46338.5</x:v>
      </x:c>
      <x:c r="B13" s="229" t="s">
        <x:v>57</x:v>
      </x:c>
      <x:c r="C13" s="289" t="str">
        <x:f aca="0">SUBSTITUTE(SUBSTITUTE(SUBSTITUTE("35 min skills"&amp;CHAR(10)&amp;Strategy!I23,", B)",CHAR(10)&amp;"B)"),", C)",CHAR(10)&amp;"C)"),", Core:",CHAR(10)&amp;"Core:")</x:f>
        <x:v>35 min skills
A) Wall HSPU negative: 3 x 2 (lower 3 sec)
B) Pike push-up: 3 x 5
C) Assisted full-depth pistol: 3 x 4/leg
Core: 5 rounds</x:v>
      </x:c>
      <x:c r="D13" s="229" t="s">
        <x:v>210</x:v>
      </x:c>
      <x:c r="E13" s="229" t="n">
        <x:v>65</x:v>
      </x:c>
      <x:c r="F13" s="256"/>
      <x:c r="G13" s="256" t="s">
        <x:v>207</x:v>
      </x:c>
      <x:c r="H13" s="258" t="b">
        <x:f aca="0">FALSE()</x:f>
        <x:v>0</x:v>
      </x:c>
      <x:c r="I13" s="259" t="n">
        <x:v>2</x:v>
      </x:c>
      <x:c r="J13" s="259" t="n">
        <x:v>2</x:v>
      </x:c>
      <x:c r="K13" s="259" t="n">
        <x:v>2</x:v>
      </x:c>
      <x:c r="L13" s="260"/>
      <x:c r="M13" s="260"/>
      <x:c r="N13" s="258" t="b">
        <x:f aca="0">FALSE()</x:f>
        <x:v>0</x:v>
      </x:c>
      <x:c r="O13" s="259" t="n">
        <x:v>5</x:v>
      </x:c>
      <x:c r="P13" s="259" t="n">
        <x:v>5</x:v>
      </x:c>
      <x:c r="Q13" s="259" t="n">
        <x:v>5</x:v>
      </x:c>
      <x:c r="R13" s="260"/>
      <x:c r="S13" s="260"/>
      <x:c r="T13" s="258" t="b">
        <x:f aca="0">FALSE()</x:f>
        <x:v>0</x:v>
      </x:c>
      <x:c r="U13" s="259" t="n">
        <x:v>4</x:v>
      </x:c>
      <x:c r="V13" s="259" t="n">
        <x:v>4</x:v>
      </x:c>
      <x:c r="W13" s="259" t="n">
        <x:v>4</x:v>
      </x:c>
      <x:c r="X13" s="260"/>
      <x:c r="Y13" s="260"/>
      <x:c r="Z13" s="261" t="b">
        <x:v>0</x:v>
      </x:c>
      <x:c r="AA13" s="259" t="n">
        <x:v>5</x:v>
      </x:c>
      <x:c r="AB13" s="382" t="b">
        <x:v>0</x:v>
      </x:c>
      <x:c r="AC13" s="262"/>
      <x:c r="AD13" s="287"/>
      <x:c r="AE13" s="287"/>
      <x:c r="AF13" s="287"/>
      <x:c r="AG13" s="377" t="n">
        <x:f>IF(COUNT(Scoring!X55:X61)&lt;&gt;ROWS(Scoring!X55:X61),"",IF(SUM(Scoring!V55:V61)=0,0,ROUND(SUM(Scoring!X55:X61)/SUM(Scoring!V55:V61),0)))</x:f>
        <x:v>5</x:v>
      </x:c>
      <x:c r="AH13" s="328"/>
      <x:c r="AI13" s="329" t="n">
        <x:f>IF(COUNT(Scoring!H40:H42)&gt;0,MEDIAN(Scoring!H40:H42),"")</x:f>
        <x:v>100</x:v>
      </x:c>
      <x:c r="AJ13" s="329" t="str">
        <x:f>IF(COUNT(Scoring!I40:I42)&gt;0,MEDIAN(Scoring!I40:I42),"")</x:f>
      </x:c>
      <x:c r="AK13" s="340" t="n">
        <x:f>COUNT(Scoring!I40:I42)</x:f>
        <x:v>0</x:v>
      </x:c>
      <x:c r="AL13" s="340" t="n">
        <x:f>COUNT(Scoring!H40:H42)</x:f>
        <x:v>3</x:v>
      </x:c>
    </x:row>
    <x:row r="14" ht="88" hidden="0" customHeight="1">
      <x:c r="A14" s="223" t="n">
        <x:f aca="0">Strategy!$E$3+19</x:f>
        <x:v>46340.5</x:v>
      </x:c>
      <x:c r="B14" s="224" t="s">
        <x:v>61</x:v>
      </x:c>
      <x:c r="C14" s="224" t="s">
        <x:v>211</x:v>
      </x:c>
      <x:c r="D14" s="224" t="s">
        <x:v>212</x:v>
      </x:c>
      <x:c r="E14" s="224" t="n">
        <x:v>20</x:v>
      </x:c>
      <x:c r="F14" s="257"/>
      <x:c r="G14" s="257" t="s">
        <x:v>207</x:v>
      </x:c>
      <x:c r="H14" s="263" t="b">
        <x:f aca="0">FALSE()</x:f>
        <x:v>0</x:v>
      </x:c>
      <x:c r="I14" s="264" t="n">
        <x:v>0.001388888888888889</x:v>
      </x:c>
      <x:c r="J14" s="265"/>
      <x:c r="K14" s="265"/>
      <x:c r="L14" s="265"/>
      <x:c r="M14" s="265"/>
      <x:c r="N14" s="263" t="b">
        <x:f aca="0">FALSE()</x:f>
        <x:v>0</x:v>
      </x:c>
      <x:c r="O14" s="264" t="n">
        <x:v>0.00017361111111111112</x:v>
      </x:c>
      <x:c r="P14" s="264" t="n">
        <x:v>0.00017361111111111112</x:v>
      </x:c>
      <x:c r="Q14" s="264" t="n">
        <x:v>0.00017361111111111112</x:v>
      </x:c>
      <x:c r="R14" s="265"/>
      <x:c r="S14" s="265"/>
      <x:c r="T14" s="263" t="b">
        <x:f aca="0">FALSE()</x:f>
        <x:v>0</x:v>
      </x:c>
      <x:c r="U14" s="264" t="n">
        <x:v>0.00017361111111111112</x:v>
      </x:c>
      <x:c r="V14" s="264" t="n">
        <x:v>0.00017361111111111112</x:v>
      </x:c>
      <x:c r="W14" s="264" t="n">
        <x:v>0.00017361111111111112</x:v>
      </x:c>
      <x:c r="X14" s="265"/>
      <x:c r="Y14" s="265"/>
      <x:c r="Z14" s="266" t="b">
        <x:v>0</x:v>
      </x:c>
      <x:c r="AA14" s="267"/>
      <x:c r="AB14" s="266" t="b">
        <x:v>0</x:v>
      </x:c>
      <x:c r="AC14" s="268"/>
      <x:c r="AD14" s="288"/>
      <x:c r="AE14" s="288"/>
      <x:c r="AF14" s="288"/>
      <x:c r="AG14" s="378" t="n">
        <x:f>IF(COUNT(Scoring!X62:X64)&lt;&gt;ROWS(Scoring!X62:X64),"",IF(SUM(Scoring!V62:V64)=0,0,ROUND(SUM(Scoring!X62:X64)/SUM(Scoring!V62:V64),0)))</x:f>
        <x:v>1</x:v>
      </x:c>
      <x:c r="AH14" s="330"/>
      <x:c r="AI14" s="331" t="n">
        <x:f>IF(COUNT(Scoring!H43:H45)&gt;0,MEDIAN(Scoring!H43:H45),"")</x:f>
        <x:v>100</x:v>
      </x:c>
      <x:c r="AJ14" s="331" t="str">
        <x:f>IF(COUNT(Scoring!I43:I45)&gt;0,MEDIAN(Scoring!I43:I45),"")</x:f>
      </x:c>
      <x:c r="AK14" s="341" t="n">
        <x:f>COUNT(Scoring!I43:I45)</x:f>
        <x:v>0</x:v>
      </x:c>
      <x:c r="AL14" s="341" t="n">
        <x:f>COUNT(Scoring!H43:H45)</x:f>
        <x:v>3</x:v>
      </x:c>
    </x:row>
    <x:row r="15" ht="88" hidden="0" customHeight="1">
      <x:c r="A15" s="228" t="n">
        <x:f aca="0">Strategy!$E$3+21</x:f>
        <x:v>46342.5</x:v>
      </x:c>
      <x:c r="B15" s="229" t="s">
        <x:v>53</x:v>
      </x:c>
      <x:c r="C15" s="289" t="str">
        <x:f aca="0">SUBSTITUTE(SUBSTITUTE(SUBSTITUTE("10 min skills"&amp;CHAR(10)&amp;Strategy!H24,", B)",CHAR(10)&amp;"B)"),", C)",CHAR(10)&amp;"C)"),", Core:",CHAR(10)&amp;"Core:")</x:f>
        <x:v>10 min skills
A) Easy scapular pull-up: 1 x 5
B) Easy low-bar transition: 1 x 3
C) Assisted pistol: 1 x 3/leg
Core: 3 rounds</x:v>
      </x:c>
      <x:c r="D15" s="229" t="s">
        <x:v>206</x:v>
      </x:c>
      <x:c r="E15" s="229" t="n">
        <x:v>33</x:v>
      </x:c>
      <x:c r="F15" s="256"/>
      <x:c r="G15" s="256" t="s">
        <x:v>207</x:v>
      </x:c>
      <x:c r="H15" s="258" t="b">
        <x:f aca="0">FALSE()</x:f>
        <x:v>0</x:v>
      </x:c>
      <x:c r="I15" s="259" t="n">
        <x:v>5</x:v>
      </x:c>
      <x:c r="J15" s="260"/>
      <x:c r="K15" s="260"/>
      <x:c r="L15" s="260"/>
      <x:c r="M15" s="260"/>
      <x:c r="N15" s="258" t="b">
        <x:f aca="0">FALSE()</x:f>
        <x:v>0</x:v>
      </x:c>
      <x:c r="O15" s="259" t="n">
        <x:v>3</x:v>
      </x:c>
      <x:c r="P15" s="260"/>
      <x:c r="Q15" s="260"/>
      <x:c r="R15" s="260"/>
      <x:c r="S15" s="260"/>
      <x:c r="T15" s="258" t="b">
        <x:f aca="0">FALSE()</x:f>
        <x:v>0</x:v>
      </x:c>
      <x:c r="U15" s="259" t="n">
        <x:v>3</x:v>
      </x:c>
      <x:c r="V15" s="260"/>
      <x:c r="W15" s="260"/>
      <x:c r="X15" s="260"/>
      <x:c r="Y15" s="260"/>
      <x:c r="Z15" s="261" t="b">
        <x:v>0</x:v>
      </x:c>
      <x:c r="AA15" s="259" t="n">
        <x:v>3</x:v>
      </x:c>
      <x:c r="AB15" s="382" t="b">
        <x:v>0</x:v>
      </x:c>
      <x:c r="AC15" s="262"/>
      <x:c r="AD15" s="287"/>
      <x:c r="AE15" s="287"/>
      <x:c r="AF15" s="287"/>
      <x:c r="AG15" s="377" t="n">
        <x:f>IF(COUNT(Scoring!X65:X71)&lt;&gt;ROWS(Scoring!X65:X71),"",IF(SUM(Scoring!V65:V71)=0,0,ROUND(SUM(Scoring!X65:X71)/SUM(Scoring!V65:V71),0)))</x:f>
        <x:v>5</x:v>
      </x:c>
      <x:c r="AH15" s="328"/>
      <x:c r="AI15" s="329" t="n">
        <x:f>IF(COUNT(Scoring!H46:H49)&gt;0,MEDIAN(Scoring!H46:H49),"")</x:f>
        <x:v>100</x:v>
      </x:c>
      <x:c r="AJ15" s="329" t="str">
        <x:f>IF(COUNT(Scoring!I46:I49)&gt;0,MEDIAN(Scoring!I46:I49),"")</x:f>
      </x:c>
      <x:c r="AK15" s="340" t="n">
        <x:f>COUNT(Scoring!I46:I49)</x:f>
        <x:v>0</x:v>
      </x:c>
      <x:c r="AL15" s="340" t="n">
        <x:f>COUNT(Scoring!H46:H49)</x:f>
        <x:v>4</x:v>
      </x:c>
    </x:row>
    <x:row r="16" ht="88" hidden="0" customHeight="1">
      <x:c r="A16" s="223" t="n">
        <x:f aca="0">Strategy!$E$3+22</x:f>
        <x:v>46343.5</x:v>
      </x:c>
      <x:c r="B16" s="224" t="s">
        <x:v>61</x:v>
      </x:c>
      <x:c r="C16" s="224" t="s">
        <x:v>213</x:v>
      </x:c>
      <x:c r="D16" s="224" t="s">
        <x:v>209</x:v>
      </x:c>
      <x:c r="E16" s="224" t="n">
        <x:v>5</x:v>
      </x:c>
      <x:c r="F16" s="257"/>
      <x:c r="G16" s="257" t="s">
        <x:v>207</x:v>
      </x:c>
      <x:c r="H16" s="263" t="b">
        <x:f aca="0">FALSE()</x:f>
        <x:v>0</x:v>
      </x:c>
      <x:c r="I16" s="264" t="n">
        <x:v>0.0006944444444444445</x:v>
      </x:c>
      <x:c r="J16" s="265"/>
      <x:c r="K16" s="265"/>
      <x:c r="L16" s="265"/>
      <x:c r="M16" s="265"/>
      <x:c r="N16" s="263" t="b">
        <x:f aca="0">FALSE()</x:f>
        <x:v>0</x:v>
      </x:c>
      <x:c r="O16" s="264" t="n">
        <x:v>0.00011574074074074075</x:v>
      </x:c>
      <x:c r="P16" s="264" t="n">
        <x:v>0.00011574074074074075</x:v>
      </x:c>
      <x:c r="Q16" s="265"/>
      <x:c r="R16" s="265"/>
      <x:c r="S16" s="265"/>
      <x:c r="T16" s="263" t="b">
        <x:f aca="0">FALSE()</x:f>
        <x:v>0</x:v>
      </x:c>
      <x:c r="U16" s="264" t="n">
        <x:v>0.00011574074074074075</x:v>
      </x:c>
      <x:c r="V16" s="265"/>
      <x:c r="W16" s="265"/>
      <x:c r="X16" s="265"/>
      <x:c r="Y16" s="265"/>
      <x:c r="Z16" s="266" t="b">
        <x:v>0</x:v>
      </x:c>
      <x:c r="AA16" s="267"/>
      <x:c r="AB16" s="266" t="b">
        <x:v>0</x:v>
      </x:c>
      <x:c r="AC16" s="268"/>
      <x:c r="AD16" s="288"/>
      <x:c r="AE16" s="288"/>
      <x:c r="AF16" s="288"/>
      <x:c r="AG16" s="378" t="n">
        <x:f>IF(COUNT(Scoring!X72:X74)&lt;&gt;ROWS(Scoring!X72:X74),"",IF(SUM(Scoring!V72:V74)=0,0,ROUND(SUM(Scoring!X72:X74)/SUM(Scoring!V72:V74),0)))</x:f>
        <x:v>1</x:v>
      </x:c>
      <x:c r="AH16" s="330"/>
      <x:c r="AI16" s="331" t="n">
        <x:f>IF(COUNT(Scoring!H50:H52)&gt;0,MEDIAN(Scoring!H50:H52),"")</x:f>
        <x:v>100</x:v>
      </x:c>
      <x:c r="AJ16" s="331" t="str">
        <x:f>IF(COUNT(Scoring!I50:I52)&gt;0,MEDIAN(Scoring!I50:I52),"")</x:f>
      </x:c>
      <x:c r="AK16" s="341" t="n">
        <x:f>COUNT(Scoring!I50:I52)</x:f>
        <x:v>0</x:v>
      </x:c>
      <x:c r="AL16" s="341" t="n">
        <x:f>COUNT(Scoring!H50:H52)</x:f>
        <x:v>3</x:v>
      </x:c>
    </x:row>
    <x:row r="17" ht="88" hidden="0" customHeight="1">
      <x:c r="A17" s="228" t="n">
        <x:f aca="0">Strategy!$E$3+24</x:f>
        <x:v>46345.5</x:v>
      </x:c>
      <x:c r="B17" s="229" t="s">
        <x:v>57</x:v>
      </x:c>
      <x:c r="C17" s="289" t="str">
        <x:f aca="0">SUBSTITUTE(SUBSTITUTE(SUBSTITUTE("10 min skills"&amp;CHAR(10)&amp;Strategy!I24,", B)",CHAR(10)&amp;"B)"),", C)",CHAR(10)&amp;"C)"),", Core:",CHAR(10)&amp;"Core:")</x:f>
        <x:v>10 min skills
A) Easy wall handstand: 1 x 15 sec
B) Gentle wrist/shoulder mobility: 2 min
C) Assisted pistol: 1 x 3/leg
Core: 3 rounds</x:v>
      </x:c>
      <x:c r="D17" s="229" t="s">
        <x:v>214</x:v>
      </x:c>
      <x:c r="E17" s="229" t="n">
        <x:v>33</x:v>
      </x:c>
      <x:c r="F17" s="256"/>
      <x:c r="G17" s="256" t="s">
        <x:v>207</x:v>
      </x:c>
      <x:c r="H17" s="258" t="b">
        <x:f aca="0">FALSE()</x:f>
        <x:v>0</x:v>
      </x:c>
      <x:c r="I17" s="269" t="n">
        <x:v>0.00017361111111111112</x:v>
      </x:c>
      <x:c r="J17" s="260"/>
      <x:c r="K17" s="260"/>
      <x:c r="L17" s="260"/>
      <x:c r="M17" s="260"/>
      <x:c r="N17" s="258" t="b">
        <x:f aca="0">FALSE()</x:f>
        <x:v>0</x:v>
      </x:c>
      <x:c r="O17" s="269" t="n">
        <x:v>0.001388888888888889</x:v>
      </x:c>
      <x:c r="P17" s="260"/>
      <x:c r="Q17" s="260"/>
      <x:c r="R17" s="260"/>
      <x:c r="S17" s="260"/>
      <x:c r="T17" s="258" t="b">
        <x:f aca="0">FALSE()</x:f>
        <x:v>0</x:v>
      </x:c>
      <x:c r="U17" s="259" t="n">
        <x:v>3</x:v>
      </x:c>
      <x:c r="V17" s="260"/>
      <x:c r="W17" s="260"/>
      <x:c r="X17" s="260"/>
      <x:c r="Y17" s="260"/>
      <x:c r="Z17" s="261" t="b">
        <x:v>0</x:v>
      </x:c>
      <x:c r="AA17" s="259" t="n">
        <x:v>3</x:v>
      </x:c>
      <x:c r="AB17" s="382" t="b">
        <x:v>0</x:v>
      </x:c>
      <x:c r="AC17" s="262"/>
      <x:c r="AD17" s="287"/>
      <x:c r="AE17" s="287"/>
      <x:c r="AF17" s="287"/>
      <x:c r="AG17" s="377" t="n">
        <x:f>IF(COUNT(Scoring!X75:X81)&lt;&gt;ROWS(Scoring!X75:X81),"",IF(SUM(Scoring!V75:V81)=0,0,ROUND(SUM(Scoring!X75:X81)/SUM(Scoring!V75:V81),0)))</x:f>
        <x:v>4</x:v>
      </x:c>
      <x:c r="AH17" s="328"/>
      <x:c r="AI17" s="329" t="n">
        <x:f>IF(COUNT(Scoring!H53:H56)&gt;0,MEDIAN(Scoring!H53:H56),"")</x:f>
        <x:v>100</x:v>
      </x:c>
      <x:c r="AJ17" s="329" t="str">
        <x:f>IF(COUNT(Scoring!I53:I56)&gt;0,MEDIAN(Scoring!I53:I56),"")</x:f>
      </x:c>
      <x:c r="AK17" s="340" t="n">
        <x:f>COUNT(Scoring!I53:I56)</x:f>
        <x:v>0</x:v>
      </x:c>
      <x:c r="AL17" s="340" t="n">
        <x:f>COUNT(Scoring!H53:H56)</x:f>
        <x:v>4</x:v>
      </x:c>
    </x:row>
    <x:row r="18" ht="88" hidden="0" customHeight="1">
      <x:c r="A18" s="223" t="n">
        <x:f aca="0">Strategy!$E$3+26</x:f>
        <x:v>46347.5</x:v>
      </x:c>
      <x:c r="B18" s="224" t="s">
        <x:v>61</x:v>
      </x:c>
      <x:c r="C18" s="224" t="s">
        <x:v>215</x:v>
      </x:c>
      <x:c r="D18" s="224" t="s">
        <x:v>212</x:v>
      </x:c>
      <x:c r="E18" s="224" t="n">
        <x:v>10</x:v>
      </x:c>
      <x:c r="F18" s="257"/>
      <x:c r="G18" s="257" t="s">
        <x:v>207</x:v>
      </x:c>
      <x:c r="H18" s="263" t="b">
        <x:f aca="0">FALSE()</x:f>
        <x:v>0</x:v>
      </x:c>
      <x:c r="I18" s="264" t="n">
        <x:v>0.0006944444444444445</x:v>
      </x:c>
      <x:c r="J18" s="265"/>
      <x:c r="K18" s="265"/>
      <x:c r="L18" s="265"/>
      <x:c r="M18" s="265"/>
      <x:c r="N18" s="263" t="b">
        <x:f aca="0">FALSE()</x:f>
        <x:v>0</x:v>
      </x:c>
      <x:c r="O18" s="264" t="n">
        <x:v>0.00011574074074074075</x:v>
      </x:c>
      <x:c r="P18" s="264" t="n">
        <x:v>0.00011574074074074075</x:v>
      </x:c>
      <x:c r="Q18" s="265"/>
      <x:c r="R18" s="265"/>
      <x:c r="S18" s="265"/>
      <x:c r="T18" s="263" t="b">
        <x:f aca="0">FALSE()</x:f>
        <x:v>0</x:v>
      </x:c>
      <x:c r="U18" s="264" t="n">
        <x:v>0.00011574074074074075</x:v>
      </x:c>
      <x:c r="V18" s="265"/>
      <x:c r="W18" s="265"/>
      <x:c r="X18" s="265"/>
      <x:c r="Y18" s="265"/>
      <x:c r="Z18" s="266" t="b">
        <x:v>0</x:v>
      </x:c>
      <x:c r="AA18" s="267"/>
      <x:c r="AB18" s="266" t="b">
        <x:v>0</x:v>
      </x:c>
      <x:c r="AC18" s="268"/>
      <x:c r="AD18" s="288"/>
      <x:c r="AE18" s="288"/>
      <x:c r="AF18" s="288"/>
      <x:c r="AG18" s="378" t="n">
        <x:f>IF(COUNT(Scoring!X82:X84)&lt;&gt;ROWS(Scoring!X82:X84),"",IF(SUM(Scoring!V82:V84)=0,0,ROUND(SUM(Scoring!X82:X84)/SUM(Scoring!V82:V84),0)))</x:f>
        <x:v>1</x:v>
      </x:c>
      <x:c r="AH18" s="330"/>
      <x:c r="AI18" s="331" t="n">
        <x:f>IF(COUNT(Scoring!H57:H59)&gt;0,MEDIAN(Scoring!H57:H59),"")</x:f>
        <x:v>100</x:v>
      </x:c>
      <x:c r="AJ18" s="331" t="str">
        <x:f>IF(COUNT(Scoring!I57:I59)&gt;0,MEDIAN(Scoring!I57:I59),"")</x:f>
      </x:c>
      <x:c r="AK18" s="341" t="n">
        <x:f>COUNT(Scoring!I57:I59)</x:f>
        <x:v>0</x:v>
      </x:c>
      <x:c r="AL18" s="341" t="n">
        <x:f>COUNT(Scoring!H57:H59)</x:f>
        <x:v>3</x:v>
      </x:c>
    </x:row>
    <x:row r="19" ht="88" hidden="0" customHeight="1">
      <x:c r="A19" s="228" t="n">
        <x:f aca="0">Strategy!$E$3+28</x:f>
        <x:v>46349.5</x:v>
      </x:c>
      <x:c r="B19" s="229" t="s">
        <x:v>53</x:v>
      </x:c>
      <x:c r="C19" s="289" t="str">
        <x:f aca="0">SUBSTITUTE(SUBSTITUTE(SUBSTITUTE("35 min skills"&amp;CHAR(10)&amp;Strategy!H25,", B)",CHAR(10)&amp;"B)"),", C)",CHAR(10)&amp;"C)"),", Core:",CHAR(10)&amp;"Core:")</x:f>
        <x:v>35 min skills
A) Chest-to-bar pull-up: 3 x 3
B) Band-assisted muscle-up: 4 x 1
C) Counterweight pistol: 3 x 4/leg
Core: 5 rounds</x:v>
      </x:c>
      <x:c r="D19" s="229" t="s">
        <x:v>206</x:v>
      </x:c>
      <x:c r="E19" s="229" t="n">
        <x:v>65</x:v>
      </x:c>
      <x:c r="F19" s="256"/>
      <x:c r="G19" s="256" t="s">
        <x:v>207</x:v>
      </x:c>
      <x:c r="H19" s="258" t="b">
        <x:f aca="0">FALSE()</x:f>
        <x:v>0</x:v>
      </x:c>
      <x:c r="I19" s="259" t="n">
        <x:v>3</x:v>
      </x:c>
      <x:c r="J19" s="259" t="n">
        <x:v>3</x:v>
      </x:c>
      <x:c r="K19" s="259" t="n">
        <x:v>3</x:v>
      </x:c>
      <x:c r="L19" s="260"/>
      <x:c r="M19" s="260"/>
      <x:c r="N19" s="258" t="b">
        <x:f aca="0">FALSE()</x:f>
        <x:v>0</x:v>
      </x:c>
      <x:c r="O19" s="259" t="n">
        <x:v>1</x:v>
      </x:c>
      <x:c r="P19" s="259" t="n">
        <x:v>1</x:v>
      </x:c>
      <x:c r="Q19" s="259" t="n">
        <x:v>1</x:v>
      </x:c>
      <x:c r="R19" s="259" t="n">
        <x:v>1</x:v>
      </x:c>
      <x:c r="S19" s="260"/>
      <x:c r="T19" s="258" t="b">
        <x:f aca="0">FALSE()</x:f>
        <x:v>0</x:v>
      </x:c>
      <x:c r="U19" s="259" t="n">
        <x:v>4</x:v>
      </x:c>
      <x:c r="V19" s="259" t="n">
        <x:v>4</x:v>
      </x:c>
      <x:c r="W19" s="259" t="n">
        <x:v>4</x:v>
      </x:c>
      <x:c r="X19" s="260"/>
      <x:c r="Y19" s="260"/>
      <x:c r="Z19" s="261" t="b">
        <x:v>0</x:v>
      </x:c>
      <x:c r="AA19" s="259" t="n">
        <x:v>5</x:v>
      </x:c>
      <x:c r="AB19" s="382" t="b">
        <x:v>0</x:v>
      </x:c>
      <x:c r="AC19" s="262"/>
      <x:c r="AD19" s="287"/>
      <x:c r="AE19" s="287"/>
      <x:c r="AF19" s="287"/>
      <x:c r="AG19" s="377" t="n">
        <x:f>IF(COUNT(Scoring!X85:X91)&lt;&gt;ROWS(Scoring!X85:X91),"",IF(SUM(Scoring!V85:V91)=0,0,ROUND(SUM(Scoring!X85:X91)/SUM(Scoring!V85:V91),0)))</x:f>
        <x:v>5</x:v>
      </x:c>
      <x:c r="AH19" s="328"/>
      <x:c r="AI19" s="329" t="n">
        <x:f>IF(COUNT(Scoring!H60:H63)&gt;0,MEDIAN(Scoring!H60:H63),"")</x:f>
        <x:v>100</x:v>
      </x:c>
      <x:c r="AJ19" s="329" t="str">
        <x:f>IF(COUNT(Scoring!I60:I63)&gt;0,MEDIAN(Scoring!I60:I63),"")</x:f>
      </x:c>
      <x:c r="AK19" s="340" t="n">
        <x:f>COUNT(Scoring!I60:I63)</x:f>
        <x:v>0</x:v>
      </x:c>
      <x:c r="AL19" s="340" t="n">
        <x:f>COUNT(Scoring!H60:H63)</x:f>
        <x:v>4</x:v>
      </x:c>
    </x:row>
    <x:row r="20" ht="88" hidden="0" customHeight="1">
      <x:c r="A20" s="223" t="n">
        <x:f aca="0">Strategy!$E$3+29</x:f>
        <x:v>46350.5</x:v>
      </x:c>
      <x:c r="B20" s="224" t="s">
        <x:v>61</x:v>
      </x:c>
      <x:c r="C20" s="224" t="s">
        <x:v>208</x:v>
      </x:c>
      <x:c r="D20" s="224" t="s">
        <x:v>209</x:v>
      </x:c>
      <x:c r="E20" s="224" t="n">
        <x:v>10</x:v>
      </x:c>
      <x:c r="F20" s="257"/>
      <x:c r="G20" s="257" t="s">
        <x:v>207</x:v>
      </x:c>
      <x:c r="H20" s="263" t="b">
        <x:f aca="0">FALSE()</x:f>
        <x:v>0</x:v>
      </x:c>
      <x:c r="I20" s="264" t="n">
        <x:v>0.001388888888888889</x:v>
      </x:c>
      <x:c r="J20" s="265"/>
      <x:c r="K20" s="265"/>
      <x:c r="L20" s="265"/>
      <x:c r="M20" s="265"/>
      <x:c r="N20" s="263" t="b">
        <x:f aca="0">FALSE()</x:f>
        <x:v>0</x:v>
      </x:c>
      <x:c r="O20" s="264" t="n">
        <x:v>0.00017361111111111112</x:v>
      </x:c>
      <x:c r="P20" s="264" t="n">
        <x:v>0.00017361111111111112</x:v>
      </x:c>
      <x:c r="Q20" s="264" t="n">
        <x:v>0.00017361111111111112</x:v>
      </x:c>
      <x:c r="R20" s="265"/>
      <x:c r="S20" s="265"/>
      <x:c r="T20" s="263" t="b">
        <x:f aca="0">FALSE()</x:f>
        <x:v>0</x:v>
      </x:c>
      <x:c r="U20" s="264" t="n">
        <x:v>0.00017361111111111112</x:v>
      </x:c>
      <x:c r="V20" s="264" t="n">
        <x:v>0.00017361111111111112</x:v>
      </x:c>
      <x:c r="W20" s="265"/>
      <x:c r="X20" s="265"/>
      <x:c r="Y20" s="265"/>
      <x:c r="Z20" s="266" t="b">
        <x:v>0</x:v>
      </x:c>
      <x:c r="AA20" s="267"/>
      <x:c r="AB20" s="266" t="b">
        <x:v>0</x:v>
      </x:c>
      <x:c r="AC20" s="268"/>
      <x:c r="AD20" s="288"/>
      <x:c r="AE20" s="288"/>
      <x:c r="AF20" s="288"/>
      <x:c r="AG20" s="378" t="n">
        <x:f>IF(COUNT(Scoring!X92:X94)&lt;&gt;ROWS(Scoring!X92:X94),"",IF(SUM(Scoring!V92:V94)=0,0,ROUND(SUM(Scoring!X92:X94)/SUM(Scoring!V92:V94),0)))</x:f>
        <x:v>1</x:v>
      </x:c>
      <x:c r="AH20" s="330"/>
      <x:c r="AI20" s="331" t="n">
        <x:f>IF(COUNT(Scoring!H64:H66)&gt;0,MEDIAN(Scoring!H64:H66),"")</x:f>
        <x:v>100</x:v>
      </x:c>
      <x:c r="AJ20" s="331" t="str">
        <x:f>IF(COUNT(Scoring!I64:I66)&gt;0,MEDIAN(Scoring!I64:I66),"")</x:f>
      </x:c>
      <x:c r="AK20" s="341" t="n">
        <x:f>COUNT(Scoring!I64:I66)</x:f>
        <x:v>0</x:v>
      </x:c>
      <x:c r="AL20" s="341" t="n">
        <x:f>COUNT(Scoring!H64:H66)</x:f>
        <x:v>3</x:v>
      </x:c>
    </x:row>
    <x:row r="21" ht="88" hidden="0" customHeight="1">
      <x:c r="A21" s="228" t="n">
        <x:f aca="0">Strategy!$E$3+31</x:f>
        <x:v>46352.5</x:v>
      </x:c>
      <x:c r="B21" s="229" t="s">
        <x:v>57</x:v>
      </x:c>
      <x:c r="C21" s="289" t="str">
        <x:f aca="0">SUBSTITUTE(SUBSTITUTE(SUBSTITUTE("35 min skills"&amp;CHAR(10)&amp;Strategy!I25,", B)",CHAR(10)&amp;"B)"),", C)",CHAR(10)&amp;"C)"),", Core:",CHAR(10)&amp;"Core:")</x:f>
        <x:v>35 min skills
A) Deficit pike push-up: 3 x 4
B) Wall HSPU negative: 3 x 2 (lower 3 sec)
C) Counterweight pistol: 3 x 4/leg
Core: 5 rounds</x:v>
      </x:c>
      <x:c r="D21" s="229" t="s">
        <x:v>210</x:v>
      </x:c>
      <x:c r="E21" s="229" t="n">
        <x:v>65</x:v>
      </x:c>
      <x:c r="F21" s="256"/>
      <x:c r="G21" s="256" t="s">
        <x:v>207</x:v>
      </x:c>
      <x:c r="H21" s="258" t="b">
        <x:f aca="0">FALSE()</x:f>
        <x:v>0</x:v>
      </x:c>
      <x:c r="I21" s="259" t="n">
        <x:v>4</x:v>
      </x:c>
      <x:c r="J21" s="259" t="n">
        <x:v>4</x:v>
      </x:c>
      <x:c r="K21" s="259" t="n">
        <x:v>4</x:v>
      </x:c>
      <x:c r="L21" s="260"/>
      <x:c r="M21" s="260"/>
      <x:c r="N21" s="258" t="b">
        <x:f aca="0">FALSE()</x:f>
        <x:v>0</x:v>
      </x:c>
      <x:c r="O21" s="259" t="n">
        <x:v>2</x:v>
      </x:c>
      <x:c r="P21" s="259" t="n">
        <x:v>2</x:v>
      </x:c>
      <x:c r="Q21" s="259" t="n">
        <x:v>2</x:v>
      </x:c>
      <x:c r="R21" s="260"/>
      <x:c r="S21" s="260"/>
      <x:c r="T21" s="258" t="b">
        <x:f aca="0">FALSE()</x:f>
        <x:v>0</x:v>
      </x:c>
      <x:c r="U21" s="259" t="n">
        <x:v>4</x:v>
      </x:c>
      <x:c r="V21" s="259" t="n">
        <x:v>4</x:v>
      </x:c>
      <x:c r="W21" s="259" t="n">
        <x:v>4</x:v>
      </x:c>
      <x:c r="X21" s="260"/>
      <x:c r="Y21" s="260"/>
      <x:c r="Z21" s="261" t="b">
        <x:v>0</x:v>
      </x:c>
      <x:c r="AA21" s="259" t="n">
        <x:v>5</x:v>
      </x:c>
      <x:c r="AB21" s="382" t="b">
        <x:v>0</x:v>
      </x:c>
      <x:c r="AC21" s="262"/>
      <x:c r="AD21" s="287"/>
      <x:c r="AE21" s="287"/>
      <x:c r="AF21" s="287"/>
      <x:c r="AG21" s="377" t="n">
        <x:f>IF(COUNT(Scoring!X95:X101)&lt;&gt;ROWS(Scoring!X95:X101),"",IF(SUM(Scoring!V95:V101)=0,0,ROUND(SUM(Scoring!X95:X101)/SUM(Scoring!V95:V101),0)))</x:f>
        <x:v>5</x:v>
      </x:c>
      <x:c r="AH21" s="328"/>
      <x:c r="AI21" s="329" t="n">
        <x:f>IF(COUNT(Scoring!H67:H69)&gt;0,MEDIAN(Scoring!H67:H69),"")</x:f>
        <x:v>100</x:v>
      </x:c>
      <x:c r="AJ21" s="329" t="str">
        <x:f>IF(COUNT(Scoring!I67:I69)&gt;0,MEDIAN(Scoring!I67:I69),"")</x:f>
      </x:c>
      <x:c r="AK21" s="340" t="n">
        <x:f>COUNT(Scoring!I67:I69)</x:f>
        <x:v>0</x:v>
      </x:c>
      <x:c r="AL21" s="340" t="n">
        <x:f>COUNT(Scoring!H67:H69)</x:f>
        <x:v>3</x:v>
      </x:c>
    </x:row>
    <x:row r="22" ht="88" hidden="0" customHeight="1">
      <x:c r="A22" s="223" t="n">
        <x:f aca="0">Strategy!$E$3+33</x:f>
        <x:v>46354.5</x:v>
      </x:c>
      <x:c r="B22" s="224" t="s">
        <x:v>61</x:v>
      </x:c>
      <x:c r="C22" s="224" t="s">
        <x:v>211</x:v>
      </x:c>
      <x:c r="D22" s="224" t="s">
        <x:v>212</x:v>
      </x:c>
      <x:c r="E22" s="224" t="n">
        <x:v>20</x:v>
      </x:c>
      <x:c r="F22" s="257"/>
      <x:c r="G22" s="257" t="s">
        <x:v>207</x:v>
      </x:c>
      <x:c r="H22" s="263" t="b">
        <x:f aca="0">FALSE()</x:f>
        <x:v>0</x:v>
      </x:c>
      <x:c r="I22" s="264" t="n">
        <x:v>0.001388888888888889</x:v>
      </x:c>
      <x:c r="J22" s="265"/>
      <x:c r="K22" s="265"/>
      <x:c r="L22" s="265"/>
      <x:c r="M22" s="265"/>
      <x:c r="N22" s="263" t="b">
        <x:f aca="0">FALSE()</x:f>
        <x:v>0</x:v>
      </x:c>
      <x:c r="O22" s="264" t="n">
        <x:v>0.00017361111111111112</x:v>
      </x:c>
      <x:c r="P22" s="264" t="n">
        <x:v>0.00017361111111111112</x:v>
      </x:c>
      <x:c r="Q22" s="264" t="n">
        <x:v>0.00017361111111111112</x:v>
      </x:c>
      <x:c r="R22" s="265"/>
      <x:c r="S22" s="265"/>
      <x:c r="T22" s="263" t="b">
        <x:f aca="0">FALSE()</x:f>
        <x:v>0</x:v>
      </x:c>
      <x:c r="U22" s="264" t="n">
        <x:v>0.00017361111111111112</x:v>
      </x:c>
      <x:c r="V22" s="264" t="n">
        <x:v>0.00017361111111111112</x:v>
      </x:c>
      <x:c r="W22" s="264" t="n">
        <x:v>0.00017361111111111112</x:v>
      </x:c>
      <x:c r="X22" s="265"/>
      <x:c r="Y22" s="265"/>
      <x:c r="Z22" s="266" t="b">
        <x:v>0</x:v>
      </x:c>
      <x:c r="AA22" s="267"/>
      <x:c r="AB22" s="266" t="b">
        <x:v>0</x:v>
      </x:c>
      <x:c r="AC22" s="268"/>
      <x:c r="AD22" s="288"/>
      <x:c r="AE22" s="288"/>
      <x:c r="AF22" s="288"/>
      <x:c r="AG22" s="378" t="n">
        <x:f>IF(COUNT(Scoring!X102:X104)&lt;&gt;ROWS(Scoring!X102:X104),"",IF(SUM(Scoring!V102:V104)=0,0,ROUND(SUM(Scoring!X102:X104)/SUM(Scoring!V102:V104),0)))</x:f>
        <x:v>1</x:v>
      </x:c>
      <x:c r="AH22" s="330"/>
      <x:c r="AI22" s="331" t="n">
        <x:f>IF(COUNT(Scoring!H70:H72)&gt;0,MEDIAN(Scoring!H70:H72),"")</x:f>
        <x:v>100</x:v>
      </x:c>
      <x:c r="AJ22" s="331" t="str">
        <x:f>IF(COUNT(Scoring!I70:I72)&gt;0,MEDIAN(Scoring!I70:I72),"")</x:f>
      </x:c>
      <x:c r="AK22" s="341" t="n">
        <x:f>COUNT(Scoring!I70:I72)</x:f>
        <x:v>0</x:v>
      </x:c>
      <x:c r="AL22" s="341" t="n">
        <x:f>COUNT(Scoring!H70:H72)</x:f>
        <x:v>3</x:v>
      </x:c>
    </x:row>
    <x:row r="23" ht="88" hidden="0" customHeight="1">
      <x:c r="A23" s="228" t="n">
        <x:f aca="0">Strategy!$E$3+35</x:f>
        <x:v>46356.5</x:v>
      </x:c>
      <x:c r="B23" s="229" t="s">
        <x:v>53</x:v>
      </x:c>
      <x:c r="C23" s="289" t="str">
        <x:f aca="0">SUBSTITUTE(SUBSTITUTE(SUBSTITUTE("35 min skills"&amp;CHAR(10)&amp;Strategy!H26,", B)",CHAR(10)&amp;"B)"),", C)",CHAR(10)&amp;"C)"),", Core:",CHAR(10)&amp;"Core:")</x:f>
        <x:v>35 min skills
A) Jumping muscle-up: 3 x 3
B) Low-bar slow transition: 3 x 3
C) Light-counterweight pistol: 3 x 4/leg
Core: 5 rounds</x:v>
      </x:c>
      <x:c r="D23" s="229" t="s">
        <x:v>206</x:v>
      </x:c>
      <x:c r="E23" s="229" t="n">
        <x:v>65</x:v>
      </x:c>
      <x:c r="F23" s="256"/>
      <x:c r="G23" s="256" t="s">
        <x:v>207</x:v>
      </x:c>
      <x:c r="H23" s="258" t="b">
        <x:f aca="0">FALSE()</x:f>
        <x:v>0</x:v>
      </x:c>
      <x:c r="I23" s="259" t="n">
        <x:v>3</x:v>
      </x:c>
      <x:c r="J23" s="259" t="n">
        <x:v>3</x:v>
      </x:c>
      <x:c r="K23" s="259" t="n">
        <x:v>3</x:v>
      </x:c>
      <x:c r="L23" s="260"/>
      <x:c r="M23" s="260"/>
      <x:c r="N23" s="258" t="b">
        <x:f aca="0">FALSE()</x:f>
        <x:v>0</x:v>
      </x:c>
      <x:c r="O23" s="259" t="n">
        <x:v>3</x:v>
      </x:c>
      <x:c r="P23" s="259" t="n">
        <x:v>3</x:v>
      </x:c>
      <x:c r="Q23" s="259" t="n">
        <x:v>3</x:v>
      </x:c>
      <x:c r="R23" s="260"/>
      <x:c r="S23" s="260"/>
      <x:c r="T23" s="258" t="b">
        <x:f aca="0">FALSE()</x:f>
        <x:v>0</x:v>
      </x:c>
      <x:c r="U23" s="259" t="n">
        <x:v>4</x:v>
      </x:c>
      <x:c r="V23" s="259" t="n">
        <x:v>4</x:v>
      </x:c>
      <x:c r="W23" s="259" t="n">
        <x:v>4</x:v>
      </x:c>
      <x:c r="X23" s="260"/>
      <x:c r="Y23" s="260"/>
      <x:c r="Z23" s="261" t="b">
        <x:v>0</x:v>
      </x:c>
      <x:c r="AA23" s="259" t="n">
        <x:v>5</x:v>
      </x:c>
      <x:c r="AB23" s="382" t="b">
        <x:v>0</x:v>
      </x:c>
      <x:c r="AC23" s="262"/>
      <x:c r="AD23" s="287"/>
      <x:c r="AE23" s="287"/>
      <x:c r="AF23" s="287"/>
      <x:c r="AG23" s="377" t="n">
        <x:f>IF(COUNT(Scoring!X105:X111)&lt;&gt;ROWS(Scoring!X105:X111),"",IF(SUM(Scoring!V105:V111)=0,0,ROUND(SUM(Scoring!X105:X111)/SUM(Scoring!V105:V111),0)))</x:f>
        <x:v>5</x:v>
      </x:c>
      <x:c r="AH23" s="328"/>
      <x:c r="AI23" s="329" t="n">
        <x:f>IF(COUNT(Scoring!H73:H76)&gt;0,MEDIAN(Scoring!H73:H76),"")</x:f>
        <x:v>100</x:v>
      </x:c>
      <x:c r="AJ23" s="329" t="str">
        <x:f>IF(COUNT(Scoring!I73:I76)&gt;0,MEDIAN(Scoring!I73:I76),"")</x:f>
      </x:c>
      <x:c r="AK23" s="340" t="n">
        <x:f>COUNT(Scoring!I73:I76)</x:f>
        <x:v>0</x:v>
      </x:c>
      <x:c r="AL23" s="340" t="n">
        <x:f>COUNT(Scoring!H73:H76)</x:f>
        <x:v>4</x:v>
      </x:c>
    </x:row>
    <x:row r="24" ht="88" hidden="0" customHeight="1">
      <x:c r="A24" s="223" t="n">
        <x:f aca="0">Strategy!$E$3+36</x:f>
        <x:v>46357.5</x:v>
      </x:c>
      <x:c r="B24" s="224" t="s">
        <x:v>61</x:v>
      </x:c>
      <x:c r="C24" s="224" t="s">
        <x:v>208</x:v>
      </x:c>
      <x:c r="D24" s="224" t="s">
        <x:v>209</x:v>
      </x:c>
      <x:c r="E24" s="224" t="n">
        <x:v>10</x:v>
      </x:c>
      <x:c r="F24" s="257"/>
      <x:c r="G24" s="257" t="s">
        <x:v>207</x:v>
      </x:c>
      <x:c r="H24" s="263" t="b">
        <x:f aca="0">FALSE()</x:f>
        <x:v>0</x:v>
      </x:c>
      <x:c r="I24" s="264" t="n">
        <x:v>0.001388888888888889</x:v>
      </x:c>
      <x:c r="J24" s="265"/>
      <x:c r="K24" s="265"/>
      <x:c r="L24" s="265"/>
      <x:c r="M24" s="265"/>
      <x:c r="N24" s="263" t="b">
        <x:f aca="0">FALSE()</x:f>
        <x:v>0</x:v>
      </x:c>
      <x:c r="O24" s="264" t="n">
        <x:v>0.00017361111111111112</x:v>
      </x:c>
      <x:c r="P24" s="264" t="n">
        <x:v>0.00017361111111111112</x:v>
      </x:c>
      <x:c r="Q24" s="264" t="n">
        <x:v>0.00017361111111111112</x:v>
      </x:c>
      <x:c r="R24" s="265"/>
      <x:c r="S24" s="265"/>
      <x:c r="T24" s="263" t="b">
        <x:f aca="0">FALSE()</x:f>
        <x:v>0</x:v>
      </x:c>
      <x:c r="U24" s="264" t="n">
        <x:v>0.00017361111111111112</x:v>
      </x:c>
      <x:c r="V24" s="264" t="n">
        <x:v>0.00017361111111111112</x:v>
      </x:c>
      <x:c r="W24" s="265"/>
      <x:c r="X24" s="265"/>
      <x:c r="Y24" s="265"/>
      <x:c r="Z24" s="266" t="b">
        <x:v>0</x:v>
      </x:c>
      <x:c r="AA24" s="267"/>
      <x:c r="AB24" s="266" t="b">
        <x:v>0</x:v>
      </x:c>
      <x:c r="AC24" s="268"/>
      <x:c r="AD24" s="288"/>
      <x:c r="AE24" s="288"/>
      <x:c r="AF24" s="288"/>
      <x:c r="AG24" s="378" t="n">
        <x:f>IF(COUNT(Scoring!X112:X114)&lt;&gt;ROWS(Scoring!X112:X114),"",IF(SUM(Scoring!V112:V114)=0,0,ROUND(SUM(Scoring!X112:X114)/SUM(Scoring!V112:V114),0)))</x:f>
        <x:v>1</x:v>
      </x:c>
      <x:c r="AH24" s="330"/>
      <x:c r="AI24" s="331" t="n">
        <x:f>IF(COUNT(Scoring!H77:H79)&gt;0,MEDIAN(Scoring!H77:H79),"")</x:f>
        <x:v>100</x:v>
      </x:c>
      <x:c r="AJ24" s="331" t="str">
        <x:f>IF(COUNT(Scoring!I77:I79)&gt;0,MEDIAN(Scoring!I77:I79),"")</x:f>
      </x:c>
      <x:c r="AK24" s="341" t="n">
        <x:f>COUNT(Scoring!I77:I79)</x:f>
        <x:v>0</x:v>
      </x:c>
      <x:c r="AL24" s="341" t="n">
        <x:f>COUNT(Scoring!H77:H79)</x:f>
        <x:v>3</x:v>
      </x:c>
    </x:row>
    <x:row r="25" ht="88" hidden="0" customHeight="1">
      <x:c r="A25" s="228" t="n">
        <x:f aca="0">Strategy!$E$3+38</x:f>
        <x:v>46359.5</x:v>
      </x:c>
      <x:c r="B25" s="229" t="s">
        <x:v>57</x:v>
      </x:c>
      <x:c r="C25" s="289" t="str">
        <x:f aca="0">SUBSTITUTE(SUBSTITUTE(SUBSTITUTE("35 min skills"&amp;CHAR(10)&amp;Strategy!I26,", B)",CHAR(10)&amp;"B)"),", C)",CHAR(10)&amp;"C)"),", Core:",CHAR(10)&amp;"Core:")</x:f>
        <x:v>35 min skills
A) Partial wall HSPU: 3 x 3
B) Wall HSPU negative: 3 x 2 (lower 3 sec)
C) Light-counterweight pistol: 3 x 4/leg
Core: 5 rounds</x:v>
      </x:c>
      <x:c r="D25" s="229" t="s">
        <x:v>210</x:v>
      </x:c>
      <x:c r="E25" s="229" t="n">
        <x:v>65</x:v>
      </x:c>
      <x:c r="F25" s="256"/>
      <x:c r="G25" s="256" t="s">
        <x:v>207</x:v>
      </x:c>
      <x:c r="H25" s="258" t="b">
        <x:f aca="0">FALSE()</x:f>
        <x:v>0</x:v>
      </x:c>
      <x:c r="I25" s="259" t="n">
        <x:v>3</x:v>
      </x:c>
      <x:c r="J25" s="259" t="n">
        <x:v>3</x:v>
      </x:c>
      <x:c r="K25" s="259" t="n">
        <x:v>3</x:v>
      </x:c>
      <x:c r="L25" s="260"/>
      <x:c r="M25" s="260"/>
      <x:c r="N25" s="258" t="b">
        <x:f aca="0">FALSE()</x:f>
        <x:v>0</x:v>
      </x:c>
      <x:c r="O25" s="259" t="n">
        <x:v>2</x:v>
      </x:c>
      <x:c r="P25" s="259" t="n">
        <x:v>2</x:v>
      </x:c>
      <x:c r="Q25" s="259" t="n">
        <x:v>2</x:v>
      </x:c>
      <x:c r="R25" s="260"/>
      <x:c r="S25" s="260"/>
      <x:c r="T25" s="258" t="b">
        <x:f aca="0">FALSE()</x:f>
        <x:v>0</x:v>
      </x:c>
      <x:c r="U25" s="259" t="n">
        <x:v>4</x:v>
      </x:c>
      <x:c r="V25" s="259" t="n">
        <x:v>4</x:v>
      </x:c>
      <x:c r="W25" s="259" t="n">
        <x:v>4</x:v>
      </x:c>
      <x:c r="X25" s="260"/>
      <x:c r="Y25" s="260"/>
      <x:c r="Z25" s="261" t="b">
        <x:v>0</x:v>
      </x:c>
      <x:c r="AA25" s="259" t="n">
        <x:v>5</x:v>
      </x:c>
      <x:c r="AB25" s="382" t="b">
        <x:v>0</x:v>
      </x:c>
      <x:c r="AC25" s="262"/>
      <x:c r="AD25" s="287"/>
      <x:c r="AE25" s="287"/>
      <x:c r="AF25" s="287"/>
      <x:c r="AG25" s="377" t="n">
        <x:f>IF(COUNT(Scoring!X115:X121)&lt;&gt;ROWS(Scoring!X115:X121),"",IF(SUM(Scoring!V115:V121)=0,0,ROUND(SUM(Scoring!X115:X121)/SUM(Scoring!V115:V121),0)))</x:f>
        <x:v>5</x:v>
      </x:c>
      <x:c r="AH25" s="328"/>
      <x:c r="AI25" s="329" t="n">
        <x:f>IF(COUNT(Scoring!H80:H82)&gt;0,MEDIAN(Scoring!H80:H82),"")</x:f>
        <x:v>100</x:v>
      </x:c>
      <x:c r="AJ25" s="329" t="str">
        <x:f>IF(COUNT(Scoring!I80:I82)&gt;0,MEDIAN(Scoring!I80:I82),"")</x:f>
      </x:c>
      <x:c r="AK25" s="340" t="n">
        <x:f>COUNT(Scoring!I80:I82)</x:f>
        <x:v>0</x:v>
      </x:c>
      <x:c r="AL25" s="340" t="n">
        <x:f>COUNT(Scoring!H80:H82)</x:f>
        <x:v>3</x:v>
      </x:c>
    </x:row>
    <x:row r="26" ht="88" hidden="0" customHeight="1">
      <x:c r="A26" s="223" t="n">
        <x:f aca="0">Strategy!$E$3+40</x:f>
        <x:v>46361.5</x:v>
      </x:c>
      <x:c r="B26" s="224" t="s">
        <x:v>61</x:v>
      </x:c>
      <x:c r="C26" s="224" t="s">
        <x:v>211</x:v>
      </x:c>
      <x:c r="D26" s="224" t="s">
        <x:v>212</x:v>
      </x:c>
      <x:c r="E26" s="224" t="n">
        <x:v>20</x:v>
      </x:c>
      <x:c r="F26" s="257"/>
      <x:c r="G26" s="257" t="s">
        <x:v>207</x:v>
      </x:c>
      <x:c r="H26" s="263" t="b">
        <x:f aca="0">FALSE()</x:f>
        <x:v>0</x:v>
      </x:c>
      <x:c r="I26" s="264" t="n">
        <x:v>0.001388888888888889</x:v>
      </x:c>
      <x:c r="J26" s="265"/>
      <x:c r="K26" s="265"/>
      <x:c r="L26" s="265"/>
      <x:c r="M26" s="265"/>
      <x:c r="N26" s="263" t="b">
        <x:f aca="0">FALSE()</x:f>
        <x:v>0</x:v>
      </x:c>
      <x:c r="O26" s="264" t="n">
        <x:v>0.00017361111111111112</x:v>
      </x:c>
      <x:c r="P26" s="264" t="n">
        <x:v>0.00017361111111111112</x:v>
      </x:c>
      <x:c r="Q26" s="264" t="n">
        <x:v>0.00017361111111111112</x:v>
      </x:c>
      <x:c r="R26" s="265"/>
      <x:c r="S26" s="265"/>
      <x:c r="T26" s="263" t="b">
        <x:f aca="0">FALSE()</x:f>
        <x:v>0</x:v>
      </x:c>
      <x:c r="U26" s="264" t="n">
        <x:v>0.00017361111111111112</x:v>
      </x:c>
      <x:c r="V26" s="264" t="n">
        <x:v>0.00017361111111111112</x:v>
      </x:c>
      <x:c r="W26" s="264" t="n">
        <x:v>0.00017361111111111112</x:v>
      </x:c>
      <x:c r="X26" s="265"/>
      <x:c r="Y26" s="265"/>
      <x:c r="Z26" s="266" t="b">
        <x:v>0</x:v>
      </x:c>
      <x:c r="AA26" s="267"/>
      <x:c r="AB26" s="266" t="b">
        <x:v>0</x:v>
      </x:c>
      <x:c r="AC26" s="268"/>
      <x:c r="AD26" s="288"/>
      <x:c r="AE26" s="288"/>
      <x:c r="AF26" s="288"/>
      <x:c r="AG26" s="378" t="n">
        <x:f>IF(COUNT(Scoring!X122:X124)&lt;&gt;ROWS(Scoring!X122:X124),"",IF(SUM(Scoring!V122:V124)=0,0,ROUND(SUM(Scoring!X122:X124)/SUM(Scoring!V122:V124),0)))</x:f>
        <x:v>1</x:v>
      </x:c>
      <x:c r="AH26" s="330"/>
      <x:c r="AI26" s="331" t="n">
        <x:f>IF(COUNT(Scoring!H83:H85)&gt;0,MEDIAN(Scoring!H83:H85),"")</x:f>
        <x:v>100</x:v>
      </x:c>
      <x:c r="AJ26" s="331" t="str">
        <x:f>IF(COUNT(Scoring!I83:I85)&gt;0,MEDIAN(Scoring!I83:I85),"")</x:f>
      </x:c>
      <x:c r="AK26" s="341" t="n">
        <x:f>COUNT(Scoring!I83:I85)</x:f>
        <x:v>0</x:v>
      </x:c>
      <x:c r="AL26" s="341" t="n">
        <x:f>COUNT(Scoring!H83:H85)</x:f>
        <x:v>3</x:v>
      </x:c>
    </x:row>
    <x:row r="27" ht="88" hidden="0" customHeight="1">
      <x:c r="A27" s="228" t="n">
        <x:f aca="0">Strategy!$E$3+42</x:f>
        <x:v>46363.5</x:v>
      </x:c>
      <x:c r="B27" s="229" t="s">
        <x:v>53</x:v>
      </x:c>
      <x:c r="C27" s="289" t="str">
        <x:f aca="0">SUBSTITUTE(SUBSTITUTE(SUBSTITUTE("35 min skills"&amp;CHAR(10)&amp;Strategy!H27,", B)",CHAR(10)&amp;"B)"),", C)",CHAR(10)&amp;"C)"),", Core:",CHAR(10)&amp;"Core:")</x:f>
        <x:v>35 min skills
A) Light-band muscle-up: 4 x 1
B) Band-assisted transition: 3 x 2
C) Unassisted pistol to target: 3 x 1/leg
Core: 5 rounds</x:v>
      </x:c>
      <x:c r="D27" s="229" t="s">
        <x:v>206</x:v>
      </x:c>
      <x:c r="E27" s="229" t="n">
        <x:v>65</x:v>
      </x:c>
      <x:c r="F27" s="256"/>
      <x:c r="G27" s="256" t="s">
        <x:v>207</x:v>
      </x:c>
      <x:c r="H27" s="258" t="b">
        <x:f aca="0">FALSE()</x:f>
        <x:v>0</x:v>
      </x:c>
      <x:c r="I27" s="259" t="n">
        <x:v>1</x:v>
      </x:c>
      <x:c r="J27" s="259" t="n">
        <x:v>1</x:v>
      </x:c>
      <x:c r="K27" s="259" t="n">
        <x:v>1</x:v>
      </x:c>
      <x:c r="L27" s="259" t="n">
        <x:v>1</x:v>
      </x:c>
      <x:c r="M27" s="260"/>
      <x:c r="N27" s="258" t="b">
        <x:f aca="0">FALSE()</x:f>
        <x:v>0</x:v>
      </x:c>
      <x:c r="O27" s="259" t="n">
        <x:v>2</x:v>
      </x:c>
      <x:c r="P27" s="259" t="n">
        <x:v>2</x:v>
      </x:c>
      <x:c r="Q27" s="259" t="n">
        <x:v>2</x:v>
      </x:c>
      <x:c r="R27" s="260"/>
      <x:c r="S27" s="260"/>
      <x:c r="T27" s="258" t="b">
        <x:f aca="0">FALSE()</x:f>
        <x:v>0</x:v>
      </x:c>
      <x:c r="U27" s="259" t="n">
        <x:v>1</x:v>
      </x:c>
      <x:c r="V27" s="259" t="n">
        <x:v>1</x:v>
      </x:c>
      <x:c r="W27" s="259" t="n">
        <x:v>1</x:v>
      </x:c>
      <x:c r="X27" s="260"/>
      <x:c r="Y27" s="260"/>
      <x:c r="Z27" s="261" t="b">
        <x:v>0</x:v>
      </x:c>
      <x:c r="AA27" s="259" t="n">
        <x:v>5</x:v>
      </x:c>
      <x:c r="AB27" s="382" t="b">
        <x:v>0</x:v>
      </x:c>
      <x:c r="AC27" s="262"/>
      <x:c r="AD27" s="287"/>
      <x:c r="AE27" s="287"/>
      <x:c r="AF27" s="287"/>
      <x:c r="AG27" s="377" t="n">
        <x:f>IF(COUNT(Scoring!X125:X131)&lt;&gt;ROWS(Scoring!X125:X131),"",IF(SUM(Scoring!V125:V131)=0,0,ROUND(SUM(Scoring!X125:X131)/SUM(Scoring!V125:V131),0)))</x:f>
        <x:v>5</x:v>
      </x:c>
      <x:c r="AH27" s="328"/>
      <x:c r="AI27" s="329" t="n">
        <x:f>IF(COUNT(Scoring!H86:H89)&gt;0,MEDIAN(Scoring!H86:H89),"")</x:f>
        <x:v>100</x:v>
      </x:c>
      <x:c r="AJ27" s="329" t="str">
        <x:f>IF(COUNT(Scoring!I86:I89)&gt;0,MEDIAN(Scoring!I86:I89),"")</x:f>
      </x:c>
      <x:c r="AK27" s="340" t="n">
        <x:f>COUNT(Scoring!I86:I89)</x:f>
        <x:v>0</x:v>
      </x:c>
      <x:c r="AL27" s="340" t="n">
        <x:f>COUNT(Scoring!H86:H89)</x:f>
        <x:v>4</x:v>
      </x:c>
    </x:row>
    <x:row r="28" ht="88" hidden="0" customHeight="1">
      <x:c r="A28" s="223" t="n">
        <x:f aca="0">Strategy!$E$3+43</x:f>
        <x:v>46364.5</x:v>
      </x:c>
      <x:c r="B28" s="224" t="s">
        <x:v>61</x:v>
      </x:c>
      <x:c r="C28" s="224" t="s">
        <x:v>208</x:v>
      </x:c>
      <x:c r="D28" s="224" t="s">
        <x:v>209</x:v>
      </x:c>
      <x:c r="E28" s="224" t="n">
        <x:v>10</x:v>
      </x:c>
      <x:c r="F28" s="257"/>
      <x:c r="G28" s="257" t="s">
        <x:v>207</x:v>
      </x:c>
      <x:c r="H28" s="263" t="b">
        <x:f aca="0">FALSE()</x:f>
        <x:v>0</x:v>
      </x:c>
      <x:c r="I28" s="264" t="n">
        <x:v>0.001388888888888889</x:v>
      </x:c>
      <x:c r="J28" s="265"/>
      <x:c r="K28" s="265"/>
      <x:c r="L28" s="265"/>
      <x:c r="M28" s="265"/>
      <x:c r="N28" s="263" t="b">
        <x:f aca="0">FALSE()</x:f>
        <x:v>0</x:v>
      </x:c>
      <x:c r="O28" s="264" t="n">
        <x:v>0.00017361111111111112</x:v>
      </x:c>
      <x:c r="P28" s="264" t="n">
        <x:v>0.00017361111111111112</x:v>
      </x:c>
      <x:c r="Q28" s="264" t="n">
        <x:v>0.00017361111111111112</x:v>
      </x:c>
      <x:c r="R28" s="265"/>
      <x:c r="S28" s="265"/>
      <x:c r="T28" s="263" t="b">
        <x:f aca="0">FALSE()</x:f>
        <x:v>0</x:v>
      </x:c>
      <x:c r="U28" s="264" t="n">
        <x:v>0.00017361111111111112</x:v>
      </x:c>
      <x:c r="V28" s="264" t="n">
        <x:v>0.00017361111111111112</x:v>
      </x:c>
      <x:c r="W28" s="265"/>
      <x:c r="X28" s="265"/>
      <x:c r="Y28" s="265"/>
      <x:c r="Z28" s="266" t="b">
        <x:v>0</x:v>
      </x:c>
      <x:c r="AA28" s="267"/>
      <x:c r="AB28" s="266" t="b">
        <x:v>0</x:v>
      </x:c>
      <x:c r="AC28" s="268"/>
      <x:c r="AD28" s="288"/>
      <x:c r="AE28" s="288"/>
      <x:c r="AF28" s="288"/>
      <x:c r="AG28" s="378" t="n">
        <x:f>IF(COUNT(Scoring!X132:X134)&lt;&gt;ROWS(Scoring!X132:X134),"",IF(SUM(Scoring!V132:V134)=0,0,ROUND(SUM(Scoring!X132:X134)/SUM(Scoring!V132:V134),0)))</x:f>
        <x:v>1</x:v>
      </x:c>
      <x:c r="AH28" s="330"/>
      <x:c r="AI28" s="331" t="n">
        <x:f>IF(COUNT(Scoring!H90:H92)&gt;0,MEDIAN(Scoring!H90:H92),"")</x:f>
        <x:v>100</x:v>
      </x:c>
      <x:c r="AJ28" s="331" t="str">
        <x:f>IF(COUNT(Scoring!I90:I92)&gt;0,MEDIAN(Scoring!I90:I92),"")</x:f>
      </x:c>
      <x:c r="AK28" s="341" t="n">
        <x:f>COUNT(Scoring!I90:I92)</x:f>
        <x:v>0</x:v>
      </x:c>
      <x:c r="AL28" s="341" t="n">
        <x:f>COUNT(Scoring!H90:H92)</x:f>
        <x:v>3</x:v>
      </x:c>
    </x:row>
    <x:row r="29" ht="88" hidden="0" customHeight="1">
      <x:c r="A29" s="228" t="n">
        <x:f aca="0">Strategy!$E$3+45</x:f>
        <x:v>46366.5</x:v>
      </x:c>
      <x:c r="B29" s="229" t="s">
        <x:v>57</x:v>
      </x:c>
      <x:c r="C29" s="289" t="str">
        <x:f aca="0">SUBSTITUTE(SUBSTITUTE(SUBSTITUTE("35 min skills"&amp;CHAR(10)&amp;Strategy!I27,", B)",CHAR(10)&amp;"B)"),", C)",CHAR(10)&amp;"C)"),", Core:",CHAR(10)&amp;"Core:")</x:f>
        <x:v>35 min skills
A) Deeper wall HSPU: 3 x 2
B) Easy wall handstand: 2 x 20 sec
C) Unassisted pistol to target: 3 x 1/leg
Core: 5 rounds</x:v>
      </x:c>
      <x:c r="D29" s="229" t="s">
        <x:v>210</x:v>
      </x:c>
      <x:c r="E29" s="229" t="n">
        <x:v>65</x:v>
      </x:c>
      <x:c r="F29" s="256"/>
      <x:c r="G29" s="256" t="s">
        <x:v>207</x:v>
      </x:c>
      <x:c r="H29" s="258" t="b">
        <x:f aca="0">FALSE()</x:f>
        <x:v>0</x:v>
      </x:c>
      <x:c r="I29" s="259" t="n">
        <x:v>2</x:v>
      </x:c>
      <x:c r="J29" s="259" t="n">
        <x:v>2</x:v>
      </x:c>
      <x:c r="K29" s="259" t="n">
        <x:v>2</x:v>
      </x:c>
      <x:c r="L29" s="260"/>
      <x:c r="M29" s="260"/>
      <x:c r="N29" s="258" t="b">
        <x:f aca="0">FALSE()</x:f>
        <x:v>0</x:v>
      </x:c>
      <x:c r="O29" s="269" t="n">
        <x:v>0.0002314814814814815</x:v>
      </x:c>
      <x:c r="P29" s="269" t="n">
        <x:v>0.0002314814814814815</x:v>
      </x:c>
      <x:c r="Q29" s="260"/>
      <x:c r="R29" s="260"/>
      <x:c r="S29" s="260"/>
      <x:c r="T29" s="258" t="b">
        <x:f aca="0">FALSE()</x:f>
        <x:v>0</x:v>
      </x:c>
      <x:c r="U29" s="259" t="n">
        <x:v>1</x:v>
      </x:c>
      <x:c r="V29" s="259" t="n">
        <x:v>1</x:v>
      </x:c>
      <x:c r="W29" s="259" t="n">
        <x:v>1</x:v>
      </x:c>
      <x:c r="X29" s="260"/>
      <x:c r="Y29" s="260"/>
      <x:c r="Z29" s="261" t="b">
        <x:v>0</x:v>
      </x:c>
      <x:c r="AA29" s="259" t="n">
        <x:v>5</x:v>
      </x:c>
      <x:c r="AB29" s="382" t="b">
        <x:v>0</x:v>
      </x:c>
      <x:c r="AC29" s="262"/>
      <x:c r="AD29" s="287"/>
      <x:c r="AE29" s="287"/>
      <x:c r="AF29" s="287"/>
      <x:c r="AG29" s="377" t="n">
        <x:f>IF(COUNT(Scoring!X135:X141)&lt;&gt;ROWS(Scoring!X135:X141),"",IF(SUM(Scoring!V135:V141)=0,0,ROUND(SUM(Scoring!X135:X141)/SUM(Scoring!V135:V141),0)))</x:f>
        <x:v>5</x:v>
      </x:c>
      <x:c r="AH29" s="328"/>
      <x:c r="AI29" s="329" t="n">
        <x:f>IF(COUNT(Scoring!H93:H96)&gt;0,MEDIAN(Scoring!H93:H96),"")</x:f>
        <x:v>100</x:v>
      </x:c>
      <x:c r="AJ29" s="329" t="str">
        <x:f>IF(COUNT(Scoring!I93:I96)&gt;0,MEDIAN(Scoring!I93:I96),"")</x:f>
      </x:c>
      <x:c r="AK29" s="340" t="n">
        <x:f>COUNT(Scoring!I93:I96)</x:f>
        <x:v>0</x:v>
      </x:c>
      <x:c r="AL29" s="340" t="n">
        <x:f>COUNT(Scoring!H93:H96)</x:f>
        <x:v>4</x:v>
      </x:c>
    </x:row>
    <x:row r="30" ht="88" hidden="0" customHeight="1">
      <x:c r="A30" s="223" t="n">
        <x:f aca="0">Strategy!$E$3+47</x:f>
        <x:v>46368.5</x:v>
      </x:c>
      <x:c r="B30" s="224" t="s">
        <x:v>61</x:v>
      </x:c>
      <x:c r="C30" s="224" t="s">
        <x:v>211</x:v>
      </x:c>
      <x:c r="D30" s="224" t="s">
        <x:v>212</x:v>
      </x:c>
      <x:c r="E30" s="224" t="n">
        <x:v>20</x:v>
      </x:c>
      <x:c r="F30" s="257"/>
      <x:c r="G30" s="257" t="s">
        <x:v>207</x:v>
      </x:c>
      <x:c r="H30" s="263" t="b">
        <x:f aca="0">FALSE()</x:f>
        <x:v>0</x:v>
      </x:c>
      <x:c r="I30" s="264" t="n">
        <x:v>0.001388888888888889</x:v>
      </x:c>
      <x:c r="J30" s="265"/>
      <x:c r="K30" s="265"/>
      <x:c r="L30" s="265"/>
      <x:c r="M30" s="265"/>
      <x:c r="N30" s="263" t="b">
        <x:f aca="0">FALSE()</x:f>
        <x:v>0</x:v>
      </x:c>
      <x:c r="O30" s="264" t="n">
        <x:v>0.00017361111111111112</x:v>
      </x:c>
      <x:c r="P30" s="264" t="n">
        <x:v>0.00017361111111111112</x:v>
      </x:c>
      <x:c r="Q30" s="264" t="n">
        <x:v>0.00017361111111111112</x:v>
      </x:c>
      <x:c r="R30" s="265"/>
      <x:c r="S30" s="265"/>
      <x:c r="T30" s="263" t="b">
        <x:f aca="0">FALSE()</x:f>
        <x:v>0</x:v>
      </x:c>
      <x:c r="U30" s="264" t="n">
        <x:v>0.00017361111111111112</x:v>
      </x:c>
      <x:c r="V30" s="264" t="n">
        <x:v>0.00017361111111111112</x:v>
      </x:c>
      <x:c r="W30" s="264" t="n">
        <x:v>0.00017361111111111112</x:v>
      </x:c>
      <x:c r="X30" s="265"/>
      <x:c r="Y30" s="265"/>
      <x:c r="Z30" s="266" t="b">
        <x:v>0</x:v>
      </x:c>
      <x:c r="AA30" s="267"/>
      <x:c r="AB30" s="266" t="b">
        <x:v>0</x:v>
      </x:c>
      <x:c r="AC30" s="268"/>
      <x:c r="AD30" s="288"/>
      <x:c r="AE30" s="288"/>
      <x:c r="AF30" s="288"/>
      <x:c r="AG30" s="378" t="n">
        <x:f>IF(COUNT(Scoring!X142:X144)&lt;&gt;ROWS(Scoring!X142:X144),"",IF(SUM(Scoring!V142:V144)=0,0,ROUND(SUM(Scoring!X142:X144)/SUM(Scoring!V142:V144),0)))</x:f>
        <x:v>1</x:v>
      </x:c>
      <x:c r="AH30" s="330"/>
      <x:c r="AI30" s="331" t="n">
        <x:f>IF(COUNT(Scoring!H97:H99)&gt;0,MEDIAN(Scoring!H97:H99),"")</x:f>
        <x:v>100</x:v>
      </x:c>
      <x:c r="AJ30" s="331" t="str">
        <x:f>IF(COUNT(Scoring!I97:I99)&gt;0,MEDIAN(Scoring!I97:I99),"")</x:f>
      </x:c>
      <x:c r="AK30" s="341" t="n">
        <x:f>COUNT(Scoring!I97:I99)</x:f>
        <x:v>0</x:v>
      </x:c>
      <x:c r="AL30" s="341" t="n">
        <x:f>COUNT(Scoring!H97:H99)</x:f>
        <x:v>3</x:v>
      </x:c>
    </x:row>
    <x:row r="31" ht="88" hidden="0" customHeight="1">
      <x:c r="A31" s="228" t="n">
        <x:f aca="0">Strategy!$E$3+49</x:f>
        <x:v>46370.5</x:v>
      </x:c>
      <x:c r="B31" s="229" t="s">
        <x:v>53</x:v>
      </x:c>
      <x:c r="C31" s="289" t="str">
        <x:f aca="0">SUBSTITUTE(SUBSTITUTE(SUBSTITUTE("10 min skills"&amp;CHAR(10)&amp;Strategy!H28,", B)",CHAR(10)&amp;"B)"),", C)",CHAR(10)&amp;"C)"),", Core:",CHAR(10)&amp;"Core:")</x:f>
        <x:v>10 min skills
A) Easy high pull: 1 x 3
B) Easy low-bar transition: 1 x 3
C) Assisted smooth pistol: 1 x 3/leg
Core: 3 rounds</x:v>
      </x:c>
      <x:c r="D31" s="229" t="s">
        <x:v>206</x:v>
      </x:c>
      <x:c r="E31" s="229" t="n">
        <x:v>33</x:v>
      </x:c>
      <x:c r="F31" s="256"/>
      <x:c r="G31" s="256" t="s">
        <x:v>207</x:v>
      </x:c>
      <x:c r="H31" s="258" t="b">
        <x:f aca="0">FALSE()</x:f>
        <x:v>0</x:v>
      </x:c>
      <x:c r="I31" s="259" t="n">
        <x:v>3</x:v>
      </x:c>
      <x:c r="J31" s="260"/>
      <x:c r="K31" s="260"/>
      <x:c r="L31" s="260"/>
      <x:c r="M31" s="260"/>
      <x:c r="N31" s="258" t="b">
        <x:f aca="0">FALSE()</x:f>
        <x:v>0</x:v>
      </x:c>
      <x:c r="O31" s="259" t="n">
        <x:v>3</x:v>
      </x:c>
      <x:c r="P31" s="260"/>
      <x:c r="Q31" s="260"/>
      <x:c r="R31" s="260"/>
      <x:c r="S31" s="260"/>
      <x:c r="T31" s="258" t="b">
        <x:f aca="0">FALSE()</x:f>
        <x:v>0</x:v>
      </x:c>
      <x:c r="U31" s="259" t="n">
        <x:v>3</x:v>
      </x:c>
      <x:c r="V31" s="260"/>
      <x:c r="W31" s="260"/>
      <x:c r="X31" s="260"/>
      <x:c r="Y31" s="260"/>
      <x:c r="Z31" s="261" t="b">
        <x:v>0</x:v>
      </x:c>
      <x:c r="AA31" s="259" t="n">
        <x:v>3</x:v>
      </x:c>
      <x:c r="AB31" s="382" t="b">
        <x:v>0</x:v>
      </x:c>
      <x:c r="AC31" s="262"/>
      <x:c r="AD31" s="287"/>
      <x:c r="AE31" s="287"/>
      <x:c r="AF31" s="287"/>
      <x:c r="AG31" s="377" t="n">
        <x:f>IF(COUNT(Scoring!X145:X151)&lt;&gt;ROWS(Scoring!X145:X151),"",IF(SUM(Scoring!V145:V151)=0,0,ROUND(SUM(Scoring!X145:X151)/SUM(Scoring!V145:V151),0)))</x:f>
        <x:v>5</x:v>
      </x:c>
      <x:c r="AH31" s="328"/>
      <x:c r="AI31" s="329" t="n">
        <x:f>IF(COUNT(Scoring!H100:H103)&gt;0,MEDIAN(Scoring!H100:H103),"")</x:f>
        <x:v>100</x:v>
      </x:c>
      <x:c r="AJ31" s="329" t="str">
        <x:f>IF(COUNT(Scoring!I100:I103)&gt;0,MEDIAN(Scoring!I100:I103),"")</x:f>
      </x:c>
      <x:c r="AK31" s="340" t="n">
        <x:f>COUNT(Scoring!I100:I103)</x:f>
        <x:v>0</x:v>
      </x:c>
      <x:c r="AL31" s="340" t="n">
        <x:f>COUNT(Scoring!H100:H103)</x:f>
        <x:v>4</x:v>
      </x:c>
    </x:row>
    <x:row r="32" ht="88" hidden="0" customHeight="1">
      <x:c r="A32" s="223" t="n">
        <x:f aca="0">Strategy!$E$3+50</x:f>
        <x:v>46371.5</x:v>
      </x:c>
      <x:c r="B32" s="224" t="s">
        <x:v>61</x:v>
      </x:c>
      <x:c r="C32" s="224" t="s">
        <x:v>213</x:v>
      </x:c>
      <x:c r="D32" s="224" t="s">
        <x:v>209</x:v>
      </x:c>
      <x:c r="E32" s="224" t="n">
        <x:v>5</x:v>
      </x:c>
      <x:c r="F32" s="257"/>
      <x:c r="G32" s="257" t="s">
        <x:v>207</x:v>
      </x:c>
      <x:c r="H32" s="263" t="b">
        <x:f aca="0">FALSE()</x:f>
        <x:v>0</x:v>
      </x:c>
      <x:c r="I32" s="264" t="n">
        <x:v>0.0006944444444444445</x:v>
      </x:c>
      <x:c r="J32" s="265"/>
      <x:c r="K32" s="265"/>
      <x:c r="L32" s="265"/>
      <x:c r="M32" s="265"/>
      <x:c r="N32" s="263" t="b">
        <x:f aca="0">FALSE()</x:f>
        <x:v>0</x:v>
      </x:c>
      <x:c r="O32" s="264" t="n">
        <x:v>0.00011574074074074075</x:v>
      </x:c>
      <x:c r="P32" s="264" t="n">
        <x:v>0.00011574074074074075</x:v>
      </x:c>
      <x:c r="Q32" s="265"/>
      <x:c r="R32" s="265"/>
      <x:c r="S32" s="265"/>
      <x:c r="T32" s="263" t="b">
        <x:f aca="0">FALSE()</x:f>
        <x:v>0</x:v>
      </x:c>
      <x:c r="U32" s="264" t="n">
        <x:v>0.00011574074074074075</x:v>
      </x:c>
      <x:c r="V32" s="265"/>
      <x:c r="W32" s="265"/>
      <x:c r="X32" s="265"/>
      <x:c r="Y32" s="265"/>
      <x:c r="Z32" s="266" t="b">
        <x:v>0</x:v>
      </x:c>
      <x:c r="AA32" s="267"/>
      <x:c r="AB32" s="266" t="b">
        <x:v>0</x:v>
      </x:c>
      <x:c r="AC32" s="268"/>
      <x:c r="AD32" s="288"/>
      <x:c r="AE32" s="288"/>
      <x:c r="AF32" s="288"/>
      <x:c r="AG32" s="378" t="n">
        <x:f>IF(COUNT(Scoring!X152:X154)&lt;&gt;ROWS(Scoring!X152:X154),"",IF(SUM(Scoring!V152:V154)=0,0,ROUND(SUM(Scoring!X152:X154)/SUM(Scoring!V152:V154),0)))</x:f>
        <x:v>1</x:v>
      </x:c>
      <x:c r="AH32" s="330"/>
      <x:c r="AI32" s="331" t="n">
        <x:f>IF(COUNT(Scoring!H104:H106)&gt;0,MEDIAN(Scoring!H104:H106),"")</x:f>
        <x:v>100</x:v>
      </x:c>
      <x:c r="AJ32" s="331" t="str">
        <x:f>IF(COUNT(Scoring!I104:I106)&gt;0,MEDIAN(Scoring!I104:I106),"")</x:f>
      </x:c>
      <x:c r="AK32" s="341" t="n">
        <x:f>COUNT(Scoring!I104:I106)</x:f>
        <x:v>0</x:v>
      </x:c>
      <x:c r="AL32" s="341" t="n">
        <x:f>COUNT(Scoring!H104:H106)</x:f>
        <x:v>3</x:v>
      </x:c>
    </x:row>
    <x:row r="33" ht="88" hidden="0" customHeight="1">
      <x:c r="A33" s="228" t="n">
        <x:f aca="0">Strategy!$E$3+52</x:f>
        <x:v>46373.5</x:v>
      </x:c>
      <x:c r="B33" s="229" t="s">
        <x:v>57</x:v>
      </x:c>
      <x:c r="C33" s="289" t="str">
        <x:f aca="0">SUBSTITUTE(SUBSTITUTE(SUBSTITUTE("10 min skills"&amp;CHAR(10)&amp;Strategy!I28,", B)",CHAR(10)&amp;"B)"),", C)",CHAR(10)&amp;"C)"),", Core:",CHAR(10)&amp;"Core:")</x:f>
        <x:v>10 min skills
A) Easy wall handstand: 1 x 15 sec
B) Easy pike push-up: 1 x 4
C) Assisted smooth pistol: 1 x 3/leg
Core: 3 rounds</x:v>
      </x:c>
      <x:c r="D33" s="229" t="s">
        <x:v>214</x:v>
      </x:c>
      <x:c r="E33" s="229" t="n">
        <x:v>33</x:v>
      </x:c>
      <x:c r="F33" s="256"/>
      <x:c r="G33" s="256" t="s">
        <x:v>207</x:v>
      </x:c>
      <x:c r="H33" s="258" t="b">
        <x:f aca="0">FALSE()</x:f>
        <x:v>0</x:v>
      </x:c>
      <x:c r="I33" s="269" t="n">
        <x:v>0.00017361111111111112</x:v>
      </x:c>
      <x:c r="J33" s="260"/>
      <x:c r="K33" s="260"/>
      <x:c r="L33" s="260"/>
      <x:c r="M33" s="260"/>
      <x:c r="N33" s="258" t="b">
        <x:f aca="0">FALSE()</x:f>
        <x:v>0</x:v>
      </x:c>
      <x:c r="O33" s="259" t="n">
        <x:v>4</x:v>
      </x:c>
      <x:c r="P33" s="260"/>
      <x:c r="Q33" s="260"/>
      <x:c r="R33" s="260"/>
      <x:c r="S33" s="260"/>
      <x:c r="T33" s="258" t="b">
        <x:f aca="0">FALSE()</x:f>
        <x:v>0</x:v>
      </x:c>
      <x:c r="U33" s="259" t="n">
        <x:v>3</x:v>
      </x:c>
      <x:c r="V33" s="260"/>
      <x:c r="W33" s="260"/>
      <x:c r="X33" s="260"/>
      <x:c r="Y33" s="260"/>
      <x:c r="Z33" s="261" t="b">
        <x:v>0</x:v>
      </x:c>
      <x:c r="AA33" s="259" t="n">
        <x:v>3</x:v>
      </x:c>
      <x:c r="AB33" s="382" t="b">
        <x:v>0</x:v>
      </x:c>
      <x:c r="AC33" s="262"/>
      <x:c r="AD33" s="287"/>
      <x:c r="AE33" s="287"/>
      <x:c r="AF33" s="287"/>
      <x:c r="AG33" s="377" t="n">
        <x:f>IF(COUNT(Scoring!X155:X161)&lt;&gt;ROWS(Scoring!X155:X161),"",IF(SUM(Scoring!V155:V161)=0,0,ROUND(SUM(Scoring!X155:X161)/SUM(Scoring!V155:V161),0)))</x:f>
        <x:v>5</x:v>
      </x:c>
      <x:c r="AH33" s="328"/>
      <x:c r="AI33" s="329" t="n">
        <x:f>IF(COUNT(Scoring!H107:H110)&gt;0,MEDIAN(Scoring!H107:H110),"")</x:f>
        <x:v>100</x:v>
      </x:c>
      <x:c r="AJ33" s="329" t="str">
        <x:f>IF(COUNT(Scoring!I107:I110)&gt;0,MEDIAN(Scoring!I107:I110),"")</x:f>
      </x:c>
      <x:c r="AK33" s="340" t="n">
        <x:f>COUNT(Scoring!I107:I110)</x:f>
        <x:v>0</x:v>
      </x:c>
      <x:c r="AL33" s="340" t="n">
        <x:f>COUNT(Scoring!H107:H110)</x:f>
        <x:v>4</x:v>
      </x:c>
    </x:row>
    <x:row r="34" ht="88" hidden="0" customHeight="1">
      <x:c r="A34" s="223" t="n">
        <x:f aca="0">Strategy!$E$3+54</x:f>
        <x:v>46375.5</x:v>
      </x:c>
      <x:c r="B34" s="224" t="s">
        <x:v>61</x:v>
      </x:c>
      <x:c r="C34" s="224" t="s">
        <x:v>215</x:v>
      </x:c>
      <x:c r="D34" s="224" t="s">
        <x:v>212</x:v>
      </x:c>
      <x:c r="E34" s="224" t="n">
        <x:v>10</x:v>
      </x:c>
      <x:c r="F34" s="257"/>
      <x:c r="G34" s="257" t="s">
        <x:v>207</x:v>
      </x:c>
      <x:c r="H34" s="263" t="b">
        <x:f aca="0">FALSE()</x:f>
        <x:v>0</x:v>
      </x:c>
      <x:c r="I34" s="264" t="n">
        <x:v>0.0006944444444444445</x:v>
      </x:c>
      <x:c r="J34" s="265"/>
      <x:c r="K34" s="265"/>
      <x:c r="L34" s="265"/>
      <x:c r="M34" s="265"/>
      <x:c r="N34" s="263" t="b">
        <x:f aca="0">FALSE()</x:f>
        <x:v>0</x:v>
      </x:c>
      <x:c r="O34" s="264" t="n">
        <x:v>0.00011574074074074075</x:v>
      </x:c>
      <x:c r="P34" s="264" t="n">
        <x:v>0.00011574074074074075</x:v>
      </x:c>
      <x:c r="Q34" s="265"/>
      <x:c r="R34" s="265"/>
      <x:c r="S34" s="265"/>
      <x:c r="T34" s="263" t="b">
        <x:f aca="0">FALSE()</x:f>
        <x:v>0</x:v>
      </x:c>
      <x:c r="U34" s="264" t="n">
        <x:v>0.00011574074074074075</x:v>
      </x:c>
      <x:c r="V34" s="265"/>
      <x:c r="W34" s="265"/>
      <x:c r="X34" s="265"/>
      <x:c r="Y34" s="265"/>
      <x:c r="Z34" s="266" t="b">
        <x:v>0</x:v>
      </x:c>
      <x:c r="AA34" s="267"/>
      <x:c r="AB34" s="266" t="b">
        <x:v>0</x:v>
      </x:c>
      <x:c r="AC34" s="268"/>
      <x:c r="AD34" s="288"/>
      <x:c r="AE34" s="288"/>
      <x:c r="AF34" s="288"/>
      <x:c r="AG34" s="378" t="n">
        <x:f>IF(COUNT(Scoring!X162:X164)&lt;&gt;ROWS(Scoring!X162:X164),"",IF(SUM(Scoring!V162:V164)=0,0,ROUND(SUM(Scoring!X162:X164)/SUM(Scoring!V162:V164),0)))</x:f>
        <x:v>1</x:v>
      </x:c>
      <x:c r="AH34" s="330"/>
      <x:c r="AI34" s="331" t="n">
        <x:f>IF(COUNT(Scoring!H111:H113)&gt;0,MEDIAN(Scoring!H111:H113),"")</x:f>
        <x:v>100</x:v>
      </x:c>
      <x:c r="AJ34" s="331" t="str">
        <x:f>IF(COUNT(Scoring!I111:I113)&gt;0,MEDIAN(Scoring!I111:I113),"")</x:f>
      </x:c>
      <x:c r="AK34" s="341" t="n">
        <x:f>COUNT(Scoring!I111:I113)</x:f>
        <x:v>0</x:v>
      </x:c>
      <x:c r="AL34" s="341" t="n">
        <x:f>COUNT(Scoring!H111:H113)</x:f>
        <x:v>3</x:v>
      </x:c>
    </x:row>
    <x:row r="35" ht="88" hidden="0" customHeight="1">
      <x:c r="A35" s="228" t="n">
        <x:f aca="0">Strategy!$E$3+56</x:f>
        <x:v>46377.5</x:v>
      </x:c>
      <x:c r="B35" s="229" t="s">
        <x:v>53</x:v>
      </x:c>
      <x:c r="C35" s="289" t="str">
        <x:f aca="0">SUBSTITUTE(SUBSTITUTE(SUBSTITUTE("35 min skills"&amp;CHAR(10)&amp;Strategy!H29,", B)",CHAR(10)&amp;"B)"),", C)",CHAR(10)&amp;"C)"),", Core:",CHAR(10)&amp;"Core:")</x:f>
        <x:v>35 min skills
A) Light-band or strict muscle-up: 3 x 1
B) Stronger-band back-off muscle-up: 2 x 2
C) Unassisted pistol: 3 x 1/leg
Core: 5 rounds</x:v>
      </x:c>
      <x:c r="D35" s="229" t="s">
        <x:v>206</x:v>
      </x:c>
      <x:c r="E35" s="229" t="n">
        <x:v>65</x:v>
      </x:c>
      <x:c r="F35" s="256"/>
      <x:c r="G35" s="256" t="s">
        <x:v>207</x:v>
      </x:c>
      <x:c r="H35" s="258" t="b">
        <x:f aca="0">FALSE()</x:f>
        <x:v>0</x:v>
      </x:c>
      <x:c r="I35" s="259" t="n">
        <x:v>1</x:v>
      </x:c>
      <x:c r="J35" s="259" t="n">
        <x:v>1</x:v>
      </x:c>
      <x:c r="K35" s="259" t="n">
        <x:v>1</x:v>
      </x:c>
      <x:c r="L35" s="260"/>
      <x:c r="M35" s="260"/>
      <x:c r="N35" s="258" t="b">
        <x:f aca="0">FALSE()</x:f>
        <x:v>0</x:v>
      </x:c>
      <x:c r="O35" s="259" t="n">
        <x:v>2</x:v>
      </x:c>
      <x:c r="P35" s="259" t="n">
        <x:v>2</x:v>
      </x:c>
      <x:c r="Q35" s="260"/>
      <x:c r="R35" s="260"/>
      <x:c r="S35" s="260"/>
      <x:c r="T35" s="258" t="b">
        <x:f aca="0">FALSE()</x:f>
        <x:v>0</x:v>
      </x:c>
      <x:c r="U35" s="259" t="n">
        <x:v>1</x:v>
      </x:c>
      <x:c r="V35" s="259" t="n">
        <x:v>1</x:v>
      </x:c>
      <x:c r="W35" s="259" t="n">
        <x:v>1</x:v>
      </x:c>
      <x:c r="X35" s="260"/>
      <x:c r="Y35" s="260"/>
      <x:c r="Z35" s="261" t="b">
        <x:v>0</x:v>
      </x:c>
      <x:c r="AA35" s="259" t="n">
        <x:v>5</x:v>
      </x:c>
      <x:c r="AB35" s="382" t="b">
        <x:v>0</x:v>
      </x:c>
      <x:c r="AC35" s="262"/>
      <x:c r="AD35" s="287"/>
      <x:c r="AE35" s="287"/>
      <x:c r="AF35" s="287"/>
      <x:c r="AG35" s="377" t="n">
        <x:f>IF(COUNT(Scoring!X165:X171)&lt;&gt;ROWS(Scoring!X165:X171),"",IF(SUM(Scoring!V165:V171)=0,0,ROUND(SUM(Scoring!X165:X171)/SUM(Scoring!V165:V171),0)))</x:f>
        <x:v>5</x:v>
      </x:c>
      <x:c r="AH35" s="328"/>
      <x:c r="AI35" s="329" t="n">
        <x:f>IF(COUNT(Scoring!H114:H117)&gt;0,MEDIAN(Scoring!H114:H117),"")</x:f>
        <x:v>100</x:v>
      </x:c>
      <x:c r="AJ35" s="329" t="str">
        <x:f>IF(COUNT(Scoring!I114:I117)&gt;0,MEDIAN(Scoring!I114:I117),"")</x:f>
      </x:c>
      <x:c r="AK35" s="340" t="n">
        <x:f>COUNT(Scoring!I114:I117)</x:f>
        <x:v>0</x:v>
      </x:c>
      <x:c r="AL35" s="340" t="n">
        <x:f>COUNT(Scoring!H114:H117)</x:f>
        <x:v>4</x:v>
      </x:c>
    </x:row>
    <x:row r="36" ht="88" hidden="0" customHeight="1">
      <x:c r="A36" s="223" t="n">
        <x:f aca="0">Strategy!$E$3+57</x:f>
        <x:v>46378.5</x:v>
      </x:c>
      <x:c r="B36" s="224" t="s">
        <x:v>61</x:v>
      </x:c>
      <x:c r="C36" s="224" t="s">
        <x:v>208</x:v>
      </x:c>
      <x:c r="D36" s="224" t="s">
        <x:v>209</x:v>
      </x:c>
      <x:c r="E36" s="224" t="n">
        <x:v>10</x:v>
      </x:c>
      <x:c r="F36" s="257"/>
      <x:c r="G36" s="257" t="s">
        <x:v>207</x:v>
      </x:c>
      <x:c r="H36" s="263" t="b">
        <x:f aca="0">FALSE()</x:f>
        <x:v>0</x:v>
      </x:c>
      <x:c r="I36" s="264" t="n">
        <x:v>0.001388888888888889</x:v>
      </x:c>
      <x:c r="J36" s="265"/>
      <x:c r="K36" s="265"/>
      <x:c r="L36" s="265"/>
      <x:c r="M36" s="265"/>
      <x:c r="N36" s="263" t="b">
        <x:f aca="0">FALSE()</x:f>
        <x:v>0</x:v>
      </x:c>
      <x:c r="O36" s="264" t="n">
        <x:v>0.00017361111111111112</x:v>
      </x:c>
      <x:c r="P36" s="264" t="n">
        <x:v>0.00017361111111111112</x:v>
      </x:c>
      <x:c r="Q36" s="264" t="n">
        <x:v>0.00017361111111111112</x:v>
      </x:c>
      <x:c r="R36" s="265"/>
      <x:c r="S36" s="265"/>
      <x:c r="T36" s="263" t="b">
        <x:f aca="0">FALSE()</x:f>
        <x:v>0</x:v>
      </x:c>
      <x:c r="U36" s="264" t="n">
        <x:v>0.00017361111111111112</x:v>
      </x:c>
      <x:c r="V36" s="264" t="n">
        <x:v>0.00017361111111111112</x:v>
      </x:c>
      <x:c r="W36" s="265"/>
      <x:c r="X36" s="265"/>
      <x:c r="Y36" s="265"/>
      <x:c r="Z36" s="266" t="b">
        <x:v>0</x:v>
      </x:c>
      <x:c r="AA36" s="267"/>
      <x:c r="AB36" s="266" t="b">
        <x:v>0</x:v>
      </x:c>
      <x:c r="AC36" s="268"/>
      <x:c r="AD36" s="288"/>
      <x:c r="AE36" s="288"/>
      <x:c r="AF36" s="288"/>
      <x:c r="AG36" s="378" t="n">
        <x:f>IF(COUNT(Scoring!X172:X174)&lt;&gt;ROWS(Scoring!X172:X174),"",IF(SUM(Scoring!V172:V174)=0,0,ROUND(SUM(Scoring!X172:X174)/SUM(Scoring!V172:V174),0)))</x:f>
        <x:v>1</x:v>
      </x:c>
      <x:c r="AH36" s="330"/>
      <x:c r="AI36" s="331" t="n">
        <x:f>IF(COUNT(Scoring!H118:H120)&gt;0,MEDIAN(Scoring!H118:H120),"")</x:f>
        <x:v>100</x:v>
      </x:c>
      <x:c r="AJ36" s="331" t="str">
        <x:f>IF(COUNT(Scoring!I118:I120)&gt;0,MEDIAN(Scoring!I118:I120),"")</x:f>
      </x:c>
      <x:c r="AK36" s="341" t="n">
        <x:f>COUNT(Scoring!I118:I120)</x:f>
        <x:v>0</x:v>
      </x:c>
      <x:c r="AL36" s="341" t="n">
        <x:f>COUNT(Scoring!H118:H120)</x:f>
        <x:v>3</x:v>
      </x:c>
    </x:row>
    <x:row r="37" ht="88" hidden="0" customHeight="1">
      <x:c r="A37" s="228" t="n">
        <x:f aca="0">Strategy!$E$3+59</x:f>
        <x:v>46380.5</x:v>
      </x:c>
      <x:c r="B37" s="229" t="s">
        <x:v>57</x:v>
      </x:c>
      <x:c r="C37" s="289" t="str">
        <x:f aca="0">SUBSTITUTE(SUBSTITUTE(SUBSTITUTE("35 min skills"&amp;CHAR(10)&amp;Strategy!I29,", B)",CHAR(10)&amp;"B)"),", C)",CHAR(10)&amp;"C)"),", Core:",CHAR(10)&amp;"Core:")</x:f>
        <x:v>35 min skills
A) Full-ROM wall HSPU negative: 3 x 1
B) Partial wall HSPU: 3 x 3
C) Unassisted pistol: 3 x 1/leg
Core: 5 rounds</x:v>
      </x:c>
      <x:c r="D37" s="229" t="s">
        <x:v>210</x:v>
      </x:c>
      <x:c r="E37" s="229" t="n">
        <x:v>65</x:v>
      </x:c>
      <x:c r="F37" s="256"/>
      <x:c r="G37" s="256" t="s">
        <x:v>207</x:v>
      </x:c>
      <x:c r="H37" s="258" t="b">
        <x:f aca="0">FALSE()</x:f>
        <x:v>0</x:v>
      </x:c>
      <x:c r="I37" s="259" t="n">
        <x:v>1</x:v>
      </x:c>
      <x:c r="J37" s="259" t="n">
        <x:v>1</x:v>
      </x:c>
      <x:c r="K37" s="259" t="n">
        <x:v>1</x:v>
      </x:c>
      <x:c r="L37" s="260"/>
      <x:c r="M37" s="260"/>
      <x:c r="N37" s="258" t="b">
        <x:f aca="0">FALSE()</x:f>
        <x:v>0</x:v>
      </x:c>
      <x:c r="O37" s="259" t="n">
        <x:v>3</x:v>
      </x:c>
      <x:c r="P37" s="259" t="n">
        <x:v>3</x:v>
      </x:c>
      <x:c r="Q37" s="259" t="n">
        <x:v>3</x:v>
      </x:c>
      <x:c r="R37" s="260"/>
      <x:c r="S37" s="260"/>
      <x:c r="T37" s="258" t="b">
        <x:f aca="0">FALSE()</x:f>
        <x:v>0</x:v>
      </x:c>
      <x:c r="U37" s="259" t="n">
        <x:v>1</x:v>
      </x:c>
      <x:c r="V37" s="259" t="n">
        <x:v>1</x:v>
      </x:c>
      <x:c r="W37" s="259" t="n">
        <x:v>1</x:v>
      </x:c>
      <x:c r="X37" s="260"/>
      <x:c r="Y37" s="260"/>
      <x:c r="Z37" s="261" t="b">
        <x:v>0</x:v>
      </x:c>
      <x:c r="AA37" s="259" t="n">
        <x:v>5</x:v>
      </x:c>
      <x:c r="AB37" s="382" t="b">
        <x:v>0</x:v>
      </x:c>
      <x:c r="AC37" s="262"/>
      <x:c r="AD37" s="287"/>
      <x:c r="AE37" s="287"/>
      <x:c r="AF37" s="287"/>
      <x:c r="AG37" s="377" t="n">
        <x:f>IF(COUNT(Scoring!X175:X181)&lt;&gt;ROWS(Scoring!X175:X181),"",IF(SUM(Scoring!V175:V181)=0,0,ROUND(SUM(Scoring!X175:X181)/SUM(Scoring!V175:V181),0)))</x:f>
        <x:v>5</x:v>
      </x:c>
      <x:c r="AH37" s="328"/>
      <x:c r="AI37" s="329" t="n">
        <x:f>IF(COUNT(Scoring!H121:H124)&gt;0,MEDIAN(Scoring!H121:H124),"")</x:f>
        <x:v>100</x:v>
      </x:c>
      <x:c r="AJ37" s="329" t="str">
        <x:f>IF(COUNT(Scoring!I121:I124)&gt;0,MEDIAN(Scoring!I121:I124),"")</x:f>
      </x:c>
      <x:c r="AK37" s="340" t="n">
        <x:f>COUNT(Scoring!I121:I124)</x:f>
        <x:v>0</x:v>
      </x:c>
      <x:c r="AL37" s="340" t="n">
        <x:f>COUNT(Scoring!H121:H124)</x:f>
        <x:v>4</x:v>
      </x:c>
    </x:row>
    <x:row r="38" ht="88" hidden="0" customHeight="1">
      <x:c r="A38" s="223" t="n">
        <x:f aca="0">Strategy!$E$3+61</x:f>
        <x:v>46382.5</x:v>
      </x:c>
      <x:c r="B38" s="224" t="s">
        <x:v>61</x:v>
      </x:c>
      <x:c r="C38" s="224" t="s">
        <x:v>211</x:v>
      </x:c>
      <x:c r="D38" s="224" t="s">
        <x:v>212</x:v>
      </x:c>
      <x:c r="E38" s="224" t="n">
        <x:v>20</x:v>
      </x:c>
      <x:c r="F38" s="257"/>
      <x:c r="G38" s="257" t="s">
        <x:v>207</x:v>
      </x:c>
      <x:c r="H38" s="263" t="b">
        <x:f aca="0">FALSE()</x:f>
        <x:v>0</x:v>
      </x:c>
      <x:c r="I38" s="264" t="n">
        <x:v>0.001388888888888889</x:v>
      </x:c>
      <x:c r="J38" s="265"/>
      <x:c r="K38" s="265"/>
      <x:c r="L38" s="265"/>
      <x:c r="M38" s="265"/>
      <x:c r="N38" s="263" t="b">
        <x:f aca="0">FALSE()</x:f>
        <x:v>0</x:v>
      </x:c>
      <x:c r="O38" s="264" t="n">
        <x:v>0.00017361111111111112</x:v>
      </x:c>
      <x:c r="P38" s="264" t="n">
        <x:v>0.00017361111111111112</x:v>
      </x:c>
      <x:c r="Q38" s="264" t="n">
        <x:v>0.00017361111111111112</x:v>
      </x:c>
      <x:c r="R38" s="265"/>
      <x:c r="S38" s="265"/>
      <x:c r="T38" s="263" t="b">
        <x:f aca="0">FALSE()</x:f>
        <x:v>0</x:v>
      </x:c>
      <x:c r="U38" s="264" t="n">
        <x:v>0.00017361111111111112</x:v>
      </x:c>
      <x:c r="V38" s="264" t="n">
        <x:v>0.00017361111111111112</x:v>
      </x:c>
      <x:c r="W38" s="264" t="n">
        <x:v>0.00017361111111111112</x:v>
      </x:c>
      <x:c r="X38" s="265"/>
      <x:c r="Y38" s="265"/>
      <x:c r="Z38" s="266" t="b">
        <x:v>0</x:v>
      </x:c>
      <x:c r="AA38" s="267"/>
      <x:c r="AB38" s="266" t="b">
        <x:v>0</x:v>
      </x:c>
      <x:c r="AC38" s="268"/>
      <x:c r="AD38" s="288"/>
      <x:c r="AE38" s="288"/>
      <x:c r="AF38" s="288"/>
      <x:c r="AG38" s="378" t="n">
        <x:f>IF(COUNT(Scoring!X182:X184)&lt;&gt;ROWS(Scoring!X182:X184),"",IF(SUM(Scoring!V182:V184)=0,0,ROUND(SUM(Scoring!X182:X184)/SUM(Scoring!V182:V184),0)))</x:f>
        <x:v>1</x:v>
      </x:c>
      <x:c r="AH38" s="330"/>
      <x:c r="AI38" s="331" t="n">
        <x:f>IF(COUNT(Scoring!H125:H127)&gt;0,MEDIAN(Scoring!H125:H127),"")</x:f>
        <x:v>100</x:v>
      </x:c>
      <x:c r="AJ38" s="331" t="str">
        <x:f>IF(COUNT(Scoring!I125:I127)&gt;0,MEDIAN(Scoring!I125:I127),"")</x:f>
      </x:c>
      <x:c r="AK38" s="341" t="n">
        <x:f>COUNT(Scoring!I125:I127)</x:f>
        <x:v>0</x:v>
      </x:c>
      <x:c r="AL38" s="341" t="n">
        <x:f>COUNT(Scoring!H125:H127)</x:f>
        <x:v>3</x:v>
      </x:c>
    </x:row>
    <x:row r="39" ht="88" hidden="0" customHeight="1">
      <x:c r="A39" s="228" t="n">
        <x:f aca="0">Strategy!$E$3+63</x:f>
        <x:v>46384.5</x:v>
      </x:c>
      <x:c r="B39" s="229" t="s">
        <x:v>53</x:v>
      </x:c>
      <x:c r="C39" s="289" t="str">
        <x:f aca="0">SUBSTITUTE(SUBSTITUTE(SUBSTITUTE("35 min skills"&amp;CHAR(10)&amp;Strategy!H30,", B)",CHAR(10)&amp;"B)"),", C)",CHAR(10)&amp;"C)"),", Core:",CHAR(10)&amp;"Core:")</x:f>
        <x:v>35 min skills
A) Quality muscle-up attempts: 3-5 singles
B) Band-assisted muscle-up: 2 x 2
C) Pistol clusters: 3 x (1+1)/leg (20 sec between reps)
Core: 5 rounds</x:v>
      </x:c>
      <x:c r="D39" s="229" t="s">
        <x:v>206</x:v>
      </x:c>
      <x:c r="E39" s="229" t="n">
        <x:v>65</x:v>
      </x:c>
      <x:c r="F39" s="256"/>
      <x:c r="G39" s="256" t="s">
        <x:v>207</x:v>
      </x:c>
      <x:c r="H39" s="258" t="b">
        <x:f aca="0">FALSE()</x:f>
        <x:v>0</x:v>
      </x:c>
      <x:c r="I39" s="259" t="n">
        <x:v>1</x:v>
      </x:c>
      <x:c r="J39" s="259" t="n">
        <x:v>1</x:v>
      </x:c>
      <x:c r="K39" s="259" t="n">
        <x:v>1</x:v>
      </x:c>
      <x:c r="L39" s="260"/>
      <x:c r="M39" s="260"/>
      <x:c r="N39" s="258" t="b">
        <x:f aca="0">FALSE()</x:f>
        <x:v>0</x:v>
      </x:c>
      <x:c r="O39" s="259" t="n">
        <x:v>2</x:v>
      </x:c>
      <x:c r="P39" s="259" t="n">
        <x:v>2</x:v>
      </x:c>
      <x:c r="Q39" s="260"/>
      <x:c r="R39" s="260"/>
      <x:c r="S39" s="260"/>
      <x:c r="T39" s="258" t="b">
        <x:f aca="0">FALSE()</x:f>
        <x:v>0</x:v>
      </x:c>
      <x:c r="U39" s="259" t="n">
        <x:v>2</x:v>
      </x:c>
      <x:c r="V39" s="259" t="n">
        <x:v>2</x:v>
      </x:c>
      <x:c r="W39" s="259" t="n">
        <x:v>2</x:v>
      </x:c>
      <x:c r="X39" s="260"/>
      <x:c r="Y39" s="260"/>
      <x:c r="Z39" s="261" t="b">
        <x:v>0</x:v>
      </x:c>
      <x:c r="AA39" s="259" t="n">
        <x:v>5</x:v>
      </x:c>
      <x:c r="AB39" s="382" t="b">
        <x:v>0</x:v>
      </x:c>
      <x:c r="AC39" s="262"/>
      <x:c r="AD39" s="287"/>
      <x:c r="AE39" s="287"/>
      <x:c r="AF39" s="287"/>
      <x:c r="AG39" s="377" t="n">
        <x:f>IF(COUNT(Scoring!X185:X191)&lt;&gt;ROWS(Scoring!X185:X191),"",IF(SUM(Scoring!V185:V191)=0,0,ROUND(SUM(Scoring!X185:X191)/SUM(Scoring!V185:V191),0)))</x:f>
        <x:v>5</x:v>
      </x:c>
      <x:c r="AH39" s="328"/>
      <x:c r="AI39" s="329" t="n">
        <x:f>IF(COUNT(Scoring!H128:H129)&gt;0,MEDIAN(Scoring!H128:H129),"")</x:f>
        <x:v>100</x:v>
      </x:c>
      <x:c r="AJ39" s="329" t="str">
        <x:f>IF(COUNT(Scoring!I128:I129)&gt;0,MEDIAN(Scoring!I128:I129),"")</x:f>
      </x:c>
      <x:c r="AK39" s="340" t="n">
        <x:f>COUNT(Scoring!I128:I129)</x:f>
        <x:v>0</x:v>
      </x:c>
      <x:c r="AL39" s="340" t="n">
        <x:f>COUNT(Scoring!H128:H129)</x:f>
        <x:v>2</x:v>
      </x:c>
    </x:row>
    <x:row r="40" ht="88" hidden="0" customHeight="1">
      <x:c r="A40" s="223" t="n">
        <x:f aca="0">Strategy!$E$3+64</x:f>
        <x:v>46385.5</x:v>
      </x:c>
      <x:c r="B40" s="224" t="s">
        <x:v>61</x:v>
      </x:c>
      <x:c r="C40" s="224" t="s">
        <x:v>208</x:v>
      </x:c>
      <x:c r="D40" s="224" t="s">
        <x:v>209</x:v>
      </x:c>
      <x:c r="E40" s="224" t="n">
        <x:v>10</x:v>
      </x:c>
      <x:c r="F40" s="257"/>
      <x:c r="G40" s="257" t="s">
        <x:v>207</x:v>
      </x:c>
      <x:c r="H40" s="263" t="b">
        <x:f aca="0">FALSE()</x:f>
        <x:v>0</x:v>
      </x:c>
      <x:c r="I40" s="264" t="n">
        <x:v>0.001388888888888889</x:v>
      </x:c>
      <x:c r="J40" s="265"/>
      <x:c r="K40" s="265"/>
      <x:c r="L40" s="265"/>
      <x:c r="M40" s="265"/>
      <x:c r="N40" s="263" t="b">
        <x:f aca="0">FALSE()</x:f>
        <x:v>0</x:v>
      </x:c>
      <x:c r="O40" s="264" t="n">
        <x:v>0.00017361111111111112</x:v>
      </x:c>
      <x:c r="P40" s="264" t="n">
        <x:v>0.00017361111111111112</x:v>
      </x:c>
      <x:c r="Q40" s="264" t="n">
        <x:v>0.00017361111111111112</x:v>
      </x:c>
      <x:c r="R40" s="265"/>
      <x:c r="S40" s="265"/>
      <x:c r="T40" s="263" t="b">
        <x:f aca="0">FALSE()</x:f>
        <x:v>0</x:v>
      </x:c>
      <x:c r="U40" s="264" t="n">
        <x:v>0.00017361111111111112</x:v>
      </x:c>
      <x:c r="V40" s="264" t="n">
        <x:v>0.00017361111111111112</x:v>
      </x:c>
      <x:c r="W40" s="265"/>
      <x:c r="X40" s="265"/>
      <x:c r="Y40" s="265"/>
      <x:c r="Z40" s="266" t="b">
        <x:v>0</x:v>
      </x:c>
      <x:c r="AA40" s="267"/>
      <x:c r="AB40" s="266" t="b">
        <x:v>0</x:v>
      </x:c>
      <x:c r="AC40" s="268"/>
      <x:c r="AD40" s="288"/>
      <x:c r="AE40" s="288"/>
      <x:c r="AF40" s="288"/>
      <x:c r="AG40" s="378" t="n">
        <x:f>IF(COUNT(Scoring!X192:X194)&lt;&gt;ROWS(Scoring!X192:X194),"",IF(SUM(Scoring!V192:V194)=0,0,ROUND(SUM(Scoring!X192:X194)/SUM(Scoring!V192:V194),0)))</x:f>
        <x:v>1</x:v>
      </x:c>
      <x:c r="AH40" s="330"/>
      <x:c r="AI40" s="331" t="n">
        <x:f>IF(COUNT(Scoring!H130:H132)&gt;0,MEDIAN(Scoring!H130:H132),"")</x:f>
        <x:v>100</x:v>
      </x:c>
      <x:c r="AJ40" s="331" t="str">
        <x:f>IF(COUNT(Scoring!I130:I132)&gt;0,MEDIAN(Scoring!I130:I132),"")</x:f>
      </x:c>
      <x:c r="AK40" s="341" t="n">
        <x:f>COUNT(Scoring!I130:I132)</x:f>
        <x:v>0</x:v>
      </x:c>
      <x:c r="AL40" s="341" t="n">
        <x:f>COUNT(Scoring!H130:H132)</x:f>
        <x:v>3</x:v>
      </x:c>
    </x:row>
    <x:row r="41" ht="88" hidden="0" customHeight="1">
      <x:c r="A41" s="228" t="n">
        <x:f aca="0">Strategy!$E$3+66</x:f>
        <x:v>46387.5</x:v>
      </x:c>
      <x:c r="B41" s="229" t="s">
        <x:v>57</x:v>
      </x:c>
      <x:c r="C41" s="289" t="str">
        <x:f aca="0">SUBSTITUTE(SUBSTITUTE(SUBSTITUTE("35 min skills"&amp;CHAR(10)&amp;Strategy!I30,", B)",CHAR(10)&amp;"B)"),", C)",CHAR(10)&amp;"C)"),", Core:",CHAR(10)&amp;"Core:")</x:f>
        <x:v>35 min skills
A) Wall HSPU clusters: 3 x (1+1) (20 sec between reps)
B) Easy wall handstand: 2 x 20 sec
C) Pistol clusters: 3 x (1+1)/leg (20 sec between reps)
Core: 5 rounds</x:v>
      </x:c>
      <x:c r="D41" s="229" t="s">
        <x:v>210</x:v>
      </x:c>
      <x:c r="E41" s="229" t="n">
        <x:v>65</x:v>
      </x:c>
      <x:c r="F41" s="256"/>
      <x:c r="G41" s="256" t="s">
        <x:v>207</x:v>
      </x:c>
      <x:c r="H41" s="258" t="b">
        <x:f aca="0">FALSE()</x:f>
        <x:v>0</x:v>
      </x:c>
      <x:c r="I41" s="259" t="n">
        <x:v>2</x:v>
      </x:c>
      <x:c r="J41" s="259" t="n">
        <x:v>2</x:v>
      </x:c>
      <x:c r="K41" s="259" t="n">
        <x:v>2</x:v>
      </x:c>
      <x:c r="L41" s="260"/>
      <x:c r="M41" s="260"/>
      <x:c r="N41" s="258" t="b">
        <x:f aca="0">FALSE()</x:f>
        <x:v>0</x:v>
      </x:c>
      <x:c r="O41" s="269" t="n">
        <x:v>0.0002314814814814815</x:v>
      </x:c>
      <x:c r="P41" s="269" t="n">
        <x:v>0.0002314814814814815</x:v>
      </x:c>
      <x:c r="Q41" s="260"/>
      <x:c r="R41" s="260"/>
      <x:c r="S41" s="260"/>
      <x:c r="T41" s="258" t="b">
        <x:f aca="0">FALSE()</x:f>
        <x:v>0</x:v>
      </x:c>
      <x:c r="U41" s="259" t="n">
        <x:v>2</x:v>
      </x:c>
      <x:c r="V41" s="259" t="n">
        <x:v>2</x:v>
      </x:c>
      <x:c r="W41" s="259" t="n">
        <x:v>2</x:v>
      </x:c>
      <x:c r="X41" s="260"/>
      <x:c r="Y41" s="260"/>
      <x:c r="Z41" s="261" t="b">
        <x:v>0</x:v>
      </x:c>
      <x:c r="AA41" s="259" t="n">
        <x:v>5</x:v>
      </x:c>
      <x:c r="AB41" s="382" t="b">
        <x:v>0</x:v>
      </x:c>
      <x:c r="AC41" s="262"/>
      <x:c r="AD41" s="287"/>
      <x:c r="AE41" s="287"/>
      <x:c r="AF41" s="287"/>
      <x:c r="AG41" s="377" t="n">
        <x:f>IF(COUNT(Scoring!X195:X201)&lt;&gt;ROWS(Scoring!X195:X201),"",IF(SUM(Scoring!V195:V201)=0,0,ROUND(SUM(Scoring!X195:X201)/SUM(Scoring!V195:V201),0)))</x:f>
        <x:v>5</x:v>
      </x:c>
      <x:c r="AH41" s="328"/>
      <x:c r="AI41" s="329" t="n">
        <x:f>IF(COUNT(Scoring!H133:H134)&gt;0,MEDIAN(Scoring!H133:H134),"")</x:f>
        <x:v>100</x:v>
      </x:c>
      <x:c r="AJ41" s="329" t="str">
        <x:f>IF(COUNT(Scoring!I133:I134)&gt;0,MEDIAN(Scoring!I133:I134),"")</x:f>
      </x:c>
      <x:c r="AK41" s="340" t="n">
        <x:f>COUNT(Scoring!I133:I134)</x:f>
        <x:v>0</x:v>
      </x:c>
      <x:c r="AL41" s="340" t="n">
        <x:f>COUNT(Scoring!H133:H134)</x:f>
        <x:v>2</x:v>
      </x:c>
    </x:row>
    <x:row r="42" ht="88" hidden="0" customHeight="1">
      <x:c r="A42" s="223" t="n">
        <x:f aca="0">Strategy!$E$3+68</x:f>
        <x:v>46389.5</x:v>
      </x:c>
      <x:c r="B42" s="224" t="s">
        <x:v>61</x:v>
      </x:c>
      <x:c r="C42" s="224" t="s">
        <x:v>211</x:v>
      </x:c>
      <x:c r="D42" s="224" t="s">
        <x:v>212</x:v>
      </x:c>
      <x:c r="E42" s="224" t="n">
        <x:v>20</x:v>
      </x:c>
      <x:c r="F42" s="257"/>
      <x:c r="G42" s="257" t="s">
        <x:v>207</x:v>
      </x:c>
      <x:c r="H42" s="263" t="b">
        <x:f aca="0">FALSE()</x:f>
        <x:v>0</x:v>
      </x:c>
      <x:c r="I42" s="264" t="n">
        <x:v>0.001388888888888889</x:v>
      </x:c>
      <x:c r="J42" s="265"/>
      <x:c r="K42" s="265"/>
      <x:c r="L42" s="265"/>
      <x:c r="M42" s="265"/>
      <x:c r="N42" s="263" t="b">
        <x:f aca="0">FALSE()</x:f>
        <x:v>0</x:v>
      </x:c>
      <x:c r="O42" s="264" t="n">
        <x:v>0.00017361111111111112</x:v>
      </x:c>
      <x:c r="P42" s="264" t="n">
        <x:v>0.00017361111111111112</x:v>
      </x:c>
      <x:c r="Q42" s="264" t="n">
        <x:v>0.00017361111111111112</x:v>
      </x:c>
      <x:c r="R42" s="265"/>
      <x:c r="S42" s="265"/>
      <x:c r="T42" s="263" t="b">
        <x:f aca="0">FALSE()</x:f>
        <x:v>0</x:v>
      </x:c>
      <x:c r="U42" s="264" t="n">
        <x:v>0.00017361111111111112</x:v>
      </x:c>
      <x:c r="V42" s="264" t="n">
        <x:v>0.00017361111111111112</x:v>
      </x:c>
      <x:c r="W42" s="264" t="n">
        <x:v>0.00017361111111111112</x:v>
      </x:c>
      <x:c r="X42" s="265"/>
      <x:c r="Y42" s="265"/>
      <x:c r="Z42" s="266" t="b">
        <x:v>0</x:v>
      </x:c>
      <x:c r="AA42" s="267"/>
      <x:c r="AB42" s="266" t="b">
        <x:v>0</x:v>
      </x:c>
      <x:c r="AC42" s="268"/>
      <x:c r="AD42" s="288"/>
      <x:c r="AE42" s="288"/>
      <x:c r="AF42" s="288"/>
      <x:c r="AG42" s="378" t="n">
        <x:f>IF(COUNT(Scoring!X202:X204)&lt;&gt;ROWS(Scoring!X202:X204),"",IF(SUM(Scoring!V202:V204)=0,0,ROUND(SUM(Scoring!X202:X204)/SUM(Scoring!V202:V204),0)))</x:f>
        <x:v>1</x:v>
      </x:c>
      <x:c r="AH42" s="330"/>
      <x:c r="AI42" s="331" t="n">
        <x:f>IF(COUNT(Scoring!H135:H137)&gt;0,MEDIAN(Scoring!H135:H137),"")</x:f>
        <x:v>100</x:v>
      </x:c>
      <x:c r="AJ42" s="331" t="str">
        <x:f>IF(COUNT(Scoring!I135:I137)&gt;0,MEDIAN(Scoring!I135:I137),"")</x:f>
      </x:c>
      <x:c r="AK42" s="341" t="n">
        <x:f>COUNT(Scoring!I135:I137)</x:f>
        <x:v>0</x:v>
      </x:c>
      <x:c r="AL42" s="341" t="n">
        <x:f>COUNT(Scoring!H135:H137)</x:f>
        <x:v>3</x:v>
      </x:c>
    </x:row>
    <x:row r="43" ht="88" hidden="0" customHeight="1">
      <x:c r="A43" s="228" t="n">
        <x:f aca="0">Strategy!$E$3+70</x:f>
        <x:v>46391.5</x:v>
      </x:c>
      <x:c r="B43" s="229" t="s">
        <x:v>53</x:v>
      </x:c>
      <x:c r="C43" s="289" t="str">
        <x:f aca="0">SUBSTITUTE(SUBSTITUTE(SUBSTITUTE("35 min skills"&amp;CHAR(10)&amp;Strategy!H31,", B)",CHAR(10)&amp;"B)"),", C)",CHAR(10)&amp;"C)"),", Core:",CHAR(10)&amp;"Core:")</x:f>
        <x:v>35 min skills
A) Quality muscle-up attempts: 3 singles
B) Crisp high pull: 3 x 2
C) Clean pistol: 3 x 2/leg
Core: 5 rounds</x:v>
      </x:c>
      <x:c r="D43" s="229" t="s">
        <x:v>206</x:v>
      </x:c>
      <x:c r="E43" s="229" t="n">
        <x:v>65</x:v>
      </x:c>
      <x:c r="F43" s="256"/>
      <x:c r="G43" s="256" t="s">
        <x:v>207</x:v>
      </x:c>
      <x:c r="H43" s="258" t="b">
        <x:f aca="0">FALSE()</x:f>
        <x:v>0</x:v>
      </x:c>
      <x:c r="I43" s="259" t="n">
        <x:v>1</x:v>
      </x:c>
      <x:c r="J43" s="259" t="n">
        <x:v>1</x:v>
      </x:c>
      <x:c r="K43" s="259" t="n">
        <x:v>1</x:v>
      </x:c>
      <x:c r="L43" s="260"/>
      <x:c r="M43" s="260"/>
      <x:c r="N43" s="258" t="b">
        <x:f aca="0">FALSE()</x:f>
        <x:v>0</x:v>
      </x:c>
      <x:c r="O43" s="259" t="n">
        <x:v>2</x:v>
      </x:c>
      <x:c r="P43" s="259" t="n">
        <x:v>2</x:v>
      </x:c>
      <x:c r="Q43" s="259" t="n">
        <x:v>2</x:v>
      </x:c>
      <x:c r="R43" s="260"/>
      <x:c r="S43" s="260"/>
      <x:c r="T43" s="258" t="b">
        <x:f aca="0">FALSE()</x:f>
        <x:v>0</x:v>
      </x:c>
      <x:c r="U43" s="259" t="n">
        <x:v>2</x:v>
      </x:c>
      <x:c r="V43" s="259" t="n">
        <x:v>2</x:v>
      </x:c>
      <x:c r="W43" s="259" t="n">
        <x:v>2</x:v>
      </x:c>
      <x:c r="X43" s="260"/>
      <x:c r="Y43" s="260"/>
      <x:c r="Z43" s="261" t="b">
        <x:v>0</x:v>
      </x:c>
      <x:c r="AA43" s="259" t="n">
        <x:v>5</x:v>
      </x:c>
      <x:c r="AB43" s="382" t="b">
        <x:v>0</x:v>
      </x:c>
      <x:c r="AC43" s="262"/>
      <x:c r="AD43" s="287"/>
      <x:c r="AE43" s="287"/>
      <x:c r="AF43" s="287"/>
      <x:c r="AG43" s="377" t="n">
        <x:f>IF(COUNT(Scoring!X205:X211)&lt;&gt;ROWS(Scoring!X205:X211),"",IF(SUM(Scoring!V205:V211)=0,0,ROUND(SUM(Scoring!X205:X211)/SUM(Scoring!V205:V211),0)))</x:f>
        <x:v>5</x:v>
      </x:c>
      <x:c r="AH43" s="328"/>
      <x:c r="AI43" s="329" t="n">
        <x:f>IF(COUNT(Scoring!H138:H141)&gt;0,MEDIAN(Scoring!H138:H141),"")</x:f>
        <x:v>100</x:v>
      </x:c>
      <x:c r="AJ43" s="329" t="str">
        <x:f>IF(COUNT(Scoring!I138:I141)&gt;0,MEDIAN(Scoring!I138:I141),"")</x:f>
      </x:c>
      <x:c r="AK43" s="340" t="n">
        <x:f>COUNT(Scoring!I138:I141)</x:f>
        <x:v>0</x:v>
      </x:c>
      <x:c r="AL43" s="340" t="n">
        <x:f>COUNT(Scoring!H138:H141)</x:f>
        <x:v>4</x:v>
      </x:c>
    </x:row>
    <x:row r="44" ht="88" hidden="0" customHeight="1">
      <x:c r="A44" s="223" t="n">
        <x:f aca="0">Strategy!$E$3+71</x:f>
        <x:v>46392.5</x:v>
      </x:c>
      <x:c r="B44" s="224" t="s">
        <x:v>61</x:v>
      </x:c>
      <x:c r="C44" s="224" t="s">
        <x:v>208</x:v>
      </x:c>
      <x:c r="D44" s="224" t="s">
        <x:v>209</x:v>
      </x:c>
      <x:c r="E44" s="224" t="n">
        <x:v>10</x:v>
      </x:c>
      <x:c r="F44" s="257"/>
      <x:c r="G44" s="257" t="s">
        <x:v>207</x:v>
      </x:c>
      <x:c r="H44" s="263" t="b">
        <x:f aca="0">FALSE()</x:f>
        <x:v>0</x:v>
      </x:c>
      <x:c r="I44" s="264" t="n">
        <x:v>0.001388888888888889</x:v>
      </x:c>
      <x:c r="J44" s="265"/>
      <x:c r="K44" s="265"/>
      <x:c r="L44" s="265"/>
      <x:c r="M44" s="265"/>
      <x:c r="N44" s="263" t="b">
        <x:f aca="0">FALSE()</x:f>
        <x:v>0</x:v>
      </x:c>
      <x:c r="O44" s="264" t="n">
        <x:v>0.00017361111111111112</x:v>
      </x:c>
      <x:c r="P44" s="264" t="n">
        <x:v>0.00017361111111111112</x:v>
      </x:c>
      <x:c r="Q44" s="264" t="n">
        <x:v>0.00017361111111111112</x:v>
      </x:c>
      <x:c r="R44" s="265"/>
      <x:c r="S44" s="265"/>
      <x:c r="T44" s="263" t="b">
        <x:f aca="0">FALSE()</x:f>
        <x:v>0</x:v>
      </x:c>
      <x:c r="U44" s="264" t="n">
        <x:v>0.00017361111111111112</x:v>
      </x:c>
      <x:c r="V44" s="264" t="n">
        <x:v>0.00017361111111111112</x:v>
      </x:c>
      <x:c r="W44" s="265"/>
      <x:c r="X44" s="265"/>
      <x:c r="Y44" s="265"/>
      <x:c r="Z44" s="266" t="b">
        <x:v>0</x:v>
      </x:c>
      <x:c r="AA44" s="267"/>
      <x:c r="AB44" s="266" t="b">
        <x:v>0</x:v>
      </x:c>
      <x:c r="AC44" s="268"/>
      <x:c r="AD44" s="288"/>
      <x:c r="AE44" s="288"/>
      <x:c r="AF44" s="288"/>
      <x:c r="AG44" s="378" t="n">
        <x:f>IF(COUNT(Scoring!X212:X214)&lt;&gt;ROWS(Scoring!X212:X214),"",IF(SUM(Scoring!V212:V214)=0,0,ROUND(SUM(Scoring!X212:X214)/SUM(Scoring!V212:V214),0)))</x:f>
        <x:v>1</x:v>
      </x:c>
      <x:c r="AH44" s="330"/>
      <x:c r="AI44" s="331" t="n">
        <x:f>IF(COUNT(Scoring!H142:H144)&gt;0,MEDIAN(Scoring!H142:H144),"")</x:f>
        <x:v>100</x:v>
      </x:c>
      <x:c r="AJ44" s="331" t="str">
        <x:f>IF(COUNT(Scoring!I142:I144)&gt;0,MEDIAN(Scoring!I142:I144),"")</x:f>
      </x:c>
      <x:c r="AK44" s="341" t="n">
        <x:f>COUNT(Scoring!I142:I144)</x:f>
        <x:v>0</x:v>
      </x:c>
      <x:c r="AL44" s="341" t="n">
        <x:f>COUNT(Scoring!H142:H144)</x:f>
        <x:v>3</x:v>
      </x:c>
    </x:row>
    <x:row r="45" ht="88" hidden="0" customHeight="1">
      <x:c r="A45" s="228" t="n">
        <x:f aca="0">Strategy!$E$3+73</x:f>
        <x:v>46394.5</x:v>
      </x:c>
      <x:c r="B45" s="229" t="s">
        <x:v>57</x:v>
      </x:c>
      <x:c r="C45" s="289" t="str">
        <x:f aca="0">SUBSTITUTE(SUBSTITUTE(SUBSTITUTE("35 min skills"&amp;CHAR(10)&amp;Strategy!I31,", B)",CHAR(10)&amp;"B)"),", C)",CHAR(10)&amp;"C)"),", Core:",CHAR(10)&amp;"Core:")</x:f>
        <x:v>35 min skills
A) Full-ROM wall HSPU: 3 single attempts
B) Pike push-up back-off: 2 x 4
C) Clean pistol: 3 x 2/leg
Core: 5 rounds</x:v>
      </x:c>
      <x:c r="D45" s="229" t="s">
        <x:v>210</x:v>
      </x:c>
      <x:c r="E45" s="229" t="n">
        <x:v>65</x:v>
      </x:c>
      <x:c r="F45" s="256"/>
      <x:c r="G45" s="256" t="s">
        <x:v>207</x:v>
      </x:c>
      <x:c r="H45" s="258" t="b">
        <x:f aca="0">FALSE()</x:f>
        <x:v>0</x:v>
      </x:c>
      <x:c r="I45" s="259" t="n">
        <x:v>1</x:v>
      </x:c>
      <x:c r="J45" s="259" t="n">
        <x:v>1</x:v>
      </x:c>
      <x:c r="K45" s="259" t="n">
        <x:v>1</x:v>
      </x:c>
      <x:c r="L45" s="260"/>
      <x:c r="M45" s="260"/>
      <x:c r="N45" s="258" t="b">
        <x:f aca="0">FALSE()</x:f>
        <x:v>0</x:v>
      </x:c>
      <x:c r="O45" s="259" t="n">
        <x:v>4</x:v>
      </x:c>
      <x:c r="P45" s="259" t="n">
        <x:v>4</x:v>
      </x:c>
      <x:c r="Q45" s="260"/>
      <x:c r="R45" s="260"/>
      <x:c r="S45" s="260"/>
      <x:c r="T45" s="258" t="b">
        <x:f aca="0">FALSE()</x:f>
        <x:v>0</x:v>
      </x:c>
      <x:c r="U45" s="259" t="n">
        <x:v>2</x:v>
      </x:c>
      <x:c r="V45" s="259" t="n">
        <x:v>2</x:v>
      </x:c>
      <x:c r="W45" s="259" t="n">
        <x:v>2</x:v>
      </x:c>
      <x:c r="X45" s="260"/>
      <x:c r="Y45" s="260"/>
      <x:c r="Z45" s="261" t="b">
        <x:v>0</x:v>
      </x:c>
      <x:c r="AA45" s="259" t="n">
        <x:v>5</x:v>
      </x:c>
      <x:c r="AB45" s="382" t="b">
        <x:v>0</x:v>
      </x:c>
      <x:c r="AC45" s="262"/>
      <x:c r="AD45" s="287"/>
      <x:c r="AE45" s="287"/>
      <x:c r="AF45" s="287"/>
      <x:c r="AG45" s="377" t="n">
        <x:f>IF(COUNT(Scoring!X215:X221)&lt;&gt;ROWS(Scoring!X215:X221),"",IF(SUM(Scoring!V215:V221)=0,0,ROUND(SUM(Scoring!X215:X221)/SUM(Scoring!V215:V221),0)))</x:f>
        <x:v>5</x:v>
      </x:c>
      <x:c r="AH45" s="328"/>
      <x:c r="AI45" s="329" t="n">
        <x:f>IF(COUNT(Scoring!H145:H147)&gt;0,MEDIAN(Scoring!H145:H147),"")</x:f>
        <x:v>100</x:v>
      </x:c>
      <x:c r="AJ45" s="329" t="str">
        <x:f>IF(COUNT(Scoring!I145:I147)&gt;0,MEDIAN(Scoring!I145:I147),"")</x:f>
      </x:c>
      <x:c r="AK45" s="340" t="n">
        <x:f>COUNT(Scoring!I145:I147)</x:f>
        <x:v>0</x:v>
      </x:c>
      <x:c r="AL45" s="340" t="n">
        <x:f>COUNT(Scoring!H145:H147)</x:f>
        <x:v>3</x:v>
      </x:c>
    </x:row>
    <x:row r="46" ht="88" hidden="0" customHeight="1">
      <x:c r="A46" s="223" t="n">
        <x:f aca="0">Strategy!$E$3+75</x:f>
        <x:v>46396.5</x:v>
      </x:c>
      <x:c r="B46" s="224" t="s">
        <x:v>61</x:v>
      </x:c>
      <x:c r="C46" s="224" t="s">
        <x:v>211</x:v>
      </x:c>
      <x:c r="D46" s="224" t="s">
        <x:v>212</x:v>
      </x:c>
      <x:c r="E46" s="224" t="n">
        <x:v>20</x:v>
      </x:c>
      <x:c r="F46" s="257"/>
      <x:c r="G46" s="257" t="s">
        <x:v>207</x:v>
      </x:c>
      <x:c r="H46" s="263" t="b">
        <x:f aca="0">FALSE()</x:f>
        <x:v>0</x:v>
      </x:c>
      <x:c r="I46" s="264" t="n">
        <x:v>0.001388888888888889</x:v>
      </x:c>
      <x:c r="J46" s="265"/>
      <x:c r="K46" s="265"/>
      <x:c r="L46" s="265"/>
      <x:c r="M46" s="265"/>
      <x:c r="N46" s="263" t="b">
        <x:f aca="0">FALSE()</x:f>
        <x:v>0</x:v>
      </x:c>
      <x:c r="O46" s="264" t="n">
        <x:v>0.00017361111111111112</x:v>
      </x:c>
      <x:c r="P46" s="264" t="n">
        <x:v>0.00017361111111111112</x:v>
      </x:c>
      <x:c r="Q46" s="264" t="n">
        <x:v>0.00017361111111111112</x:v>
      </x:c>
      <x:c r="R46" s="265"/>
      <x:c r="S46" s="265"/>
      <x:c r="T46" s="263" t="b">
        <x:f aca="0">FALSE()</x:f>
        <x:v>0</x:v>
      </x:c>
      <x:c r="U46" s="264" t="n">
        <x:v>0.00017361111111111112</x:v>
      </x:c>
      <x:c r="V46" s="264" t="n">
        <x:v>0.00017361111111111112</x:v>
      </x:c>
      <x:c r="W46" s="264" t="n">
        <x:v>0.00017361111111111112</x:v>
      </x:c>
      <x:c r="X46" s="265"/>
      <x:c r="Y46" s="265"/>
      <x:c r="Z46" s="266" t="b">
        <x:v>0</x:v>
      </x:c>
      <x:c r="AA46" s="267"/>
      <x:c r="AB46" s="266" t="b">
        <x:v>0</x:v>
      </x:c>
      <x:c r="AC46" s="268"/>
      <x:c r="AD46" s="288"/>
      <x:c r="AE46" s="288"/>
      <x:c r="AF46" s="288"/>
      <x:c r="AG46" s="378" t="n">
        <x:f>IF(COUNT(Scoring!X222:X224)&lt;&gt;ROWS(Scoring!X222:X224),"",IF(SUM(Scoring!V222:V224)=0,0,ROUND(SUM(Scoring!X222:X224)/SUM(Scoring!V222:V224),0)))</x:f>
        <x:v>1</x:v>
      </x:c>
      <x:c r="AH46" s="330"/>
      <x:c r="AI46" s="331" t="n">
        <x:f>IF(COUNT(Scoring!H148:H150)&gt;0,MEDIAN(Scoring!H148:H150),"")</x:f>
        <x:v>100</x:v>
      </x:c>
      <x:c r="AJ46" s="331" t="str">
        <x:f>IF(COUNT(Scoring!I148:I150)&gt;0,MEDIAN(Scoring!I148:I150),"")</x:f>
      </x:c>
      <x:c r="AK46" s="341" t="n">
        <x:f>COUNT(Scoring!I148:I150)</x:f>
        <x:v>0</x:v>
      </x:c>
      <x:c r="AL46" s="341" t="n">
        <x:f>COUNT(Scoring!H148:H150)</x:f>
        <x:v>3</x:v>
      </x:c>
    </x:row>
    <x:row r="47" ht="88" hidden="0" customHeight="1">
      <x:c r="A47" s="228" t="n">
        <x:f aca="0">Strategy!$E$3+77</x:f>
        <x:v>46398.5</x:v>
      </x:c>
      <x:c r="B47" s="229" t="s">
        <x:v>53</x:v>
      </x:c>
      <x:c r="C47" s="289" t="str">
        <x:f aca="0">SUBSTITUTE(SUBSTITUTE(SUBSTITUTE("10 min skills"&amp;CHAR(10)&amp;Strategy!H32,", B)",CHAR(10)&amp;"B)"),", C)",CHAR(10)&amp;"C)"),", Core:",CHAR(10)&amp;"Core:")</x:f>
        <x:v>10 min skills
A) Muscle-up test: up to 3 rested singles
B) Pistol test: 1 clean set/leg (cap at 5)
C) Easy scapular pull-up: 1 x 5 if time remains
Core: 2 rounds</x:v>
      </x:c>
      <x:c r="D47" s="229" t="s">
        <x:v>206</x:v>
      </x:c>
      <x:c r="E47" s="229" t="n">
        <x:v>30</x:v>
      </x:c>
      <x:c r="F47" s="256"/>
      <x:c r="G47" s="256" t="s">
        <x:v>207</x:v>
      </x:c>
      <x:c r="H47" s="258" t="b">
        <x:f aca="0">FALSE()</x:f>
        <x:v>0</x:v>
      </x:c>
      <x:c r="I47" s="259" t="n">
        <x:v>1</x:v>
      </x:c>
      <x:c r="J47" s="259" t="n">
        <x:v>1</x:v>
      </x:c>
      <x:c r="K47" s="259" t="n">
        <x:v>1</x:v>
      </x:c>
      <x:c r="L47" s="260"/>
      <x:c r="M47" s="260"/>
      <x:c r="N47" s="258" t="b">
        <x:f aca="0">FALSE()</x:f>
        <x:v>0</x:v>
      </x:c>
      <x:c r="O47" s="259" t="n">
        <x:v>5</x:v>
      </x:c>
      <x:c r="P47" s="260"/>
      <x:c r="Q47" s="260"/>
      <x:c r="R47" s="260"/>
      <x:c r="S47" s="260"/>
      <x:c r="T47" s="258" t="b">
        <x:f aca="0">FALSE()</x:f>
        <x:v>0</x:v>
      </x:c>
      <x:c r="U47" s="259" t="n">
        <x:v>5</x:v>
      </x:c>
      <x:c r="V47" s="260"/>
      <x:c r="W47" s="260"/>
      <x:c r="X47" s="260"/>
      <x:c r="Y47" s="260"/>
      <x:c r="Z47" s="261" t="b">
        <x:v>0</x:v>
      </x:c>
      <x:c r="AA47" s="259" t="n">
        <x:v>2</x:v>
      </x:c>
      <x:c r="AB47" s="382" t="b">
        <x:v>0</x:v>
      </x:c>
      <x:c r="AC47" s="262"/>
      <x:c r="AD47" s="287"/>
      <x:c r="AE47" s="287"/>
      <x:c r="AF47" s="287"/>
      <x:c r="AG47" s="377" t="n">
        <x:f>IF(COUNT(Scoring!X225:X231)&lt;&gt;ROWS(Scoring!X225:X231),"",IF(SUM(Scoring!V225:V231)=0,0,ROUND(SUM(Scoring!X225:X231)/SUM(Scoring!V225:V231),0)))</x:f>
        <x:v>5</x:v>
      </x:c>
      <x:c r="AH47" s="328"/>
      <x:c r="AI47" s="329" t="n">
        <x:f>IF(COUNT(Scoring!H151:H151)&gt;0,MEDIAN(Scoring!H151:H151),"")</x:f>
        <x:v>100</x:v>
      </x:c>
      <x:c r="AJ47" s="329" t="str">
        <x:f>IF(COUNT(Scoring!I151:I151)&gt;0,MEDIAN(Scoring!I151:I151),"")</x:f>
      </x:c>
      <x:c r="AK47" s="340" t="n">
        <x:f>COUNT(Scoring!I151:I151)</x:f>
        <x:v>0</x:v>
      </x:c>
      <x:c r="AL47" s="340" t="n">
        <x:f>COUNT(Scoring!H151:H151)</x:f>
        <x:v>1</x:v>
      </x:c>
    </x:row>
    <x:row r="48" ht="88" hidden="0" customHeight="1">
      <x:c r="A48" s="223" t="n">
        <x:f aca="0">Strategy!$E$3+78</x:f>
        <x:v>46399.5</x:v>
      </x:c>
      <x:c r="B48" s="224" t="s">
        <x:v>61</x:v>
      </x:c>
      <x:c r="C48" s="224" t="s">
        <x:v>213</x:v>
      </x:c>
      <x:c r="D48" s="224" t="s">
        <x:v>209</x:v>
      </x:c>
      <x:c r="E48" s="224" t="n">
        <x:v>5</x:v>
      </x:c>
      <x:c r="F48" s="257"/>
      <x:c r="G48" s="257" t="s">
        <x:v>207</x:v>
      </x:c>
      <x:c r="H48" s="263" t="b">
        <x:f aca="0">FALSE()</x:f>
        <x:v>0</x:v>
      </x:c>
      <x:c r="I48" s="264" t="n">
        <x:v>0.0006944444444444445</x:v>
      </x:c>
      <x:c r="J48" s="265"/>
      <x:c r="K48" s="265"/>
      <x:c r="L48" s="265"/>
      <x:c r="M48" s="265"/>
      <x:c r="N48" s="263" t="b">
        <x:f aca="0">FALSE()</x:f>
        <x:v>0</x:v>
      </x:c>
      <x:c r="O48" s="264" t="n">
        <x:v>0.00011574074074074075</x:v>
      </x:c>
      <x:c r="P48" s="264" t="n">
        <x:v>0.00011574074074074075</x:v>
      </x:c>
      <x:c r="Q48" s="265"/>
      <x:c r="R48" s="265"/>
      <x:c r="S48" s="265"/>
      <x:c r="T48" s="263" t="b">
        <x:f aca="0">FALSE()</x:f>
        <x:v>0</x:v>
      </x:c>
      <x:c r="U48" s="264" t="n">
        <x:v>0.00011574074074074075</x:v>
      </x:c>
      <x:c r="V48" s="265"/>
      <x:c r="W48" s="265"/>
      <x:c r="X48" s="265"/>
      <x:c r="Y48" s="265"/>
      <x:c r="Z48" s="266" t="b">
        <x:v>0</x:v>
      </x:c>
      <x:c r="AA48" s="267"/>
      <x:c r="AB48" s="266" t="b">
        <x:v>0</x:v>
      </x:c>
      <x:c r="AC48" s="268"/>
      <x:c r="AD48" s="288"/>
      <x:c r="AE48" s="288"/>
      <x:c r="AF48" s="288"/>
      <x:c r="AG48" s="378" t="n">
        <x:f>IF(COUNT(Scoring!X232:X234)&lt;&gt;ROWS(Scoring!X232:X234),"",IF(SUM(Scoring!V232:V234)=0,0,ROUND(SUM(Scoring!X232:X234)/SUM(Scoring!V232:V234),0)))</x:f>
        <x:v>1</x:v>
      </x:c>
      <x:c r="AH48" s="330"/>
      <x:c r="AI48" s="331" t="n">
        <x:f>IF(COUNT(Scoring!H152:H154)&gt;0,MEDIAN(Scoring!H152:H154),"")</x:f>
        <x:v>100</x:v>
      </x:c>
      <x:c r="AJ48" s="331" t="str">
        <x:f>IF(COUNT(Scoring!I152:I154)&gt;0,MEDIAN(Scoring!I152:I154),"")</x:f>
      </x:c>
      <x:c r="AK48" s="341" t="n">
        <x:f>COUNT(Scoring!I152:I154)</x:f>
        <x:v>0</x:v>
      </x:c>
      <x:c r="AL48" s="341" t="n">
        <x:f>COUNT(Scoring!H152:H154)</x:f>
        <x:v>3</x:v>
      </x:c>
    </x:row>
    <x:row r="49" ht="88" hidden="0" customHeight="1">
      <x:c r="A49" s="228" t="n">
        <x:f aca="0">Strategy!$E$3+80</x:f>
        <x:v>46401.5</x:v>
      </x:c>
      <x:c r="B49" s="229" t="s">
        <x:v>57</x:v>
      </x:c>
      <x:c r="C49" s="289" t="str">
        <x:f aca="0">SUBSTITUTE(SUBSTITUTE(SUBSTITUTE("10 min skills"&amp;CHAR(10)&amp;Strategy!I32,", B)",CHAR(10)&amp;"B)"),", C)",CHAR(10)&amp;"C)"),", Core:",CHAR(10)&amp;"Core:")</x:f>
        <x:v>10 min skills
A) Wall HSPU test: 1 clean set (cap at 5)
B) Easy wall handstand: 1 x 15 sec
C) Gentle wrist/shoulder mobility: 2 min
Core: 2 rounds</x:v>
      </x:c>
      <x:c r="D49" s="229" t="s">
        <x:v>214</x:v>
      </x:c>
      <x:c r="E49" s="229" t="n">
        <x:v>30</x:v>
      </x:c>
      <x:c r="F49" s="256"/>
      <x:c r="G49" s="256" t="s">
        <x:v>207</x:v>
      </x:c>
      <x:c r="H49" s="258" t="b">
        <x:f aca="0">FALSE()</x:f>
        <x:v>0</x:v>
      </x:c>
      <x:c r="I49" s="259" t="n">
        <x:v>5</x:v>
      </x:c>
      <x:c r="J49" s="260"/>
      <x:c r="K49" s="260"/>
      <x:c r="L49" s="260"/>
      <x:c r="M49" s="260"/>
      <x:c r="N49" s="258" t="b">
        <x:f aca="0">FALSE()</x:f>
        <x:v>0</x:v>
      </x:c>
      <x:c r="O49" s="269" t="n">
        <x:v>0.00017361111111111112</x:v>
      </x:c>
      <x:c r="P49" s="260"/>
      <x:c r="Q49" s="260"/>
      <x:c r="R49" s="260"/>
      <x:c r="S49" s="260"/>
      <x:c r="T49" s="258" t="b">
        <x:f aca="0">FALSE()</x:f>
        <x:v>0</x:v>
      </x:c>
      <x:c r="U49" s="269" t="n">
        <x:v>0.001388888888888889</x:v>
      </x:c>
      <x:c r="V49" s="260"/>
      <x:c r="W49" s="260"/>
      <x:c r="X49" s="260"/>
      <x:c r="Y49" s="260"/>
      <x:c r="Z49" s="261" t="b">
        <x:v>0</x:v>
      </x:c>
      <x:c r="AA49" s="259" t="n">
        <x:v>2</x:v>
      </x:c>
      <x:c r="AB49" s="382" t="b">
        <x:v>0</x:v>
      </x:c>
      <x:c r="AC49" s="262"/>
      <x:c r="AD49" s="287"/>
      <x:c r="AE49" s="287"/>
      <x:c r="AF49" s="287"/>
      <x:c r="AG49" s="377" t="n">
        <x:f>IF(COUNT(Scoring!X235:X241)&lt;&gt;ROWS(Scoring!X235:X241),"",IF(SUM(Scoring!V235:V241)=0,0,ROUND(SUM(Scoring!X235:X241)/SUM(Scoring!V235:V241),0)))</x:f>
        <x:v>4</x:v>
      </x:c>
      <x:c r="AH49" s="328"/>
      <x:c r="AI49" s="329" t="n">
        <x:f>IF(COUNT(Scoring!H155:H157)&gt;0,MEDIAN(Scoring!H155:H157),"")</x:f>
        <x:v>100</x:v>
      </x:c>
      <x:c r="AJ49" s="329" t="str">
        <x:f>IF(COUNT(Scoring!I155:I157)&gt;0,MEDIAN(Scoring!I155:I157),"")</x:f>
      </x:c>
      <x:c r="AK49" s="340" t="n">
        <x:f>COUNT(Scoring!I155:I157)</x:f>
        <x:v>0</x:v>
      </x:c>
      <x:c r="AL49" s="340" t="n">
        <x:f>COUNT(Scoring!H155:H157)</x:f>
        <x:v>3</x:v>
      </x:c>
    </x:row>
    <x:row r="50" ht="88" hidden="0" customHeight="1">
      <x:c r="A50" s="223" t="n">
        <x:f aca="0">Strategy!$E$3+82</x:f>
        <x:v>46403.5</x:v>
      </x:c>
      <x:c r="B50" s="224" t="s">
        <x:v>61</x:v>
      </x:c>
      <x:c r="C50" s="224" t="s">
        <x:v>215</x:v>
      </x:c>
      <x:c r="D50" s="224" t="s">
        <x:v>212</x:v>
      </x:c>
      <x:c r="E50" s="224" t="n">
        <x:v>10</x:v>
      </x:c>
      <x:c r="F50" s="257"/>
      <x:c r="G50" s="257" t="s">
        <x:v>207</x:v>
      </x:c>
      <x:c r="H50" s="263" t="b">
        <x:f aca="0">FALSE()</x:f>
        <x:v>0</x:v>
      </x:c>
      <x:c r="I50" s="264" t="n">
        <x:v>0.0006944444444444445</x:v>
      </x:c>
      <x:c r="J50" s="265"/>
      <x:c r="K50" s="265"/>
      <x:c r="L50" s="265"/>
      <x:c r="M50" s="265"/>
      <x:c r="N50" s="263" t="b">
        <x:f aca="0">FALSE()</x:f>
        <x:v>0</x:v>
      </x:c>
      <x:c r="O50" s="264" t="n">
        <x:v>0.00011574074074074075</x:v>
      </x:c>
      <x:c r="P50" s="264" t="n">
        <x:v>0.00011574074074074075</x:v>
      </x:c>
      <x:c r="Q50" s="265"/>
      <x:c r="R50" s="265"/>
      <x:c r="S50" s="265"/>
      <x:c r="T50" s="263" t="b">
        <x:f aca="0">FALSE()</x:f>
        <x:v>0</x:v>
      </x:c>
      <x:c r="U50" s="264" t="n">
        <x:v>0.00011574074074074075</x:v>
      </x:c>
      <x:c r="V50" s="265"/>
      <x:c r="W50" s="265"/>
      <x:c r="X50" s="265"/>
      <x:c r="Y50" s="265"/>
      <x:c r="Z50" s="266" t="b">
        <x:v>0</x:v>
      </x:c>
      <x:c r="AA50" s="267"/>
      <x:c r="AB50" s="266" t="b">
        <x:v>0</x:v>
      </x:c>
      <x:c r="AC50" s="268"/>
      <x:c r="AD50" s="288"/>
      <x:c r="AE50" s="288"/>
      <x:c r="AF50" s="288"/>
      <x:c r="AG50" s="378" t="n">
        <x:f>IF(COUNT(Scoring!X242:X244)&lt;&gt;ROWS(Scoring!X242:X244),"",IF(SUM(Scoring!V242:V244)=0,0,ROUND(SUM(Scoring!X242:X244)/SUM(Scoring!V242:V244),0)))</x:f>
        <x:v>1</x:v>
      </x:c>
      <x:c r="AH50" s="330"/>
      <x:c r="AI50" s="331" t="n">
        <x:f>IF(COUNT(Scoring!H158:H160)&gt;0,MEDIAN(Scoring!H158:H160),"")</x:f>
        <x:v>100</x:v>
      </x:c>
      <x:c r="AJ50" s="331" t="str">
        <x:f>IF(COUNT(Scoring!I158:I160)&gt;0,MEDIAN(Scoring!I158:I160),"")</x:f>
      </x:c>
      <x:c r="AK50" s="341" t="n">
        <x:f>COUNT(Scoring!I158:I160)</x:f>
        <x:v>0</x:v>
      </x:c>
      <x:c r="AL50" s="341" t="n">
        <x:f>COUNT(Scoring!H158:H160)</x:f>
        <x:v>3</x:v>
      </x:c>
    </x:row>
  </x:sheetData>
  <x:mergeCells>
    <x:mergeCell ref="H1:M1"/>
    <x:mergeCell ref="N1:S1"/>
    <x:mergeCell ref="T1:Y1"/>
    <x:mergeCell ref="Z1:AA1"/>
    <x:mergeCell ref="A1:G1"/>
    <x:mergeCell ref="AG1:AL1"/>
    <x:mergeCell ref="AB1:AF1"/>
  </x:mergeCells>
  <x:conditionalFormatting sqref="G2:G49">
    <x:cfRule type="containsText" dxfId="4" priority="2" aboveAverage="0" percent="0" bottom="0" operator="containsText" text="completed" rank="0" equalAverage="0">
      <x:formula>NOT(ISERROR(SEARCH("completed",G2)))</x:formula>
    </x:cfRule>
  </x:conditionalFormatting>
  <x:conditionalFormatting sqref="H3:H50">
    <x:cfRule type="expression" dxfId="5" priority="3">
      <x:formula>OR(H3=TRUE,H3="TRUE")</x:formula>
    </x:cfRule>
    <x:cfRule type="expression" dxfId="11" priority="8">
      <x:formula>$AB3=TRUE</x:formula>
    </x:cfRule>
  </x:conditionalFormatting>
  <x:conditionalFormatting sqref="N3:N50">
    <x:cfRule type="expression" dxfId="6" priority="4">
      <x:formula>OR(N3=TRUE,N3="TRUE")</x:formula>
    </x:cfRule>
    <x:cfRule type="expression" dxfId="12" priority="9">
      <x:formula>$AB3=TRUE</x:formula>
    </x:cfRule>
  </x:conditionalFormatting>
  <x:conditionalFormatting sqref="T3:T50">
    <x:cfRule type="expression" dxfId="7" priority="5">
      <x:formula>OR(T3=TRUE,T3="TRUE")</x:formula>
    </x:cfRule>
    <x:cfRule type="expression" dxfId="13" priority="10">
      <x:formula>$AB3=TRUE</x:formula>
    </x:cfRule>
  </x:conditionalFormatting>
  <x:conditionalFormatting sqref="Z3:Z50">
    <x:cfRule type="expression" dxfId="8" priority="6">
      <x:formula>OR(Z3=TRUE,Z3="TRUE")</x:formula>
    </x:cfRule>
    <x:cfRule type="expression" dxfId="14" priority="11">
      <x:formula>$AB3=TRUE</x:formula>
    </x:cfRule>
  </x:conditionalFormatting>
  <x:conditionalFormatting sqref="AB3:AB50">
    <x:cfRule type="expression" dxfId="10" priority="7">
      <x:formula>AB3=TRUE</x:formula>
    </x:cfRule>
  </x:conditionalFormatting>
  <x:dataValidations count="10">
    <x:dataValidation type="list" errorStyle="stop" operator="between" allowBlank="0" showDropDown="0" showInputMessage="0" showErrorMessage="0" sqref="G3:G49">
      <x:formula1>"planned,in-progress,completed,incomplete,skipped,cancelled"</x:formula1>
      <x:formula2>0</x:formula2>
    </x:dataValidation>
    <x:dataValidation type="list" errorStyle="stop" operator="between" allowBlank="0" showDropDown="0" showInputMessage="0" showErrorMessage="0" sqref="B3:B133">
      <x:formula1>"A,B,Technique,Core,Empty"</x:formula1>
      <x:formula2>0</x:formula2>
    </x:dataValidation>
    <x:dataValidation type="list" sqref="H3:H50">
      <x:formula1>"TRUE,FALSE"</x:formula1>
    </x:dataValidation>
    <x:dataValidation type="list" sqref="N3:N50">
      <x:formula1>"TRUE,FALSE"</x:formula1>
    </x:dataValidation>
    <x:dataValidation type="list" sqref="T3:T50">
      <x:formula1>"TRUE,FALSE"</x:formula1>
    </x:dataValidation>
    <x:dataValidation type="list" sqref="Z3:Z50">
      <x:formula1>"TRUE,FALSE"</x:formula1>
    </x:dataValidation>
    <x:dataValidation type="whole" operator="between" sqref="AA3:AA50">
      <x:formula1>0</x:formula1>
      <x:formula2>100</x:formula2>
    </x:dataValidation>
    <x:dataValidation type="whole" operator="between" sqref="AH3:AH50">
      <x:formula1>1</x:formula1>
      <x:formula2>5</x:formula2>
    </x:dataValidation>
    <x:dataValidation type="whole" operator="between" sqref="AG3:AG50">
      <x:formula1>0</x:formula1>
      <x:formula2>10</x:formula2>
    </x:dataValidation>
    <x:dataValidation type="list" sqref="AB3:AB50">
      <x:formula1>"TRUE,FALSE"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596E6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2" max="12" width="95" hidden="0" customWidth="1"/>
    <x:col min="1" max="1" width="14" hidden="0" customWidth="1"/>
    <x:col min="2" max="2" width="31" hidden="0" customWidth="1"/>
    <x:col min="3" max="3" width="47" hidden="0" customWidth="1"/>
    <x:col min="4" max="4" width="14" hidden="0" customWidth="1"/>
    <x:col min="5" max="5" width="10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3" hidden="0" customWidth="1"/>
    <x:col min="14" max="14" width="27" hidden="0" customWidth="1"/>
    <x:col min="15" max="15" width="26" hidden="0" customWidth="1"/>
    <x:col min="16" max="16" width="42" hidden="0" customWidth="1"/>
    <x:col min="17" max="17" width="13" hidden="0" customWidth="1"/>
    <x:col min="18" max="18" width="12" hidden="0" customWidth="1"/>
    <x:col min="19" max="19" width="14" hidden="0" customWidth="1"/>
    <x:col min="20" max="20" width="13" hidden="0" customWidth="1"/>
    <x:col min="21" max="21" width="13" hidden="0" customWidth="1"/>
    <x:col min="22" max="22" width="15" hidden="0" customWidth="1"/>
    <x:col min="23" max="23" width="14" hidden="0" customWidth="1"/>
    <x:col min="24" max="24" width="14" hidden="0" customWidth="1"/>
    <x:col min="25" max="25" width="66" hidden="0" customWidth="1"/>
  </x:cols>
  <x:sheetData>
    <x:row r="1">
      <x:c r="N1" t="str">
        <x:v>Seconds per rep equivalent</x:v>
      </x:c>
      <x:c r="O1" s="387" t="n">
        <x:v>3</x:v>
      </x:c>
      <x:c r="P1" t="str">
        <x:v>Weighting assumption: one rep equals this many seconds; per-leg reps count both legs.</x:v>
      </x:c>
    </x:row>
    <x:row r="2">
      <x:c r="A2" s="308" t="str">
        <x:v>Daily performance scoring</x:v>
      </x:c>
      <x:c r="B2" s="308"/>
      <x:c r="C2" s="308"/>
      <x:c r="D2" s="308"/>
      <x:c r="E2" s="308"/>
      <x:c r="F2" s="308"/>
      <x:c r="G2" s="308"/>
      <x:c r="H2" s="308"/>
      <x:c r="I2" s="308"/>
      <x:c r="J2" s="308"/>
      <x:c r="N2" s="353" t="str">
        <x:v>Planned intensity (0–10)</x:v>
      </x:c>
      <x:c r="O2" s="353"/>
      <x:c r="P2" s="353"/>
      <x:c r="Q2" s="353"/>
      <x:c r="R2" s="353"/>
      <x:c r="S2" s="353"/>
      <x:c r="T2" s="353"/>
      <x:c r="U2" s="353"/>
      <x:c r="V2" s="353"/>
      <x:c r="W2" s="353"/>
      <x:c r="X2" s="353"/>
    </x:row>
    <x:row r="3">
      <x:c r="N3" t="str">
        <x:v>Intensity = volume-weighted average of exercise base values (0–10). Edit planned sets and amounts when changing the plan.</x:v>
      </x:c>
    </x:row>
    <x:row r="4" ht="40" customHeight="1">
      <x:c r="A4" s="317" t="str">
        <x:v>Date</x:v>
      </x:c>
      <x:c r="B4" s="317" t="str">
        <x:v>Session</x:v>
      </x:c>
      <x:c r="C4" s="317" t="str">
        <x:v>Exercise</x:v>
      </x:c>
      <x:c r="D4" s="317" t="str">
        <x:v>Unit</x:v>
      </x:c>
      <x:c r="E4" s="317" t="str">
        <x:v>Include</x:v>
      </x:c>
      <x:c r="F4" s="317" t="str">
        <x:v>Target</x:v>
      </x:c>
      <x:c r="G4" s="317" t="str">
        <x:v>Actual</x:v>
      </x:c>
      <x:c r="H4" s="317" t="str">
        <x:v>Expected score</x:v>
      </x:c>
      <x:c r="I4" s="317" t="str">
        <x:v>Actual score</x:v>
      </x:c>
      <x:c r="J4" s="317" t="str">
        <x:v>Direction</x:v>
      </x:c>
      <x:c r="L4" s="310" t="str">
        <x:v>How scoring works</x:v>
      </x:c>
      <x:c r="N4" s="356" t="str">
        <x:v>Date</x:v>
      </x:c>
      <x:c r="O4" s="356" t="str">
        <x:v>Session</x:v>
      </x:c>
      <x:c r="P4" s="356" t="str">
        <x:v>Exercise</x:v>
      </x:c>
      <x:c r="Q4" s="356" t="str">
        <x:v>Unit</x:v>
      </x:c>
      <x:c r="R4" s="356" t="str">
        <x:v>Planned sets</x:v>
      </x:c>
      <x:c r="S4" s="356" t="str">
        <x:v>Amount per set</x:v>
      </x:c>
      <x:c r="T4" s="356" t="str">
        <x:v>Base intensity</x:v>
      </x:c>
      <x:c r="U4" s="356" t="str">
        <x:v>Planned amount total</x:v>
      </x:c>
      <x:c r="V4" s="356" t="str">
        <x:v>Volume weight</x:v>
      </x:c>
      <x:c r="W4" s="356" t="str">
        <x:v>Arsenal unit</x:v>
      </x:c>
      <x:c r="X4" s="356" t="str">
        <x:v>Contribution</x:v>
      </x:c>
      <x:c r="Y4" s="356" t="str">
        <x:v>Prescription note</x:v>
      </x:c>
    </x:row>
    <x:row r="5" ht="15" hidden="0" customHeight="1">
      <x:c r="A5" s="326" t="n">
        <x:f>Daily!A3</x:f>
        <x:v>46321.5</x:v>
      </x:c>
      <x:c r="B5" s="318" t="str">
        <x:f>Daily!D3</x:f>
        <x:v>Skill A + interval circuit</x:v>
      </x:c>
      <x:c r="C5" s="318" t="str">
        <x:v>A · Scapular pull-up</x:v>
      </x:c>
      <x:c r="D5" s="318" t="str">
        <x:v>reps</x:v>
      </x:c>
      <x:c r="E5" s="320" t="b">
        <x:v>1</x:v>
      </x:c>
      <x:c r="F5" s="328" t="n">
        <x:v>15</x:v>
      </x:c>
      <x:c r="G5" s="329" t="str">
        <x:f>IF(AND(OR(Daily!H3=TRUE,Daily!AB3=TRUE),COUNT(Daily!I3,Daily!J3,Daily!K3)&gt;0),SUM(Daily!I3,Daily!J3,Daily!K3),"")</x:f>
      </x:c>
      <x:c r="H5" s="329" t="n">
        <x:f>IF(AND(E5=TRUE,ISNUMBER(F5),F5&gt;0),100,"")</x:f>
        <x:v>100</x:v>
      </x:c>
      <x:c r="I5" s="329" t="str">
        <x:f>IF(AND(ISNUMBER(H5),ISNUMBER(G5)),IF(J5="lower",IF(G5&gt;0,100*F5/G5,""),100*G5/F5),"")</x:f>
      </x:c>
      <x:c r="J5" s="321" t="str">
        <x:v>higher</x:v>
      </x:c>
      <x:c r="L5" s="309" t="str">
        <x:v>Daily performance = median of included metric scores; 100 meets target.</x:v>
      </x:c>
      <x:c r="N5" s="363" t="n">
        <x:f>Daily!A3</x:f>
        <x:v>46321.5</x:v>
      </x:c>
      <x:c r="O5" s="359" t="str">
        <x:f>Daily!D3</x:f>
        <x:v>Skill A + interval circuit</x:v>
      </x:c>
      <x:c r="P5" s="371" t="str">
        <x:v>Scapular pull-up</x:v>
      </x:c>
      <x:c r="Q5" s="360" t="str">
        <x:v>reps</x:v>
      </x:c>
      <x:c r="R5" s="365" t="n">
        <x:v>3</x:v>
      </x:c>
      <x:c r="S5" s="365" t="n">
        <x:v>5</x:v>
      </x:c>
      <x:c r="T5" s="366" t="n">
        <x:f>IF(OR(COUNTIFS(Strategy!$B$36:$B$90,P5)&lt;&gt;1,COUNTIFS(Strategy!$B$36:$B$90,P5,Strategy!$C$36:$C$90,"&lt;&gt;")&lt;&gt;1),"",INDEX(Strategy!$C$36:$C$90,MATCH(P5,Strategy!$B$36:$B$90,0)))</x:f>
        <x:v>2</x:v>
      </x:c>
      <x:c r="U5" s="366" t="n">
        <x:f>IF(OR(COUNT(R5:S5)&lt;&gt;2,R5&lt;0,R5&lt;&gt;INT(R5),S5&lt;=0),"",R5*S5)</x:f>
        <x:v>15</x:v>
      </x:c>
      <x:c r="V5" s="388" t="n">
        <x:f>IF(OR(NOT(ISNUMBER(U5)),NOT(ISNUMBER($O$1)),$O$1&lt;=0),"",IF(Q5="seconds",U5/$O$1,IF(Q5="reps/leg",2*U5,IF(Q5="reps",U5,""))))</x:f>
        <x:v>15</x:v>
      </x:c>
      <x:c r="W5" s="359" t="str">
        <x:f>IF(OR(COUNTIFS(Strategy!$B$36:$B$90,P5)&lt;&gt;1,COUNTIFS(Strategy!$B$36:$B$90,P5,Strategy!$D$36:$D$90,"&lt;&gt;")&lt;&gt;1),"",INDEX(Strategy!$D$36:$D$90,MATCH(P5,Strategy!$B$36:$B$90,0)))</x:f>
        <x:v>reps</x:v>
      </x:c>
      <x:c r="X5" s="369" t="n">
        <x:f>IF(OR(COUNT(T5:V5)&lt;&gt;3,Q5&lt;&gt;W5,T5&lt;0,T5&gt;10),"",T5*V5)</x:f>
        <x:v>30</x:v>
      </x:c>
      <x:c r="Y5" s="373" t="str"/>
    </x:row>
    <x:row r="6" ht="15" hidden="0" customHeight="1">
      <x:c r="A6" s="327" t="n">
        <x:f>Daily!A3</x:f>
        <x:v>46321.5</x:v>
      </x:c>
      <x:c r="B6" s="322" t="str">
        <x:f>Daily!D3</x:f>
        <x:v>Skill A + interval circuit</x:v>
      </x:c>
      <x:c r="C6" s="322" t="str">
        <x:v>B · High pull (chest-to-bar intent)</x:v>
      </x:c>
      <x:c r="D6" s="322" t="str">
        <x:v>reps</x:v>
      </x:c>
      <x:c r="E6" s="324" t="b">
        <x:v>1</x:v>
      </x:c>
      <x:c r="F6" s="330" t="n">
        <x:v>9</x:v>
      </x:c>
      <x:c r="G6" s="331" t="str">
        <x:f>IF(AND(OR(Daily!N3=TRUE,Daily!AB3=TRUE),COUNT(Daily!O3,Daily!P3,Daily!Q3)&gt;0),SUM(Daily!O3,Daily!P3,Daily!Q3),"")</x:f>
      </x:c>
      <x:c r="H6" s="331" t="n">
        <x:f>IF(AND(E6=TRUE,ISNUMBER(F6),F6&gt;0),100,"")</x:f>
        <x:v>100</x:v>
      </x:c>
      <x:c r="I6" s="331" t="str">
        <x:f>IF(AND(ISNUMBER(H6),ISNUMBER(G6)),IF(J6="lower",IF(G6&gt;0,100*F6/G6,""),100*G6/F6),"")</x:f>
      </x:c>
      <x:c r="J6" s="325" t="str">
        <x:v>higher</x:v>
      </x:c>
      <x:c r="L6" s="309" t="str">
        <x:v>Targets here are explicit score inputs. Update them when changing the plan.</x:v>
      </x:c>
      <x:c r="N6" s="364" t="n">
        <x:f>Daily!A3</x:f>
        <x:v>46321.5</x:v>
      </x:c>
      <x:c r="O6" s="361" t="str">
        <x:f>Daily!D3</x:f>
        <x:v>Skill A + interval circuit</x:v>
      </x:c>
      <x:c r="P6" s="372" t="str">
        <x:v>High pull (chest-to-bar intent)</x:v>
      </x:c>
      <x:c r="Q6" s="362" t="str">
        <x:v>reps</x:v>
      </x:c>
      <x:c r="R6" s="367" t="n">
        <x:v>3</x:v>
      </x:c>
      <x:c r="S6" s="367" t="n">
        <x:v>3</x:v>
      </x:c>
      <x:c r="T6" s="368" t="n">
        <x:f>IF(OR(COUNTIFS(Strategy!$B$36:$B$90,P6)&lt;&gt;1,COUNTIFS(Strategy!$B$36:$B$90,P6,Strategy!$C$36:$C$90,"&lt;&gt;")&lt;&gt;1),"",INDEX(Strategy!$C$36:$C$90,MATCH(P6,Strategy!$B$36:$B$90,0)))</x:f>
        <x:v>6</x:v>
      </x:c>
      <x:c r="U6" s="368" t="n">
        <x:f>IF(OR(COUNT(R6:S6)&lt;&gt;2,R6&lt;0,R6&lt;&gt;INT(R6),S6&lt;=0),"",R6*S6)</x:f>
        <x:v>9</x:v>
      </x:c>
      <x:c r="V6" s="389" t="n">
        <x:f>IF(OR(NOT(ISNUMBER(U6)),NOT(ISNUMBER($O$1)),$O$1&lt;=0),"",IF(Q6="seconds",U6/$O$1,IF(Q6="reps/leg",2*U6,IF(Q6="reps",U6,""))))</x:f>
        <x:v>9</x:v>
      </x:c>
      <x:c r="W6" s="361" t="str">
        <x:f>IF(OR(COUNTIFS(Strategy!$B$36:$B$90,P6)&lt;&gt;1,COUNTIFS(Strategy!$B$36:$B$90,P6,Strategy!$D$36:$D$90,"&lt;&gt;")&lt;&gt;1),"",INDEX(Strategy!$D$36:$D$90,MATCH(P6,Strategy!$B$36:$B$90,0)))</x:f>
        <x:v>reps</x:v>
      </x:c>
      <x:c r="X6" s="370" t="n">
        <x:f>IF(OR(COUNT(T6:V6)&lt;&gt;3,Q6&lt;&gt;W6,T6&lt;0,T6&gt;10),"",T6*V6)</x:f>
        <x:v>54</x:v>
      </x:c>
      <x:c r="Y6" s="374" t="str"/>
    </x:row>
    <x:row r="7" ht="15" hidden="0" customHeight="1">
      <x:c r="A7" s="326" t="n">
        <x:f>Daily!A3</x:f>
        <x:v>46321.5</x:v>
      </x:c>
      <x:c r="B7" s="318" t="str">
        <x:f>Daily!D3</x:f>
        <x:v>Skill A + interval circuit</x:v>
      </x:c>
      <x:c r="C7" s="318" t="str">
        <x:v>C · Box pistol</x:v>
      </x:c>
      <x:c r="D7" s="318" t="str">
        <x:v>reps/leg</x:v>
      </x:c>
      <x:c r="E7" s="320" t="b">
        <x:v>1</x:v>
      </x:c>
      <x:c r="F7" s="328" t="n">
        <x:v>15</x:v>
      </x:c>
      <x:c r="G7" s="329" t="str">
        <x:f>IF(AND(OR(Daily!T3=TRUE,Daily!AB3=TRUE),COUNT(Daily!U3,Daily!V3,Daily!W3)&gt;0),SUM(Daily!U3,Daily!V3,Daily!W3),"")</x:f>
      </x:c>
      <x:c r="H7" s="329" t="n">
        <x:f>IF(AND(E7=TRUE,ISNUMBER(F7),F7&gt;0),100,"")</x:f>
        <x:v>100</x:v>
      </x:c>
      <x:c r="I7" s="329" t="str">
        <x:f>IF(AND(ISNUMBER(H7),ISNUMBER(G7)),IF(J7="lower",IF(G7&gt;0,100*F7/G7,""),100*G7/F7),"")</x:f>
      </x:c>
      <x:c r="J7" s="321" t="str">
        <x:v>higher</x:v>
      </x:c>
      <x:c r="L7" s="309" t="str">
        <x:v>Higher: actual / target × 100. Lower: target / actual × 100.</x:v>
      </x:c>
      <x:c r="N7" s="363" t="n">
        <x:f>Daily!A3</x:f>
        <x:v>46321.5</x:v>
      </x:c>
      <x:c r="O7" s="359" t="str">
        <x:f>Daily!D3</x:f>
        <x:v>Skill A + interval circuit</x:v>
      </x:c>
      <x:c r="P7" s="371" t="str">
        <x:v>Box pistol</x:v>
      </x:c>
      <x:c r="Q7" s="360" t="str">
        <x:v>reps/leg</x:v>
      </x:c>
      <x:c r="R7" s="365" t="n">
        <x:v>3</x:v>
      </x:c>
      <x:c r="S7" s="365" t="n">
        <x:v>5</x:v>
      </x:c>
      <x:c r="T7" s="366" t="n">
        <x:f>IF(OR(COUNTIFS(Strategy!$B$36:$B$90,P7)&lt;&gt;1,COUNTIFS(Strategy!$B$36:$B$90,P7,Strategy!$C$36:$C$90,"&lt;&gt;")&lt;&gt;1),"",INDEX(Strategy!$C$36:$C$90,MATCH(P7,Strategy!$B$36:$B$90,0)))</x:f>
        <x:v>2</x:v>
      </x:c>
      <x:c r="U7" s="366" t="n">
        <x:f>IF(OR(COUNT(R7:S7)&lt;&gt;2,R7&lt;0,R7&lt;&gt;INT(R7),S7&lt;=0),"",R7*S7)</x:f>
        <x:v>15</x:v>
      </x:c>
      <x:c r="V7" s="388" t="n">
        <x:f>IF(OR(NOT(ISNUMBER(U7)),NOT(ISNUMBER($O$1)),$O$1&lt;=0),"",IF(Q7="seconds",U7/$O$1,IF(Q7="reps/leg",2*U7,IF(Q7="reps",U7,""))))</x:f>
        <x:v>30</x:v>
      </x:c>
      <x:c r="W7" s="359" t="str">
        <x:f>IF(OR(COUNTIFS(Strategy!$B$36:$B$90,P7)&lt;&gt;1,COUNTIFS(Strategy!$B$36:$B$90,P7,Strategy!$D$36:$D$90,"&lt;&gt;")&lt;&gt;1),"",INDEX(Strategy!$D$36:$D$90,MATCH(P7,Strategy!$B$36:$B$90,0)))</x:f>
        <x:v>reps/leg</x:v>
      </x:c>
      <x:c r="X7" s="369" t="n">
        <x:f>IF(OR(COUNT(T7:V7)&lt;&gt;3,Q7&lt;&gt;W7,T7&lt;0,T7&gt;10),"",T7*V7)</x:f>
        <x:v>60</x:v>
      </x:c>
      <x:c r="Y7" s="373" t="str"/>
    </x:row>
    <x:row r="8" ht="15" hidden="0" customHeight="1">
      <x:c r="A8" s="327" t="n">
        <x:f>Daily!A3</x:f>
        <x:v>46321.5</x:v>
      </x:c>
      <x:c r="B8" s="322" t="str">
        <x:f>Daily!D3</x:f>
        <x:v>Skill A + interval circuit</x:v>
      </x:c>
      <x:c r="C8" s="322" t="str">
        <x:v>Core</x:v>
      </x:c>
      <x:c r="D8" s="322" t="str">
        <x:v>rounds</x:v>
      </x:c>
      <x:c r="E8" s="324" t="b">
        <x:v>1</x:v>
      </x:c>
      <x:c r="F8" s="330" t="n">
        <x:v>5</x:v>
      </x:c>
      <x:c r="G8" s="331" t="str">
        <x:f>IF(AND(OR(Daily!Z3=TRUE,Daily!AB3=TRUE),COUNT(Daily!AA3)&gt;0),SUM(Daily!AA3),"")</x:f>
      </x:c>
      <x:c r="H8" s="331" t="n">
        <x:f>IF(AND(E8=TRUE,ISNUMBER(F8),F8&gt;0),100,"")</x:f>
        <x:v>100</x:v>
      </x:c>
      <x:c r="I8" s="331" t="str">
        <x:f>IF(AND(ISNUMBER(H8),ISNUMBER(G8)),IF(J8="lower",IF(G8&gt;0,100*F8/G8,""),100*G8/F8),"")</x:f>
      </x:c>
      <x:c r="J8" s="325" t="str">
        <x:v>higher</x:v>
      </x:c>
      <x:c r="L8" s="309" t="str">
        <x:v>Unchecked exercises and blank results stay unrecorded. Partial metrics can score.</x:v>
      </x:c>
      <x:c r="N8" s="364" t="n">
        <x:f>Daily!A3</x:f>
        <x:v>46321.5</x:v>
      </x:c>
      <x:c r="O8" s="361" t="str">
        <x:f>Daily!D3</x:f>
        <x:v>Skill A + interval circuit</x:v>
      </x:c>
      <x:c r="P8" s="372" t="str">
        <x:v>Pull-up</x:v>
      </x:c>
      <x:c r="Q8" s="362" t="str">
        <x:v>seconds</x:v>
      </x:c>
      <x:c r="R8" s="367" t="n">
        <x:v>5</x:v>
      </x:c>
      <x:c r="S8" s="367" t="n">
        <x:v>30</x:v>
      </x:c>
      <x:c r="T8" s="368" t="n">
        <x:f>IF(OR(COUNTIFS(Strategy!$B$36:$B$90,P8)&lt;&gt;1,COUNTIFS(Strategy!$B$36:$B$90,P8,Strategy!$C$36:$C$90,"&lt;&gt;")&lt;&gt;1),"",INDEX(Strategy!$C$36:$C$90,MATCH(P8,Strategy!$B$36:$B$90,0)))</x:f>
        <x:v>6</x:v>
      </x:c>
      <x:c r="U8" s="368" t="n">
        <x:f>IF(OR(COUNT(R8:S8)&lt;&gt;2,R8&lt;0,R8&lt;&gt;INT(R8),S8&lt;=0),"",R8*S8)</x:f>
        <x:v>150</x:v>
      </x:c>
      <x:c r="V8" s="389" t="n">
        <x:f>IF(OR(NOT(ISNUMBER(U8)),NOT(ISNUMBER($O$1)),$O$1&lt;=0),"",IF(Q8="seconds",U8/$O$1,IF(Q8="reps/leg",2*U8,IF(Q8="reps",U8,""))))</x:f>
        <x:v>50</x:v>
      </x:c>
      <x:c r="W8" s="361" t="str">
        <x:f>IF(OR(COUNTIFS(Strategy!$B$36:$B$90,P8)&lt;&gt;1,COUNTIFS(Strategy!$B$36:$B$90,P8,Strategy!$D$36:$D$90,"&lt;&gt;")&lt;&gt;1),"",INDEX(Strategy!$D$36:$D$90,MATCH(P8,Strategy!$B$36:$B$90,0)))</x:f>
        <x:v>seconds</x:v>
      </x:c>
      <x:c r="X8" s="370" t="n">
        <x:f>IF(OR(COUNT(T8:V8)&lt;&gt;3,Q8&lt;&gt;W8,T8&lt;0,T8&gt;10),"",T8*V8)</x:f>
        <x:v>300</x:v>
      </x:c>
      <x:c r="Y8" s="374" t="str">
        <x:v>Core: one 30-second work interval per round; rest excluded.</x:v>
      </x:c>
    </x:row>
    <x:row r="9" ht="15" hidden="0" customHeight="1">
      <x:c r="A9" s="326" t="n">
        <x:f>Daily!A4</x:f>
        <x:v>46322.5</x:v>
      </x:c>
      <x:c r="B9" s="318" t="str">
        <x:f>Daily!D4</x:f>
        <x:v>Handstand technique</x:v>
      </x:c>
      <x:c r="C9" s="318" t="str">
        <x:v>A · Wrist/shoulder mobility</x:v>
      </x:c>
      <x:c r="D9" s="318" t="str">
        <x:v>seconds</x:v>
      </x:c>
      <x:c r="E9" s="320" t="b">
        <x:v>1</x:v>
      </x:c>
      <x:c r="F9" s="328" t="n">
        <x:v>120</x:v>
      </x:c>
      <x:c r="G9" s="329" t="str">
        <x:f>IF(AND(OR(Daily!H4=TRUE,Daily!AB4=TRUE),COUNT(Daily!I4)&gt;0),SUM(Daily!I4)*86400,"")</x:f>
      </x:c>
      <x:c r="H9" s="329" t="n">
        <x:f>IF(AND(E9=TRUE,ISNUMBER(F9),F9&gt;0),100,"")</x:f>
        <x:v>100</x:v>
      </x:c>
      <x:c r="I9" s="329" t="str">
        <x:f>IF(AND(ISNUMBER(H9),ISNUMBER(G9)),IF(J9="lower",IF(G9&gt;0,100*F9/G9,""),100*G9/F9),"")</x:f>
      </x:c>
      <x:c r="J9" s="321" t="str">
        <x:v>higher</x:v>
      </x:c>
      <x:c r="L9" s="309" t="str">
        <x:v>Daily intensity is calculated 0–10. Felt effort remains optional 1–5.</x:v>
      </x:c>
      <x:c r="N9" s="363" t="n">
        <x:f>Daily!A3</x:f>
        <x:v>46321.5</x:v>
      </x:c>
      <x:c r="O9" s="359" t="str">
        <x:f>Daily!D3</x:f>
        <x:v>Skill A + interval circuit</x:v>
      </x:c>
      <x:c r="P9" s="371" t="str">
        <x:v>Push-up</x:v>
      </x:c>
      <x:c r="Q9" s="360" t="str">
        <x:v>seconds</x:v>
      </x:c>
      <x:c r="R9" s="365" t="n">
        <x:v>5</x:v>
      </x:c>
      <x:c r="S9" s="365" t="n">
        <x:v>30</x:v>
      </x:c>
      <x:c r="T9" s="366" t="n">
        <x:f>IF(OR(COUNTIFS(Strategy!$B$36:$B$90,P9)&lt;&gt;1,COUNTIFS(Strategy!$B$36:$B$90,P9,Strategy!$C$36:$C$90,"&lt;&gt;")&lt;&gt;1),"",INDEX(Strategy!$C$36:$C$90,MATCH(P9,Strategy!$B$36:$B$90,0)))</x:f>
        <x:v>4</x:v>
      </x:c>
      <x:c r="U9" s="366" t="n">
        <x:f>IF(OR(COUNT(R9:S9)&lt;&gt;2,R9&lt;0,R9&lt;&gt;INT(R9),S9&lt;=0),"",R9*S9)</x:f>
        <x:v>150</x:v>
      </x:c>
      <x:c r="V9" s="388" t="n">
        <x:f>IF(OR(NOT(ISNUMBER(U9)),NOT(ISNUMBER($O$1)),$O$1&lt;=0),"",IF(Q9="seconds",U9/$O$1,IF(Q9="reps/leg",2*U9,IF(Q9="reps",U9,""))))</x:f>
        <x:v>50</x:v>
      </x:c>
      <x:c r="W9" s="359" t="str">
        <x:f>IF(OR(COUNTIFS(Strategy!$B$36:$B$90,P9)&lt;&gt;1,COUNTIFS(Strategy!$B$36:$B$90,P9,Strategy!$D$36:$D$90,"&lt;&gt;")&lt;&gt;1),"",INDEX(Strategy!$D$36:$D$90,MATCH(P9,Strategy!$B$36:$B$90,0)))</x:f>
        <x:v>seconds</x:v>
      </x:c>
      <x:c r="X9" s="369" t="n">
        <x:f>IF(OR(COUNT(T9:V9)&lt;&gt;3,Q9&lt;&gt;W9,T9&lt;0,T9&gt;10),"",T9*V9)</x:f>
        <x:v>200</x:v>
      </x:c>
      <x:c r="Y9" s="373" t="str">
        <x:v>Core: one 30-second work interval per round; rest excluded.</x:v>
      </x:c>
    </x:row>
    <x:row r="10" ht="15" hidden="0" customHeight="1">
      <x:c r="A10" s="327" t="n">
        <x:f>Daily!A4</x:f>
        <x:v>46322.5</x:v>
      </x:c>
      <x:c r="B10" s="322" t="str">
        <x:f>Daily!D4</x:f>
        <x:v>Handstand technique</x:v>
      </x:c>
      <x:c r="C10" s="322" t="str">
        <x:v>B · Easy chest-to-wall hold</x:v>
      </x:c>
      <x:c r="D10" s="322" t="str">
        <x:v>seconds</x:v>
      </x:c>
      <x:c r="E10" s="324" t="b">
        <x:v>1</x:v>
      </x:c>
      <x:c r="F10" s="330" t="n">
        <x:v>45</x:v>
      </x:c>
      <x:c r="G10" s="331" t="str">
        <x:f>IF(AND(OR(Daily!N4=TRUE,Daily!AB4=TRUE),COUNT(Daily!O4,Daily!P4,Daily!Q4)&gt;0),SUM(Daily!O4,Daily!P4,Daily!Q4)*86400,"")</x:f>
      </x:c>
      <x:c r="H10" s="331" t="n">
        <x:f>IF(AND(E10=TRUE,ISNUMBER(F10),F10&gt;0),100,"")</x:f>
        <x:v>100</x:v>
      </x:c>
      <x:c r="I10" s="331" t="str">
        <x:f>IF(AND(ISNUMBER(H10),ISNUMBER(G10)),IF(J10="lower",IF(G10&gt;0,100*F10/G10,""),100*G10/F10),"")</x:f>
      </x:c>
      <x:c r="J10" s="325" t="str">
        <x:v>higher</x:v>
      </x:c>
      <x:c r="L10" s="309" t="str">
        <x:v>Green = editable. Neutral = formulas. Nothing here proves session completion.</x:v>
      </x:c>
      <x:c r="N10" s="364" t="n">
        <x:f>Daily!A3</x:f>
        <x:v>46321.5</x:v>
      </x:c>
      <x:c r="O10" s="361" t="str">
        <x:f>Daily!D3</x:f>
        <x:v>Skill A + interval circuit</x:v>
      </x:c>
      <x:c r="P10" s="372" t="str">
        <x:v>Weighted squat</x:v>
      </x:c>
      <x:c r="Q10" s="362" t="str">
        <x:v>seconds</x:v>
      </x:c>
      <x:c r="R10" s="367" t="n">
        <x:v>5</x:v>
      </x:c>
      <x:c r="S10" s="367" t="n">
        <x:v>30</x:v>
      </x:c>
      <x:c r="T10" s="368" t="n">
        <x:f>IF(OR(COUNTIFS(Strategy!$B$36:$B$90,P10)&lt;&gt;1,COUNTIFS(Strategy!$B$36:$B$90,P10,Strategy!$C$36:$C$90,"&lt;&gt;")&lt;&gt;1),"",INDEX(Strategy!$C$36:$C$90,MATCH(P10,Strategy!$B$36:$B$90,0)))</x:f>
        <x:v>5</x:v>
      </x:c>
      <x:c r="U10" s="368" t="n">
        <x:f>IF(OR(COUNT(R10:S10)&lt;&gt;2,R10&lt;0,R10&lt;&gt;INT(R10),S10&lt;=0),"",R10*S10)</x:f>
        <x:v>150</x:v>
      </x:c>
      <x:c r="V10" s="389" t="n">
        <x:f>IF(OR(NOT(ISNUMBER(U10)),NOT(ISNUMBER($O$1)),$O$1&lt;=0),"",IF(Q10="seconds",U10/$O$1,IF(Q10="reps/leg",2*U10,IF(Q10="reps",U10,""))))</x:f>
        <x:v>50</x:v>
      </x:c>
      <x:c r="W10" s="361" t="str">
        <x:f>IF(OR(COUNTIFS(Strategy!$B$36:$B$90,P10)&lt;&gt;1,COUNTIFS(Strategy!$B$36:$B$90,P10,Strategy!$D$36:$D$90,"&lt;&gt;")&lt;&gt;1),"",INDEX(Strategy!$D$36:$D$90,MATCH(P10,Strategy!$B$36:$B$90,0)))</x:f>
        <x:v>seconds</x:v>
      </x:c>
      <x:c r="X10" s="370" t="n">
        <x:f>IF(OR(COUNT(T10:V10)&lt;&gt;3,Q10&lt;&gt;W10,T10&lt;0,T10&gt;10),"",T10*V10)</x:f>
        <x:v>250</x:v>
      </x:c>
      <x:c r="Y10" s="374" t="str">
        <x:v>Core: one 30-second work interval per round; rest excluded.</x:v>
      </x:c>
    </x:row>
    <x:row r="11" ht="15" hidden="0" customHeight="1">
      <x:c r="A11" s="326" t="n">
        <x:f>Daily!A4</x:f>
        <x:v>46322.5</x:v>
      </x:c>
      <x:c r="B11" s="318" t="str">
        <x:f>Daily!D4</x:f>
        <x:v>Handstand technique</x:v>
      </x:c>
      <x:c r="C11" s="318" t="str">
        <x:v>C · Wall handstand line drill</x:v>
      </x:c>
      <x:c r="D11" s="318" t="str">
        <x:v>seconds</x:v>
      </x:c>
      <x:c r="E11" s="320" t="b">
        <x:v>1</x:v>
      </x:c>
      <x:c r="F11" s="328" t="n">
        <x:v>30</x:v>
      </x:c>
      <x:c r="G11" s="329" t="str">
        <x:f>IF(AND(OR(Daily!T4=TRUE,Daily!AB4=TRUE),COUNT(Daily!U4,Daily!V4)&gt;0),SUM(Daily!U4,Daily!V4)*86400,"")</x:f>
      </x:c>
      <x:c r="H11" s="329" t="n">
        <x:f>IF(AND(E11=TRUE,ISNUMBER(F11),F11&gt;0),100,"")</x:f>
        <x:v>100</x:v>
      </x:c>
      <x:c r="I11" s="329" t="str">
        <x:f>IF(AND(ISNUMBER(H11),ISNUMBER(G11)),IF(J11="lower",IF(G11&gt;0,100*F11/G11,""),100*G11/F11),"")</x:f>
      </x:c>
      <x:c r="J11" s="321" t="str">
        <x:v>higher</x:v>
      </x:c>
      <x:c r="L11" s="309" t="str">
        <x:v>Lower-direction metrics with an actual zero cannot have a finite ratio.</x:v>
      </x:c>
      <x:c r="N11" s="363" t="n">
        <x:f>Daily!A3</x:f>
        <x:v>46321.5</x:v>
      </x:c>
      <x:c r="O11" s="359" t="str">
        <x:f>Daily!D3</x:f>
        <x:v>Skill A + interval circuit</x:v>
      </x:c>
      <x:c r="P11" s="371" t="str">
        <x:v>Upside-down hanging shoulder/ab work</x:v>
      </x:c>
      <x:c r="Q11" s="360" t="str">
        <x:v>seconds</x:v>
      </x:c>
      <x:c r="R11" s="365" t="n">
        <x:v>5</x:v>
      </x:c>
      <x:c r="S11" s="365" t="n">
        <x:v>30</x:v>
      </x:c>
      <x:c r="T11" s="366" t="n">
        <x:f>IF(OR(COUNTIFS(Strategy!$B$36:$B$90,P11)&lt;&gt;1,COUNTIFS(Strategy!$B$36:$B$90,P11,Strategy!$C$36:$C$90,"&lt;&gt;")&lt;&gt;1),"",INDEX(Strategy!$C$36:$C$90,MATCH(P11,Strategy!$B$36:$B$90,0)))</x:f>
        <x:v>5</x:v>
      </x:c>
      <x:c r="U11" s="366" t="n">
        <x:f>IF(OR(COUNT(R11:S11)&lt;&gt;2,R11&lt;0,R11&lt;&gt;INT(R11),S11&lt;=0),"",R11*S11)</x:f>
        <x:v>150</x:v>
      </x:c>
      <x:c r="V11" s="388" t="n">
        <x:f>IF(OR(NOT(ISNUMBER(U11)),NOT(ISNUMBER($O$1)),$O$1&lt;=0),"",IF(Q11="seconds",U11/$O$1,IF(Q11="reps/leg",2*U11,IF(Q11="reps",U11,""))))</x:f>
        <x:v>50</x:v>
      </x:c>
      <x:c r="W11" s="359" t="str">
        <x:f>IF(OR(COUNTIFS(Strategy!$B$36:$B$90,P11)&lt;&gt;1,COUNTIFS(Strategy!$B$36:$B$90,P11,Strategy!$D$36:$D$90,"&lt;&gt;")&lt;&gt;1),"",INDEX(Strategy!$D$36:$D$90,MATCH(P11,Strategy!$B$36:$B$90,0)))</x:f>
        <x:v>seconds</x:v>
      </x:c>
      <x:c r="X11" s="369" t="n">
        <x:f>IF(OR(COUNT(T11:V11)&lt;&gt;3,Q11&lt;&gt;W11,T11&lt;0,T11&gt;10),"",T11*V11)</x:f>
        <x:v>250</x:v>
      </x:c>
      <x:c r="Y11" s="373" t="str">
        <x:v>Core: one 30-second work interval per round; rest excluded.</x:v>
      </x:c>
    </x:row>
    <x:row r="12" ht="15" hidden="0" customHeight="1">
      <x:c r="A12" s="327" t="n">
        <x:f>Daily!A5</x:f>
        <x:v>46324.5</x:v>
      </x:c>
      <x:c r="B12" s="322" t="str">
        <x:f>Daily!D5</x:f>
        <x:v>Skill B + circuit</x:v>
      </x:c>
      <x:c r="C12" s="322" t="str">
        <x:v>A · Chest-to-wall handstand</x:v>
      </x:c>
      <x:c r="D12" s="322" t="str">
        <x:v>seconds</x:v>
      </x:c>
      <x:c r="E12" s="324" t="b">
        <x:v>1</x:v>
      </x:c>
      <x:c r="F12" s="330" t="n">
        <x:v>60</x:v>
      </x:c>
      <x:c r="G12" s="331" t="str">
        <x:f>IF(AND(OR(Daily!H5=TRUE,Daily!AB5=TRUE),COUNT(Daily!I5,Daily!J5,Daily!K5)&gt;0),SUM(Daily!I5,Daily!J5,Daily!K5)*86400,"")</x:f>
      </x:c>
      <x:c r="H12" s="331" t="n">
        <x:f>IF(AND(E12=TRUE,ISNUMBER(F12),F12&gt;0),100,"")</x:f>
        <x:v>100</x:v>
      </x:c>
      <x:c r="I12" s="331" t="str">
        <x:f>IF(AND(ISNUMBER(H12),ISNUMBER(G12)),IF(J12="lower",IF(G12&gt;0,100*F12/G12,""),100*G12/F12),"")</x:f>
      </x:c>
      <x:c r="J12" s="325" t="str">
        <x:v>higher</x:v>
      </x:c>
      <x:c r="N12" s="364" t="n">
        <x:f>Daily!A4</x:f>
        <x:v>46322.5</x:v>
      </x:c>
      <x:c r="O12" s="361" t="str">
        <x:f>Daily!D4</x:f>
        <x:v>Handstand technique</x:v>
      </x:c>
      <x:c r="P12" s="372" t="str">
        <x:v>Wrist/shoulder mobility</x:v>
      </x:c>
      <x:c r="Q12" s="362" t="str">
        <x:v>seconds</x:v>
      </x:c>
      <x:c r="R12" s="367" t="n">
        <x:v>1</x:v>
      </x:c>
      <x:c r="S12" s="367" t="n">
        <x:v>120</x:v>
      </x:c>
      <x:c r="T12" s="368" t="n">
        <x:f>IF(OR(COUNTIFS(Strategy!$B$36:$B$90,P12)&lt;&gt;1,COUNTIFS(Strategy!$B$36:$B$90,P12,Strategy!$C$36:$C$90,"&lt;&gt;")&lt;&gt;1),"",INDEX(Strategy!$C$36:$C$90,MATCH(P12,Strategy!$B$36:$B$90,0)))</x:f>
        <x:v>1</x:v>
      </x:c>
      <x:c r="U12" s="368" t="n">
        <x:f>IF(OR(COUNT(R12:S12)&lt;&gt;2,R12&lt;0,R12&lt;&gt;INT(R12),S12&lt;=0),"",R12*S12)</x:f>
        <x:v>120</x:v>
      </x:c>
      <x:c r="V12" s="389" t="n">
        <x:f>IF(OR(NOT(ISNUMBER(U12)),NOT(ISNUMBER($O$1)),$O$1&lt;=0),"",IF(Q12="seconds",U12/$O$1,IF(Q12="reps/leg",2*U12,IF(Q12="reps",U12,""))))</x:f>
        <x:v>40</x:v>
      </x:c>
      <x:c r="W12" s="361" t="str">
        <x:f>IF(OR(COUNTIFS(Strategy!$B$36:$B$90,P12)&lt;&gt;1,COUNTIFS(Strategy!$B$36:$B$90,P12,Strategy!$D$36:$D$90,"&lt;&gt;")&lt;&gt;1),"",INDEX(Strategy!$D$36:$D$90,MATCH(P12,Strategy!$B$36:$B$90,0)))</x:f>
        <x:v>seconds</x:v>
      </x:c>
      <x:c r="X12" s="370" t="n">
        <x:f>IF(OR(COUNT(T12:V12)&lt;&gt;3,Q12&lt;&gt;W12,T12&lt;0,T12&gt;10),"",T12*V12)</x:f>
        <x:v>40</x:v>
      </x:c>
      <x:c r="Y12" s="374" t="str"/>
    </x:row>
    <x:row r="13" ht="15" hidden="0" customHeight="1">
      <x:c r="A13" s="326" t="n">
        <x:f>Daily!A5</x:f>
        <x:v>46324.5</x:v>
      </x:c>
      <x:c r="B13" s="318" t="str">
        <x:f>Daily!D5</x:f>
        <x:v>Skill B + circuit</x:v>
      </x:c>
      <x:c r="C13" s="318" t="str">
        <x:v>B · Pike push-up</x:v>
      </x:c>
      <x:c r="D13" s="318" t="str">
        <x:v>reps</x:v>
      </x:c>
      <x:c r="E13" s="320" t="b">
        <x:v>1</x:v>
      </x:c>
      <x:c r="F13" s="328" t="n">
        <x:v>15</x:v>
      </x:c>
      <x:c r="G13" s="329" t="str">
        <x:f>IF(AND(OR(Daily!N5=TRUE,Daily!AB5=TRUE),COUNT(Daily!O5,Daily!P5,Daily!Q5)&gt;0),SUM(Daily!O5,Daily!P5,Daily!Q5),"")</x:f>
      </x:c>
      <x:c r="H13" s="329" t="n">
        <x:f>IF(AND(E13=TRUE,ISNUMBER(F13),F13&gt;0),100,"")</x:f>
        <x:v>100</x:v>
      </x:c>
      <x:c r="I13" s="329" t="str">
        <x:f>IF(AND(ISNUMBER(H13),ISNUMBER(G13)),IF(J13="lower",IF(G13&gt;0,100*F13/G13,""),100*G13/F13),"")</x:f>
      </x:c>
      <x:c r="J13" s="321" t="str">
        <x:v>higher</x:v>
      </x:c>
      <x:c r="N13" s="363" t="n">
        <x:f>Daily!A4</x:f>
        <x:v>46322.5</x:v>
      </x:c>
      <x:c r="O13" s="359" t="str">
        <x:f>Daily!D4</x:f>
        <x:v>Handstand technique</x:v>
      </x:c>
      <x:c r="P13" s="371" t="str">
        <x:v>Easy chest-to-wall hold</x:v>
      </x:c>
      <x:c r="Q13" s="360" t="str">
        <x:v>seconds</x:v>
      </x:c>
      <x:c r="R13" s="365" t="n">
        <x:v>3</x:v>
      </x:c>
      <x:c r="S13" s="365" t="n">
        <x:v>15</x:v>
      </x:c>
      <x:c r="T13" s="366" t="n">
        <x:f>IF(OR(COUNTIFS(Strategy!$B$36:$B$90,P13)&lt;&gt;1,COUNTIFS(Strategy!$B$36:$B$90,P13,Strategy!$C$36:$C$90,"&lt;&gt;")&lt;&gt;1),"",INDEX(Strategy!$C$36:$C$90,MATCH(P13,Strategy!$B$36:$B$90,0)))</x:f>
        <x:v>1</x:v>
      </x:c>
      <x:c r="U13" s="366" t="n">
        <x:f>IF(OR(COUNT(R13:S13)&lt;&gt;2,R13&lt;0,R13&lt;&gt;INT(R13),S13&lt;=0),"",R13*S13)</x:f>
        <x:v>45</x:v>
      </x:c>
      <x:c r="V13" s="388" t="n">
        <x:f>IF(OR(NOT(ISNUMBER(U13)),NOT(ISNUMBER($O$1)),$O$1&lt;=0),"",IF(Q13="seconds",U13/$O$1,IF(Q13="reps/leg",2*U13,IF(Q13="reps",U13,""))))</x:f>
        <x:v>15</x:v>
      </x:c>
      <x:c r="W13" s="359" t="str">
        <x:f>IF(OR(COUNTIFS(Strategy!$B$36:$B$90,P13)&lt;&gt;1,COUNTIFS(Strategy!$B$36:$B$90,P13,Strategy!$D$36:$D$90,"&lt;&gt;")&lt;&gt;1),"",INDEX(Strategy!$D$36:$D$90,MATCH(P13,Strategy!$B$36:$B$90,0)))</x:f>
        <x:v>seconds</x:v>
      </x:c>
      <x:c r="X13" s="369" t="n">
        <x:f>IF(OR(COUNT(T13:V13)&lt;&gt;3,Q13&lt;&gt;W13,T13&lt;0,T13&gt;10),"",T13*V13)</x:f>
        <x:v>15</x:v>
      </x:c>
      <x:c r="Y13" s="373" t="str"/>
    </x:row>
    <x:row r="14" ht="15" hidden="0" customHeight="1">
      <x:c r="A14" s="327" t="n">
        <x:f>Daily!A5</x:f>
        <x:v>46324.5</x:v>
      </x:c>
      <x:c r="B14" s="322" t="str">
        <x:f>Daily!D5</x:f>
        <x:v>Skill B + circuit</x:v>
      </x:c>
      <x:c r="C14" s="322" t="str">
        <x:v>C · Box pistol</x:v>
      </x:c>
      <x:c r="D14" s="322" t="str">
        <x:v>reps/leg</x:v>
      </x:c>
      <x:c r="E14" s="324" t="b">
        <x:v>1</x:v>
      </x:c>
      <x:c r="F14" s="330" t="n">
        <x:v>15</x:v>
      </x:c>
      <x:c r="G14" s="331" t="str">
        <x:f>IF(AND(OR(Daily!T5=TRUE,Daily!AB5=TRUE),COUNT(Daily!U5,Daily!V5,Daily!W5)&gt;0),SUM(Daily!U5,Daily!V5,Daily!W5),"")</x:f>
      </x:c>
      <x:c r="H14" s="331" t="n">
        <x:f>IF(AND(E14=TRUE,ISNUMBER(F14),F14&gt;0),100,"")</x:f>
        <x:v>100</x:v>
      </x:c>
      <x:c r="I14" s="331" t="str">
        <x:f>IF(AND(ISNUMBER(H14),ISNUMBER(G14)),IF(J14="lower",IF(G14&gt;0,100*F14/G14,""),100*G14/F14),"")</x:f>
      </x:c>
      <x:c r="J14" s="325" t="str">
        <x:v>higher</x:v>
      </x:c>
      <x:c r="N14" s="364" t="n">
        <x:f>Daily!A4</x:f>
        <x:v>46322.5</x:v>
      </x:c>
      <x:c r="O14" s="361" t="str">
        <x:f>Daily!D4</x:f>
        <x:v>Handstand technique</x:v>
      </x:c>
      <x:c r="P14" s="372" t="str">
        <x:v>Wall handstand line drill</x:v>
      </x:c>
      <x:c r="Q14" s="362" t="str">
        <x:v>seconds</x:v>
      </x:c>
      <x:c r="R14" s="367" t="n">
        <x:v>2</x:v>
      </x:c>
      <x:c r="S14" s="367" t="n">
        <x:v>15</x:v>
      </x:c>
      <x:c r="T14" s="368" t="n">
        <x:f>IF(OR(COUNTIFS(Strategy!$B$36:$B$90,P14)&lt;&gt;1,COUNTIFS(Strategy!$B$36:$B$90,P14,Strategy!$C$36:$C$90,"&lt;&gt;")&lt;&gt;1),"",INDEX(Strategy!$C$36:$C$90,MATCH(P14,Strategy!$B$36:$B$90,0)))</x:f>
        <x:v>1</x:v>
      </x:c>
      <x:c r="U14" s="368" t="n">
        <x:f>IF(OR(COUNT(R14:S14)&lt;&gt;2,R14&lt;0,R14&lt;&gt;INT(R14),S14&lt;=0),"",R14*S14)</x:f>
        <x:v>30</x:v>
      </x:c>
      <x:c r="V14" s="389" t="n">
        <x:f>IF(OR(NOT(ISNUMBER(U14)),NOT(ISNUMBER($O$1)),$O$1&lt;=0),"",IF(Q14="seconds",U14/$O$1,IF(Q14="reps/leg",2*U14,IF(Q14="reps",U14,""))))</x:f>
        <x:v>10</x:v>
      </x:c>
      <x:c r="W14" s="361" t="str">
        <x:f>IF(OR(COUNTIFS(Strategy!$B$36:$B$90,P14)&lt;&gt;1,COUNTIFS(Strategy!$B$36:$B$90,P14,Strategy!$D$36:$D$90,"&lt;&gt;")&lt;&gt;1),"",INDEX(Strategy!$D$36:$D$90,MATCH(P14,Strategy!$B$36:$B$90,0)))</x:f>
        <x:v>seconds</x:v>
      </x:c>
      <x:c r="X14" s="370" t="n">
        <x:f>IF(OR(COUNT(T14:V14)&lt;&gt;3,Q14&lt;&gt;W14,T14&lt;0,T14&gt;10),"",T14*V14)</x:f>
        <x:v>10</x:v>
      </x:c>
      <x:c r="Y14" s="374" t="str"/>
    </x:row>
    <x:row r="15" ht="15" hidden="0" customHeight="1">
      <x:c r="A15" s="326" t="n">
        <x:f>Daily!A5</x:f>
        <x:v>46324.5</x:v>
      </x:c>
      <x:c r="B15" s="318" t="str">
        <x:f>Daily!D5</x:f>
        <x:v>Skill B + circuit</x:v>
      </x:c>
      <x:c r="C15" s="318" t="str">
        <x:v>Core</x:v>
      </x:c>
      <x:c r="D15" s="318" t="str">
        <x:v>rounds</x:v>
      </x:c>
      <x:c r="E15" s="320" t="b">
        <x:v>1</x:v>
      </x:c>
      <x:c r="F15" s="328" t="n">
        <x:v>5</x:v>
      </x:c>
      <x:c r="G15" s="329" t="str">
        <x:f>IF(AND(OR(Daily!Z5=TRUE,Daily!AB5=TRUE),COUNT(Daily!AA5)&gt;0),SUM(Daily!AA5),"")</x:f>
      </x:c>
      <x:c r="H15" s="329" t="n">
        <x:f>IF(AND(E15=TRUE,ISNUMBER(F15),F15&gt;0),100,"")</x:f>
        <x:v>100</x:v>
      </x:c>
      <x:c r="I15" s="329" t="str">
        <x:f>IF(AND(ISNUMBER(H15),ISNUMBER(G15)),IF(J15="lower",IF(G15&gt;0,100*F15/G15,""),100*G15/F15),"")</x:f>
      </x:c>
      <x:c r="J15" s="321" t="str">
        <x:v>higher</x:v>
      </x:c>
      <x:c r="N15" s="363" t="n">
        <x:f>Daily!A5</x:f>
        <x:v>46324.5</x:v>
      </x:c>
      <x:c r="O15" s="359" t="str">
        <x:f>Daily!D5</x:f>
        <x:v>Skill B + circuit</x:v>
      </x:c>
      <x:c r="P15" s="371" t="str">
        <x:v>Chest-to-wall handstand</x:v>
      </x:c>
      <x:c r="Q15" s="360" t="str">
        <x:v>seconds</x:v>
      </x:c>
      <x:c r="R15" s="365" t="n">
        <x:v>3</x:v>
      </x:c>
      <x:c r="S15" s="365" t="n">
        <x:v>20</x:v>
      </x:c>
      <x:c r="T15" s="366" t="n">
        <x:f>IF(OR(COUNTIFS(Strategy!$B$36:$B$90,P15)&lt;&gt;1,COUNTIFS(Strategy!$B$36:$B$90,P15,Strategy!$C$36:$C$90,"&lt;&gt;")&lt;&gt;1),"",INDEX(Strategy!$C$36:$C$90,MATCH(P15,Strategy!$B$36:$B$90,0)))</x:f>
        <x:v>4</x:v>
      </x:c>
      <x:c r="U15" s="366" t="n">
        <x:f>IF(OR(COUNT(R15:S15)&lt;&gt;2,R15&lt;0,R15&lt;&gt;INT(R15),S15&lt;=0),"",R15*S15)</x:f>
        <x:v>60</x:v>
      </x:c>
      <x:c r="V15" s="388" t="n">
        <x:f>IF(OR(NOT(ISNUMBER(U15)),NOT(ISNUMBER($O$1)),$O$1&lt;=0),"",IF(Q15="seconds",U15/$O$1,IF(Q15="reps/leg",2*U15,IF(Q15="reps",U15,""))))</x:f>
        <x:v>20</x:v>
      </x:c>
      <x:c r="W15" s="359" t="str">
        <x:f>IF(OR(COUNTIFS(Strategy!$B$36:$B$90,P15)&lt;&gt;1,COUNTIFS(Strategy!$B$36:$B$90,P15,Strategy!$D$36:$D$90,"&lt;&gt;")&lt;&gt;1),"",INDEX(Strategy!$D$36:$D$90,MATCH(P15,Strategy!$B$36:$B$90,0)))</x:f>
        <x:v>seconds</x:v>
      </x:c>
      <x:c r="X15" s="369" t="n">
        <x:f>IF(OR(COUNT(T15:V15)&lt;&gt;3,Q15&lt;&gt;W15,T15&lt;0,T15&gt;10),"",T15*V15)</x:f>
        <x:v>80</x:v>
      </x:c>
      <x:c r="Y15" s="373" t="str"/>
    </x:row>
    <x:row r="16" ht="15" hidden="0" customHeight="1">
      <x:c r="A16" s="327" t="n">
        <x:f>Daily!A6</x:f>
        <x:v>46326.5</x:v>
      </x:c>
      <x:c r="B16" s="322" t="str">
        <x:f>Daily!D6</x:f>
        <x:v>Skill micro-session</x:v>
      </x:c>
      <x:c r="C16" s="322" t="str">
        <x:v>A · Wrist/shoulder mobility</x:v>
      </x:c>
      <x:c r="D16" s="322" t="str">
        <x:v>seconds</x:v>
      </x:c>
      <x:c r="E16" s="324" t="b">
        <x:v>1</x:v>
      </x:c>
      <x:c r="F16" s="330" t="n">
        <x:v>120</x:v>
      </x:c>
      <x:c r="G16" s="331" t="str">
        <x:f>IF(AND(OR(Daily!H6=TRUE,Daily!AB6=TRUE),COUNT(Daily!I6)&gt;0),SUM(Daily!I6)*86400,"")</x:f>
      </x:c>
      <x:c r="H16" s="331" t="n">
        <x:f>IF(AND(E16=TRUE,ISNUMBER(F16),F16&gt;0),100,"")</x:f>
        <x:v>100</x:v>
      </x:c>
      <x:c r="I16" s="331" t="str">
        <x:f>IF(AND(ISNUMBER(H16),ISNUMBER(G16)),IF(J16="lower",IF(G16&gt;0,100*F16/G16,""),100*G16/F16),"")</x:f>
      </x:c>
      <x:c r="J16" s="325" t="str">
        <x:v>higher</x:v>
      </x:c>
      <x:c r="N16" s="364" t="n">
        <x:f>Daily!A5</x:f>
        <x:v>46324.5</x:v>
      </x:c>
      <x:c r="O16" s="361" t="str">
        <x:f>Daily!D5</x:f>
        <x:v>Skill B + circuit</x:v>
      </x:c>
      <x:c r="P16" s="372" t="str">
        <x:v>Pike push-up</x:v>
      </x:c>
      <x:c r="Q16" s="362" t="str">
        <x:v>reps</x:v>
      </x:c>
      <x:c r="R16" s="367" t="n">
        <x:v>3</x:v>
      </x:c>
      <x:c r="S16" s="367" t="n">
        <x:v>5</x:v>
      </x:c>
      <x:c r="T16" s="368" t="n">
        <x:f>IF(OR(COUNTIFS(Strategy!$B$36:$B$90,P16)&lt;&gt;1,COUNTIFS(Strategy!$B$36:$B$90,P16,Strategy!$C$36:$C$90,"&lt;&gt;")&lt;&gt;1),"",INDEX(Strategy!$C$36:$C$90,MATCH(P16,Strategy!$B$36:$B$90,0)))</x:f>
        <x:v>4</x:v>
      </x:c>
      <x:c r="U16" s="368" t="n">
        <x:f>IF(OR(COUNT(R16:S16)&lt;&gt;2,R16&lt;0,R16&lt;&gt;INT(R16),S16&lt;=0),"",R16*S16)</x:f>
        <x:v>15</x:v>
      </x:c>
      <x:c r="V16" s="389" t="n">
        <x:f>IF(OR(NOT(ISNUMBER(U16)),NOT(ISNUMBER($O$1)),$O$1&lt;=0),"",IF(Q16="seconds",U16/$O$1,IF(Q16="reps/leg",2*U16,IF(Q16="reps",U16,""))))</x:f>
        <x:v>15</x:v>
      </x:c>
      <x:c r="W16" s="361" t="str">
        <x:f>IF(OR(COUNTIFS(Strategy!$B$36:$B$90,P16)&lt;&gt;1,COUNTIFS(Strategy!$B$36:$B$90,P16,Strategy!$D$36:$D$90,"&lt;&gt;")&lt;&gt;1),"",INDEX(Strategy!$D$36:$D$90,MATCH(P16,Strategy!$B$36:$B$90,0)))</x:f>
        <x:v>reps</x:v>
      </x:c>
      <x:c r="X16" s="370" t="n">
        <x:f>IF(OR(COUNT(T16:V16)&lt;&gt;3,Q16&lt;&gt;W16,T16&lt;0,T16&gt;10),"",T16*V16)</x:f>
        <x:v>60</x:v>
      </x:c>
      <x:c r="Y16" s="374" t="str"/>
    </x:row>
    <x:row r="17" ht="15" hidden="0" customHeight="1">
      <x:c r="A17" s="326" t="n">
        <x:f>Daily!A6</x:f>
        <x:v>46326.5</x:v>
      </x:c>
      <x:c r="B17" s="318" t="str">
        <x:f>Daily!D6</x:f>
        <x:v>Skill micro-session</x:v>
      </x:c>
      <x:c r="C17" s="318" t="str">
        <x:v>B · Easy chest-to-wall hold</x:v>
      </x:c>
      <x:c r="D17" s="318" t="str">
        <x:v>seconds</x:v>
      </x:c>
      <x:c r="E17" s="320" t="b">
        <x:v>1</x:v>
      </x:c>
      <x:c r="F17" s="328" t="n">
        <x:v>45</x:v>
      </x:c>
      <x:c r="G17" s="329" t="str">
        <x:f>IF(AND(OR(Daily!N6=TRUE,Daily!AB6=TRUE),COUNT(Daily!O6,Daily!P6,Daily!Q6)&gt;0),SUM(Daily!O6,Daily!P6,Daily!Q6)*86400,"")</x:f>
      </x:c>
      <x:c r="H17" s="329" t="n">
        <x:f>IF(AND(E17=TRUE,ISNUMBER(F17),F17&gt;0),100,"")</x:f>
        <x:v>100</x:v>
      </x:c>
      <x:c r="I17" s="329" t="str">
        <x:f>IF(AND(ISNUMBER(H17),ISNUMBER(G17)),IF(J17="lower",IF(G17&gt;0,100*F17/G17,""),100*G17/F17),"")</x:f>
      </x:c>
      <x:c r="J17" s="321" t="str">
        <x:v>higher</x:v>
      </x:c>
      <x:c r="N17" s="363" t="n">
        <x:f>Daily!A5</x:f>
        <x:v>46324.5</x:v>
      </x:c>
      <x:c r="O17" s="359" t="str">
        <x:f>Daily!D5</x:f>
        <x:v>Skill B + circuit</x:v>
      </x:c>
      <x:c r="P17" s="371" t="str">
        <x:v>Box pistol</x:v>
      </x:c>
      <x:c r="Q17" s="360" t="str">
        <x:v>reps/leg</x:v>
      </x:c>
      <x:c r="R17" s="365" t="n">
        <x:v>3</x:v>
      </x:c>
      <x:c r="S17" s="365" t="n">
        <x:v>5</x:v>
      </x:c>
      <x:c r="T17" s="366" t="n">
        <x:f>IF(OR(COUNTIFS(Strategy!$B$36:$B$90,P17)&lt;&gt;1,COUNTIFS(Strategy!$B$36:$B$90,P17,Strategy!$C$36:$C$90,"&lt;&gt;")&lt;&gt;1),"",INDEX(Strategy!$C$36:$C$90,MATCH(P17,Strategy!$B$36:$B$90,0)))</x:f>
        <x:v>2</x:v>
      </x:c>
      <x:c r="U17" s="366" t="n">
        <x:f>IF(OR(COUNT(R17:S17)&lt;&gt;2,R17&lt;0,R17&lt;&gt;INT(R17),S17&lt;=0),"",R17*S17)</x:f>
        <x:v>15</x:v>
      </x:c>
      <x:c r="V17" s="388" t="n">
        <x:f>IF(OR(NOT(ISNUMBER(U17)),NOT(ISNUMBER($O$1)),$O$1&lt;=0),"",IF(Q17="seconds",U17/$O$1,IF(Q17="reps/leg",2*U17,IF(Q17="reps",U17,""))))</x:f>
        <x:v>30</x:v>
      </x:c>
      <x:c r="W17" s="359" t="str">
        <x:f>IF(OR(COUNTIFS(Strategy!$B$36:$B$90,P17)&lt;&gt;1,COUNTIFS(Strategy!$B$36:$B$90,P17,Strategy!$D$36:$D$90,"&lt;&gt;")&lt;&gt;1),"",INDEX(Strategy!$D$36:$D$90,MATCH(P17,Strategy!$B$36:$B$90,0)))</x:f>
        <x:v>reps/leg</x:v>
      </x:c>
      <x:c r="X17" s="369" t="n">
        <x:f>IF(OR(COUNT(T17:V17)&lt;&gt;3,Q17&lt;&gt;W17,T17&lt;0,T17&gt;10),"",T17*V17)</x:f>
        <x:v>60</x:v>
      </x:c>
      <x:c r="Y17" s="373" t="str"/>
    </x:row>
    <x:row r="18" ht="15" hidden="0" customHeight="1">
      <x:c r="A18" s="327" t="n">
        <x:f>Daily!A6</x:f>
        <x:v>46326.5</x:v>
      </x:c>
      <x:c r="B18" s="322" t="str">
        <x:f>Daily!D6</x:f>
        <x:v>Skill micro-session</x:v>
      </x:c>
      <x:c r="C18" s="322" t="str">
        <x:v>C · Wall handstand line drill</x:v>
      </x:c>
      <x:c r="D18" s="322" t="str">
        <x:v>seconds</x:v>
      </x:c>
      <x:c r="E18" s="324" t="b">
        <x:v>1</x:v>
      </x:c>
      <x:c r="F18" s="330" t="n">
        <x:v>45</x:v>
      </x:c>
      <x:c r="G18" s="331" t="str">
        <x:f>IF(AND(OR(Daily!T6=TRUE,Daily!AB6=TRUE),COUNT(Daily!U6,Daily!V6,Daily!W6)&gt;0),SUM(Daily!U6,Daily!V6,Daily!W6)*86400,"")</x:f>
      </x:c>
      <x:c r="H18" s="331" t="n">
        <x:f>IF(AND(E18=TRUE,ISNUMBER(F18),F18&gt;0),100,"")</x:f>
        <x:v>100</x:v>
      </x:c>
      <x:c r="I18" s="331" t="str">
        <x:f>IF(AND(ISNUMBER(H18),ISNUMBER(G18)),IF(J18="lower",IF(G18&gt;0,100*F18/G18,""),100*G18/F18),"")</x:f>
      </x:c>
      <x:c r="J18" s="325" t="str">
        <x:v>higher</x:v>
      </x:c>
      <x:c r="N18" s="364" t="n">
        <x:f>Daily!A5</x:f>
        <x:v>46324.5</x:v>
      </x:c>
      <x:c r="O18" s="361" t="str">
        <x:f>Daily!D5</x:f>
        <x:v>Skill B + circuit</x:v>
      </x:c>
      <x:c r="P18" s="372" t="str">
        <x:v>Pull-up</x:v>
      </x:c>
      <x:c r="Q18" s="362" t="str">
        <x:v>seconds</x:v>
      </x:c>
      <x:c r="R18" s="367" t="n">
        <x:v>5</x:v>
      </x:c>
      <x:c r="S18" s="367" t="n">
        <x:v>30</x:v>
      </x:c>
      <x:c r="T18" s="368" t="n">
        <x:f>IF(OR(COUNTIFS(Strategy!$B$36:$B$90,P18)&lt;&gt;1,COUNTIFS(Strategy!$B$36:$B$90,P18,Strategy!$C$36:$C$90,"&lt;&gt;")&lt;&gt;1),"",INDEX(Strategy!$C$36:$C$90,MATCH(P18,Strategy!$B$36:$B$90,0)))</x:f>
        <x:v>6</x:v>
      </x:c>
      <x:c r="U18" s="368" t="n">
        <x:f>IF(OR(COUNT(R18:S18)&lt;&gt;2,R18&lt;0,R18&lt;&gt;INT(R18),S18&lt;=0),"",R18*S18)</x:f>
        <x:v>150</x:v>
      </x:c>
      <x:c r="V18" s="389" t="n">
        <x:f>IF(OR(NOT(ISNUMBER(U18)),NOT(ISNUMBER($O$1)),$O$1&lt;=0),"",IF(Q18="seconds",U18/$O$1,IF(Q18="reps/leg",2*U18,IF(Q18="reps",U18,""))))</x:f>
        <x:v>50</x:v>
      </x:c>
      <x:c r="W18" s="361" t="str">
        <x:f>IF(OR(COUNTIFS(Strategy!$B$36:$B$90,P18)&lt;&gt;1,COUNTIFS(Strategy!$B$36:$B$90,P18,Strategy!$D$36:$D$90,"&lt;&gt;")&lt;&gt;1),"",INDEX(Strategy!$D$36:$D$90,MATCH(P18,Strategy!$B$36:$B$90,0)))</x:f>
        <x:v>seconds</x:v>
      </x:c>
      <x:c r="X18" s="370" t="n">
        <x:f>IF(OR(COUNT(T18:V18)&lt;&gt;3,Q18&lt;&gt;W18,T18&lt;0,T18&gt;10),"",T18*V18)</x:f>
        <x:v>300</x:v>
      </x:c>
      <x:c r="Y18" s="374" t="str">
        <x:v>Core: one 30-second work interval per round; rest excluded.</x:v>
      </x:c>
    </x:row>
    <x:row r="19" ht="15" hidden="0" customHeight="1">
      <x:c r="A19" s="326" t="n">
        <x:f>Daily!A7</x:f>
        <x:v>46328.5</x:v>
      </x:c>
      <x:c r="B19" s="318" t="str">
        <x:f>Daily!D7</x:f>
        <x:v>Skill A + interval circuit</x:v>
      </x:c>
      <x:c r="C19" s="318" t="str">
        <x:v>A · Band transition drill</x:v>
      </x:c>
      <x:c r="D19" s="318" t="str">
        <x:v>reps</x:v>
      </x:c>
      <x:c r="E19" s="320" t="b">
        <x:v>1</x:v>
      </x:c>
      <x:c r="F19" s="328" t="n">
        <x:v>9</x:v>
      </x:c>
      <x:c r="G19" s="329" t="str">
        <x:f>IF(AND(OR(Daily!H7=TRUE,Daily!AB7=TRUE),COUNT(Daily!I7,Daily!J7,Daily!K7)&gt;0),SUM(Daily!I7,Daily!J7,Daily!K7),"")</x:f>
      </x:c>
      <x:c r="H19" s="329" t="n">
        <x:f>IF(AND(E19=TRUE,ISNUMBER(F19),F19&gt;0),100,"")</x:f>
        <x:v>100</x:v>
      </x:c>
      <x:c r="I19" s="329" t="str">
        <x:f>IF(AND(ISNUMBER(H19),ISNUMBER(G19)),IF(J19="lower",IF(G19&gt;0,100*F19/G19,""),100*G19/F19),"")</x:f>
      </x:c>
      <x:c r="J19" s="321" t="str">
        <x:v>higher</x:v>
      </x:c>
      <x:c r="N19" s="363" t="n">
        <x:f>Daily!A5</x:f>
        <x:v>46324.5</x:v>
      </x:c>
      <x:c r="O19" s="359" t="str">
        <x:f>Daily!D5</x:f>
        <x:v>Skill B + circuit</x:v>
      </x:c>
      <x:c r="P19" s="371" t="str">
        <x:v>Push-up</x:v>
      </x:c>
      <x:c r="Q19" s="360" t="str">
        <x:v>seconds</x:v>
      </x:c>
      <x:c r="R19" s="365" t="n">
        <x:v>5</x:v>
      </x:c>
      <x:c r="S19" s="365" t="n">
        <x:v>30</x:v>
      </x:c>
      <x:c r="T19" s="366" t="n">
        <x:f>IF(OR(COUNTIFS(Strategy!$B$36:$B$90,P19)&lt;&gt;1,COUNTIFS(Strategy!$B$36:$B$90,P19,Strategy!$C$36:$C$90,"&lt;&gt;")&lt;&gt;1),"",INDEX(Strategy!$C$36:$C$90,MATCH(P19,Strategy!$B$36:$B$90,0)))</x:f>
        <x:v>4</x:v>
      </x:c>
      <x:c r="U19" s="366" t="n">
        <x:f>IF(OR(COUNT(R19:S19)&lt;&gt;2,R19&lt;0,R19&lt;&gt;INT(R19),S19&lt;=0),"",R19*S19)</x:f>
        <x:v>150</x:v>
      </x:c>
      <x:c r="V19" s="388" t="n">
        <x:f>IF(OR(NOT(ISNUMBER(U19)),NOT(ISNUMBER($O$1)),$O$1&lt;=0),"",IF(Q19="seconds",U19/$O$1,IF(Q19="reps/leg",2*U19,IF(Q19="reps",U19,""))))</x:f>
        <x:v>50</x:v>
      </x:c>
      <x:c r="W19" s="359" t="str">
        <x:f>IF(OR(COUNTIFS(Strategy!$B$36:$B$90,P19)&lt;&gt;1,COUNTIFS(Strategy!$B$36:$B$90,P19,Strategy!$D$36:$D$90,"&lt;&gt;")&lt;&gt;1),"",INDEX(Strategy!$D$36:$D$90,MATCH(P19,Strategy!$B$36:$B$90,0)))</x:f>
        <x:v>seconds</x:v>
      </x:c>
      <x:c r="X19" s="369" t="n">
        <x:f>IF(OR(COUNT(T19:V19)&lt;&gt;3,Q19&lt;&gt;W19,T19&lt;0,T19&gt;10),"",T19*V19)</x:f>
        <x:v>200</x:v>
      </x:c>
      <x:c r="Y19" s="373" t="str">
        <x:v>Core: one 30-second work interval per round; rest excluded.</x:v>
      </x:c>
    </x:row>
    <x:row r="20" ht="15" hidden="0" customHeight="1">
      <x:c r="A20" s="327" t="n">
        <x:f>Daily!A7</x:f>
        <x:v>46328.5</x:v>
      </x:c>
      <x:c r="B20" s="322" t="str">
        <x:f>Daily!D7</x:f>
        <x:v>Skill A + interval circuit</x:v>
      </x:c>
      <x:c r="C20" s="322" t="str">
        <x:v>B · High pull</x:v>
      </x:c>
      <x:c r="D20" s="322" t="str">
        <x:v>reps</x:v>
      </x:c>
      <x:c r="E20" s="324" t="b">
        <x:v>1</x:v>
      </x:c>
      <x:c r="F20" s="330" t="n">
        <x:v>9</x:v>
      </x:c>
      <x:c r="G20" s="331" t="str">
        <x:f>IF(AND(OR(Daily!N7=TRUE,Daily!AB7=TRUE),COUNT(Daily!O7,Daily!P7,Daily!Q7)&gt;0),SUM(Daily!O7,Daily!P7,Daily!Q7),"")</x:f>
      </x:c>
      <x:c r="H20" s="331" t="n">
        <x:f>IF(AND(E20=TRUE,ISNUMBER(F20),F20&gt;0),100,"")</x:f>
        <x:v>100</x:v>
      </x:c>
      <x:c r="I20" s="331" t="str">
        <x:f>IF(AND(ISNUMBER(H20),ISNUMBER(G20)),IF(J20="lower",IF(G20&gt;0,100*F20/G20,""),100*G20/F20),"")</x:f>
      </x:c>
      <x:c r="J20" s="325" t="str">
        <x:v>higher</x:v>
      </x:c>
      <x:c r="N20" s="364" t="n">
        <x:f>Daily!A5</x:f>
        <x:v>46324.5</x:v>
      </x:c>
      <x:c r="O20" s="361" t="str">
        <x:f>Daily!D5</x:f>
        <x:v>Skill B + circuit</x:v>
      </x:c>
      <x:c r="P20" s="372" t="str">
        <x:v>Weighted squat</x:v>
      </x:c>
      <x:c r="Q20" s="362" t="str">
        <x:v>seconds</x:v>
      </x:c>
      <x:c r="R20" s="367" t="n">
        <x:v>5</x:v>
      </x:c>
      <x:c r="S20" s="367" t="n">
        <x:v>30</x:v>
      </x:c>
      <x:c r="T20" s="368" t="n">
        <x:f>IF(OR(COUNTIFS(Strategy!$B$36:$B$90,P20)&lt;&gt;1,COUNTIFS(Strategy!$B$36:$B$90,P20,Strategy!$C$36:$C$90,"&lt;&gt;")&lt;&gt;1),"",INDEX(Strategy!$C$36:$C$90,MATCH(P20,Strategy!$B$36:$B$90,0)))</x:f>
        <x:v>5</x:v>
      </x:c>
      <x:c r="U20" s="368" t="n">
        <x:f>IF(OR(COUNT(R20:S20)&lt;&gt;2,R20&lt;0,R20&lt;&gt;INT(R20),S20&lt;=0),"",R20*S20)</x:f>
        <x:v>150</x:v>
      </x:c>
      <x:c r="V20" s="389" t="n">
        <x:f>IF(OR(NOT(ISNUMBER(U20)),NOT(ISNUMBER($O$1)),$O$1&lt;=0),"",IF(Q20="seconds",U20/$O$1,IF(Q20="reps/leg",2*U20,IF(Q20="reps",U20,""))))</x:f>
        <x:v>50</x:v>
      </x:c>
      <x:c r="W20" s="361" t="str">
        <x:f>IF(OR(COUNTIFS(Strategy!$B$36:$B$90,P20)&lt;&gt;1,COUNTIFS(Strategy!$B$36:$B$90,P20,Strategy!$D$36:$D$90,"&lt;&gt;")&lt;&gt;1),"",INDEX(Strategy!$D$36:$D$90,MATCH(P20,Strategy!$B$36:$B$90,0)))</x:f>
        <x:v>seconds</x:v>
      </x:c>
      <x:c r="X20" s="370" t="n">
        <x:f>IF(OR(COUNT(T20:V20)&lt;&gt;3,Q20&lt;&gt;W20,T20&lt;0,T20&gt;10),"",T20*V20)</x:f>
        <x:v>250</x:v>
      </x:c>
      <x:c r="Y20" s="374" t="str">
        <x:v>Core: one 30-second work interval per round; rest excluded.</x:v>
      </x:c>
    </x:row>
    <x:row r="21" ht="15" hidden="0" customHeight="1">
      <x:c r="A21" s="326" t="n">
        <x:f>Daily!A7</x:f>
        <x:v>46328.5</x:v>
      </x:c>
      <x:c r="B21" s="318" t="str">
        <x:f>Daily!D7</x:f>
        <x:v>Skill A + interval circuit</x:v>
      </x:c>
      <x:c r="C21" s="318" t="str">
        <x:v>C · Lower-box pistol with counterweight</x:v>
      </x:c>
      <x:c r="D21" s="318" t="str">
        <x:v>reps/leg</x:v>
      </x:c>
      <x:c r="E21" s="320" t="b">
        <x:v>1</x:v>
      </x:c>
      <x:c r="F21" s="328" t="n">
        <x:v>12</x:v>
      </x:c>
      <x:c r="G21" s="329" t="str">
        <x:f>IF(AND(OR(Daily!T7=TRUE,Daily!AB7=TRUE),COUNT(Daily!U7,Daily!V7,Daily!W7)&gt;0),SUM(Daily!U7,Daily!V7,Daily!W7),"")</x:f>
      </x:c>
      <x:c r="H21" s="329" t="n">
        <x:f>IF(AND(E21=TRUE,ISNUMBER(F21),F21&gt;0),100,"")</x:f>
        <x:v>100</x:v>
      </x:c>
      <x:c r="I21" s="329" t="str">
        <x:f>IF(AND(ISNUMBER(H21),ISNUMBER(G21)),IF(J21="lower",IF(G21&gt;0,100*F21/G21,""),100*G21/F21),"")</x:f>
      </x:c>
      <x:c r="J21" s="321" t="str">
        <x:v>higher</x:v>
      </x:c>
      <x:c r="N21" s="363" t="n">
        <x:f>Daily!A5</x:f>
        <x:v>46324.5</x:v>
      </x:c>
      <x:c r="O21" s="359" t="str">
        <x:f>Daily!D5</x:f>
        <x:v>Skill B + circuit</x:v>
      </x:c>
      <x:c r="P21" s="371" t="str">
        <x:v>Upside-down hanging shoulder/ab work</x:v>
      </x:c>
      <x:c r="Q21" s="360" t="str">
        <x:v>seconds</x:v>
      </x:c>
      <x:c r="R21" s="365" t="n">
        <x:v>5</x:v>
      </x:c>
      <x:c r="S21" s="365" t="n">
        <x:v>30</x:v>
      </x:c>
      <x:c r="T21" s="366" t="n">
        <x:f>IF(OR(COUNTIFS(Strategy!$B$36:$B$90,P21)&lt;&gt;1,COUNTIFS(Strategy!$B$36:$B$90,P21,Strategy!$C$36:$C$90,"&lt;&gt;")&lt;&gt;1),"",INDEX(Strategy!$C$36:$C$90,MATCH(P21,Strategy!$B$36:$B$90,0)))</x:f>
        <x:v>5</x:v>
      </x:c>
      <x:c r="U21" s="366" t="n">
        <x:f>IF(OR(COUNT(R21:S21)&lt;&gt;2,R21&lt;0,R21&lt;&gt;INT(R21),S21&lt;=0),"",R21*S21)</x:f>
        <x:v>150</x:v>
      </x:c>
      <x:c r="V21" s="388" t="n">
        <x:f>IF(OR(NOT(ISNUMBER(U21)),NOT(ISNUMBER($O$1)),$O$1&lt;=0),"",IF(Q21="seconds",U21/$O$1,IF(Q21="reps/leg",2*U21,IF(Q21="reps",U21,""))))</x:f>
        <x:v>50</x:v>
      </x:c>
      <x:c r="W21" s="359" t="str">
        <x:f>IF(OR(COUNTIFS(Strategy!$B$36:$B$90,P21)&lt;&gt;1,COUNTIFS(Strategy!$B$36:$B$90,P21,Strategy!$D$36:$D$90,"&lt;&gt;")&lt;&gt;1),"",INDEX(Strategy!$D$36:$D$90,MATCH(P21,Strategy!$B$36:$B$90,0)))</x:f>
        <x:v>seconds</x:v>
      </x:c>
      <x:c r="X21" s="369" t="n">
        <x:f>IF(OR(COUNT(T21:V21)&lt;&gt;3,Q21&lt;&gt;W21,T21&lt;0,T21&gt;10),"",T21*V21)</x:f>
        <x:v>250</x:v>
      </x:c>
      <x:c r="Y21" s="373" t="str">
        <x:v>Core: one 30-second work interval per round; rest excluded.</x:v>
      </x:c>
    </x:row>
    <x:row r="22" ht="15" hidden="0" customHeight="1">
      <x:c r="A22" s="327" t="n">
        <x:f>Daily!A7</x:f>
        <x:v>46328.5</x:v>
      </x:c>
      <x:c r="B22" s="322" t="str">
        <x:f>Daily!D7</x:f>
        <x:v>Skill A + interval circuit</x:v>
      </x:c>
      <x:c r="C22" s="322" t="str">
        <x:v>Core</x:v>
      </x:c>
      <x:c r="D22" s="322" t="str">
        <x:v>rounds</x:v>
      </x:c>
      <x:c r="E22" s="324" t="b">
        <x:v>1</x:v>
      </x:c>
      <x:c r="F22" s="330" t="n">
        <x:v>5</x:v>
      </x:c>
      <x:c r="G22" s="331" t="str">
        <x:f>IF(AND(OR(Daily!Z7=TRUE,Daily!AB7=TRUE),COUNT(Daily!AA7)&gt;0),SUM(Daily!AA7),"")</x:f>
      </x:c>
      <x:c r="H22" s="331" t="n">
        <x:f>IF(AND(E22=TRUE,ISNUMBER(F22),F22&gt;0),100,"")</x:f>
        <x:v>100</x:v>
      </x:c>
      <x:c r="I22" s="331" t="str">
        <x:f>IF(AND(ISNUMBER(H22),ISNUMBER(G22)),IF(J22="lower",IF(G22&gt;0,100*F22/G22,""),100*G22/F22),"")</x:f>
      </x:c>
      <x:c r="J22" s="325" t="str">
        <x:v>higher</x:v>
      </x:c>
      <x:c r="N22" s="364" t="n">
        <x:f>Daily!A6</x:f>
        <x:v>46326.5</x:v>
      </x:c>
      <x:c r="O22" s="361" t="str">
        <x:f>Daily!D6</x:f>
        <x:v>Skill micro-session</x:v>
      </x:c>
      <x:c r="P22" s="372" t="str">
        <x:v>Wrist/shoulder mobility</x:v>
      </x:c>
      <x:c r="Q22" s="362" t="str">
        <x:v>seconds</x:v>
      </x:c>
      <x:c r="R22" s="367" t="n">
        <x:v>1</x:v>
      </x:c>
      <x:c r="S22" s="367" t="n">
        <x:v>120</x:v>
      </x:c>
      <x:c r="T22" s="368" t="n">
        <x:f>IF(OR(COUNTIFS(Strategy!$B$36:$B$90,P22)&lt;&gt;1,COUNTIFS(Strategy!$B$36:$B$90,P22,Strategy!$C$36:$C$90,"&lt;&gt;")&lt;&gt;1),"",INDEX(Strategy!$C$36:$C$90,MATCH(P22,Strategy!$B$36:$B$90,0)))</x:f>
        <x:v>1</x:v>
      </x:c>
      <x:c r="U22" s="368" t="n">
        <x:f>IF(OR(COUNT(R22:S22)&lt;&gt;2,R22&lt;0,R22&lt;&gt;INT(R22),S22&lt;=0),"",R22*S22)</x:f>
        <x:v>120</x:v>
      </x:c>
      <x:c r="V22" s="389" t="n">
        <x:f>IF(OR(NOT(ISNUMBER(U22)),NOT(ISNUMBER($O$1)),$O$1&lt;=0),"",IF(Q22="seconds",U22/$O$1,IF(Q22="reps/leg",2*U22,IF(Q22="reps",U22,""))))</x:f>
        <x:v>40</x:v>
      </x:c>
      <x:c r="W22" s="361" t="str">
        <x:f>IF(OR(COUNTIFS(Strategy!$B$36:$B$90,P22)&lt;&gt;1,COUNTIFS(Strategy!$B$36:$B$90,P22,Strategy!$D$36:$D$90,"&lt;&gt;")&lt;&gt;1),"",INDEX(Strategy!$D$36:$D$90,MATCH(P22,Strategy!$B$36:$B$90,0)))</x:f>
        <x:v>seconds</x:v>
      </x:c>
      <x:c r="X22" s="370" t="n">
        <x:f>IF(OR(COUNT(T22:V22)&lt;&gt;3,Q22&lt;&gt;W22,T22&lt;0,T22&gt;10),"",T22*V22)</x:f>
        <x:v>40</x:v>
      </x:c>
      <x:c r="Y22" s="374" t="str"/>
    </x:row>
    <x:row r="23" ht="15" hidden="0" customHeight="1">
      <x:c r="A23" s="326" t="n">
        <x:f>Daily!A8</x:f>
        <x:v>46329.5</x:v>
      </x:c>
      <x:c r="B23" s="318" t="str">
        <x:f>Daily!D8</x:f>
        <x:v>Handstand technique</x:v>
      </x:c>
      <x:c r="C23" s="318" t="str">
        <x:v>A · Wrist/shoulder mobility</x:v>
      </x:c>
      <x:c r="D23" s="318" t="str">
        <x:v>seconds</x:v>
      </x:c>
      <x:c r="E23" s="320" t="b">
        <x:v>1</x:v>
      </x:c>
      <x:c r="F23" s="328" t="n">
        <x:v>120</x:v>
      </x:c>
      <x:c r="G23" s="329" t="str">
        <x:f>IF(AND(OR(Daily!H8=TRUE,Daily!AB8=TRUE),COUNT(Daily!I8)&gt;0),SUM(Daily!I8)*86400,"")</x:f>
      </x:c>
      <x:c r="H23" s="329" t="n">
        <x:f>IF(AND(E23=TRUE,ISNUMBER(F23),F23&gt;0),100,"")</x:f>
        <x:v>100</x:v>
      </x:c>
      <x:c r="I23" s="329" t="str">
        <x:f>IF(AND(ISNUMBER(H23),ISNUMBER(G23)),IF(J23="lower",IF(G23&gt;0,100*F23/G23,""),100*G23/F23),"")</x:f>
      </x:c>
      <x:c r="J23" s="321" t="str">
        <x:v>higher</x:v>
      </x:c>
      <x:c r="N23" s="363" t="n">
        <x:f>Daily!A6</x:f>
        <x:v>46326.5</x:v>
      </x:c>
      <x:c r="O23" s="359" t="str">
        <x:f>Daily!D6</x:f>
        <x:v>Skill micro-session</x:v>
      </x:c>
      <x:c r="P23" s="371" t="str">
        <x:v>Easy chest-to-wall hold</x:v>
      </x:c>
      <x:c r="Q23" s="360" t="str">
        <x:v>seconds</x:v>
      </x:c>
      <x:c r="R23" s="365" t="n">
        <x:v>3</x:v>
      </x:c>
      <x:c r="S23" s="365" t="n">
        <x:v>15</x:v>
      </x:c>
      <x:c r="T23" s="366" t="n">
        <x:f>IF(OR(COUNTIFS(Strategy!$B$36:$B$90,P23)&lt;&gt;1,COUNTIFS(Strategy!$B$36:$B$90,P23,Strategy!$C$36:$C$90,"&lt;&gt;")&lt;&gt;1),"",INDEX(Strategy!$C$36:$C$90,MATCH(P23,Strategy!$B$36:$B$90,0)))</x:f>
        <x:v>1</x:v>
      </x:c>
      <x:c r="U23" s="366" t="n">
        <x:f>IF(OR(COUNT(R23:S23)&lt;&gt;2,R23&lt;0,R23&lt;&gt;INT(R23),S23&lt;=0),"",R23*S23)</x:f>
        <x:v>45</x:v>
      </x:c>
      <x:c r="V23" s="388" t="n">
        <x:f>IF(OR(NOT(ISNUMBER(U23)),NOT(ISNUMBER($O$1)),$O$1&lt;=0),"",IF(Q23="seconds",U23/$O$1,IF(Q23="reps/leg",2*U23,IF(Q23="reps",U23,""))))</x:f>
        <x:v>15</x:v>
      </x:c>
      <x:c r="W23" s="359" t="str">
        <x:f>IF(OR(COUNTIFS(Strategy!$B$36:$B$90,P23)&lt;&gt;1,COUNTIFS(Strategy!$B$36:$B$90,P23,Strategy!$D$36:$D$90,"&lt;&gt;")&lt;&gt;1),"",INDEX(Strategy!$D$36:$D$90,MATCH(P23,Strategy!$B$36:$B$90,0)))</x:f>
        <x:v>seconds</x:v>
      </x:c>
      <x:c r="X23" s="369" t="n">
        <x:f>IF(OR(COUNT(T23:V23)&lt;&gt;3,Q23&lt;&gt;W23,T23&lt;0,T23&gt;10),"",T23*V23)</x:f>
        <x:v>15</x:v>
      </x:c>
      <x:c r="Y23" s="373" t="str"/>
    </x:row>
    <x:row r="24" ht="15" hidden="0" customHeight="1">
      <x:c r="A24" s="327" t="n">
        <x:f>Daily!A8</x:f>
        <x:v>46329.5</x:v>
      </x:c>
      <x:c r="B24" s="322" t="str">
        <x:f>Daily!D8</x:f>
        <x:v>Handstand technique</x:v>
      </x:c>
      <x:c r="C24" s="322" t="str">
        <x:v>B · Easy chest-to-wall hold</x:v>
      </x:c>
      <x:c r="D24" s="322" t="str">
        <x:v>seconds</x:v>
      </x:c>
      <x:c r="E24" s="324" t="b">
        <x:v>1</x:v>
      </x:c>
      <x:c r="F24" s="330" t="n">
        <x:v>45</x:v>
      </x:c>
      <x:c r="G24" s="331" t="str">
        <x:f>IF(AND(OR(Daily!N8=TRUE,Daily!AB8=TRUE),COUNT(Daily!O8,Daily!P8,Daily!Q8)&gt;0),SUM(Daily!O8,Daily!P8,Daily!Q8)*86400,"")</x:f>
      </x:c>
      <x:c r="H24" s="331" t="n">
        <x:f>IF(AND(E24=TRUE,ISNUMBER(F24),F24&gt;0),100,"")</x:f>
        <x:v>100</x:v>
      </x:c>
      <x:c r="I24" s="331" t="str">
        <x:f>IF(AND(ISNUMBER(H24),ISNUMBER(G24)),IF(J24="lower",IF(G24&gt;0,100*F24/G24,""),100*G24/F24),"")</x:f>
      </x:c>
      <x:c r="J24" s="325" t="str">
        <x:v>higher</x:v>
      </x:c>
      <x:c r="N24" s="364" t="n">
        <x:f>Daily!A6</x:f>
        <x:v>46326.5</x:v>
      </x:c>
      <x:c r="O24" s="361" t="str">
        <x:f>Daily!D6</x:f>
        <x:v>Skill micro-session</x:v>
      </x:c>
      <x:c r="P24" s="372" t="str">
        <x:v>Wall handstand line drill</x:v>
      </x:c>
      <x:c r="Q24" s="362" t="str">
        <x:v>seconds</x:v>
      </x:c>
      <x:c r="R24" s="367" t="n">
        <x:v>3</x:v>
      </x:c>
      <x:c r="S24" s="367" t="n">
        <x:v>15</x:v>
      </x:c>
      <x:c r="T24" s="368" t="n">
        <x:f>IF(OR(COUNTIFS(Strategy!$B$36:$B$90,P24)&lt;&gt;1,COUNTIFS(Strategy!$B$36:$B$90,P24,Strategy!$C$36:$C$90,"&lt;&gt;")&lt;&gt;1),"",INDEX(Strategy!$C$36:$C$90,MATCH(P24,Strategy!$B$36:$B$90,0)))</x:f>
        <x:v>1</x:v>
      </x:c>
      <x:c r="U24" s="368" t="n">
        <x:f>IF(OR(COUNT(R24:S24)&lt;&gt;2,R24&lt;0,R24&lt;&gt;INT(R24),S24&lt;=0),"",R24*S24)</x:f>
        <x:v>45</x:v>
      </x:c>
      <x:c r="V24" s="389" t="n">
        <x:f>IF(OR(NOT(ISNUMBER(U24)),NOT(ISNUMBER($O$1)),$O$1&lt;=0),"",IF(Q24="seconds",U24/$O$1,IF(Q24="reps/leg",2*U24,IF(Q24="reps",U24,""))))</x:f>
        <x:v>15</x:v>
      </x:c>
      <x:c r="W24" s="361" t="str">
        <x:f>IF(OR(COUNTIFS(Strategy!$B$36:$B$90,P24)&lt;&gt;1,COUNTIFS(Strategy!$B$36:$B$90,P24,Strategy!$D$36:$D$90,"&lt;&gt;")&lt;&gt;1),"",INDEX(Strategy!$D$36:$D$90,MATCH(P24,Strategy!$B$36:$B$90,0)))</x:f>
        <x:v>seconds</x:v>
      </x:c>
      <x:c r="X24" s="370" t="n">
        <x:f>IF(OR(COUNT(T24:V24)&lt;&gt;3,Q24&lt;&gt;W24,T24&lt;0,T24&gt;10),"",T24*V24)</x:f>
        <x:v>15</x:v>
      </x:c>
      <x:c r="Y24" s="374" t="str"/>
    </x:row>
    <x:row r="25" ht="15" hidden="0" customHeight="1">
      <x:c r="A25" s="326" t="n">
        <x:f>Daily!A8</x:f>
        <x:v>46329.5</x:v>
      </x:c>
      <x:c r="B25" s="318" t="str">
        <x:f>Daily!D8</x:f>
        <x:v>Handstand technique</x:v>
      </x:c>
      <x:c r="C25" s="318" t="str">
        <x:v>C · Wall handstand line drill</x:v>
      </x:c>
      <x:c r="D25" s="318" t="str">
        <x:v>seconds</x:v>
      </x:c>
      <x:c r="E25" s="320" t="b">
        <x:v>1</x:v>
      </x:c>
      <x:c r="F25" s="328" t="n">
        <x:v>30</x:v>
      </x:c>
      <x:c r="G25" s="329" t="str">
        <x:f>IF(AND(OR(Daily!T8=TRUE,Daily!AB8=TRUE),COUNT(Daily!U8,Daily!V8)&gt;0),SUM(Daily!U8,Daily!V8)*86400,"")</x:f>
      </x:c>
      <x:c r="H25" s="329" t="n">
        <x:f>IF(AND(E25=TRUE,ISNUMBER(F25),F25&gt;0),100,"")</x:f>
        <x:v>100</x:v>
      </x:c>
      <x:c r="I25" s="329" t="str">
        <x:f>IF(AND(ISNUMBER(H25),ISNUMBER(G25)),IF(J25="lower",IF(G25&gt;0,100*F25/G25,""),100*G25/F25),"")</x:f>
      </x:c>
      <x:c r="J25" s="321" t="str">
        <x:v>higher</x:v>
      </x:c>
      <x:c r="N25" s="363" t="n">
        <x:f>Daily!A7</x:f>
        <x:v>46328.5</x:v>
      </x:c>
      <x:c r="O25" s="359" t="str">
        <x:f>Daily!D7</x:f>
        <x:v>Skill A + interval circuit</x:v>
      </x:c>
      <x:c r="P25" s="371" t="str">
        <x:v>Band transition drill</x:v>
      </x:c>
      <x:c r="Q25" s="360" t="str">
        <x:v>reps</x:v>
      </x:c>
      <x:c r="R25" s="365" t="n">
        <x:v>3</x:v>
      </x:c>
      <x:c r="S25" s="365" t="n">
        <x:v>3</x:v>
      </x:c>
      <x:c r="T25" s="366" t="n">
        <x:f>IF(OR(COUNTIFS(Strategy!$B$36:$B$90,P25)&lt;&gt;1,COUNTIFS(Strategy!$B$36:$B$90,P25,Strategy!$C$36:$C$90,"&lt;&gt;")&lt;&gt;1),"",INDEX(Strategy!$C$36:$C$90,MATCH(P25,Strategy!$B$36:$B$90,0)))</x:f>
        <x:v>4</x:v>
      </x:c>
      <x:c r="U25" s="366" t="n">
        <x:f>IF(OR(COUNT(R25:S25)&lt;&gt;2,R25&lt;0,R25&lt;&gt;INT(R25),S25&lt;=0),"",R25*S25)</x:f>
        <x:v>9</x:v>
      </x:c>
      <x:c r="V25" s="388" t="n">
        <x:f>IF(OR(NOT(ISNUMBER(U25)),NOT(ISNUMBER($O$1)),$O$1&lt;=0),"",IF(Q25="seconds",U25/$O$1,IF(Q25="reps/leg",2*U25,IF(Q25="reps",U25,""))))</x:f>
        <x:v>9</x:v>
      </x:c>
      <x:c r="W25" s="359" t="str">
        <x:f>IF(OR(COUNTIFS(Strategy!$B$36:$B$90,P25)&lt;&gt;1,COUNTIFS(Strategy!$B$36:$B$90,P25,Strategy!$D$36:$D$90,"&lt;&gt;")&lt;&gt;1),"",INDEX(Strategy!$D$36:$D$90,MATCH(P25,Strategy!$B$36:$B$90,0)))</x:f>
        <x:v>reps</x:v>
      </x:c>
      <x:c r="X25" s="369" t="n">
        <x:f>IF(OR(COUNT(T25:V25)&lt;&gt;3,Q25&lt;&gt;W25,T25&lt;0,T25&gt;10),"",T25*V25)</x:f>
        <x:v>36</x:v>
      </x:c>
      <x:c r="Y25" s="373" t="str"/>
    </x:row>
    <x:row r="26" ht="15" hidden="0" customHeight="1">
      <x:c r="A26" s="327" t="n">
        <x:f>Daily!A9</x:f>
        <x:v>46331.5</x:v>
      </x:c>
      <x:c r="B26" s="322" t="str">
        <x:f>Daily!D9</x:f>
        <x:v>Skill B + circuit</x:v>
      </x:c>
      <x:c r="C26" s="322" t="str">
        <x:v>A · Wall handstand</x:v>
      </x:c>
      <x:c r="D26" s="322" t="str">
        <x:v>seconds</x:v>
      </x:c>
      <x:c r="E26" s="324" t="b">
        <x:v>1</x:v>
      </x:c>
      <x:c r="F26" s="330" t="n">
        <x:v>75</x:v>
      </x:c>
      <x:c r="G26" s="331" t="str">
        <x:f>IF(AND(OR(Daily!H9=TRUE,Daily!AB9=TRUE),COUNT(Daily!I9,Daily!J9,Daily!K9)&gt;0),SUM(Daily!I9,Daily!J9,Daily!K9)*86400,"")</x:f>
      </x:c>
      <x:c r="H26" s="331" t="n">
        <x:f>IF(AND(E26=TRUE,ISNUMBER(F26),F26&gt;0),100,"")</x:f>
        <x:v>100</x:v>
      </x:c>
      <x:c r="I26" s="331" t="str">
        <x:f>IF(AND(ISNUMBER(H26),ISNUMBER(G26)),IF(J26="lower",IF(G26&gt;0,100*F26/G26,""),100*G26/F26),"")</x:f>
      </x:c>
      <x:c r="J26" s="325" t="str">
        <x:v>higher</x:v>
      </x:c>
      <x:c r="N26" s="364" t="n">
        <x:f>Daily!A7</x:f>
        <x:v>46328.5</x:v>
      </x:c>
      <x:c r="O26" s="361" t="str">
        <x:f>Daily!D7</x:f>
        <x:v>Skill A + interval circuit</x:v>
      </x:c>
      <x:c r="P26" s="372" t="str">
        <x:v>High pull</x:v>
      </x:c>
      <x:c r="Q26" s="362" t="str">
        <x:v>reps</x:v>
      </x:c>
      <x:c r="R26" s="367" t="n">
        <x:v>3</x:v>
      </x:c>
      <x:c r="S26" s="367" t="n">
        <x:v>3</x:v>
      </x:c>
      <x:c r="T26" s="368" t="n">
        <x:f>IF(OR(COUNTIFS(Strategy!$B$36:$B$90,P26)&lt;&gt;1,COUNTIFS(Strategy!$B$36:$B$90,P26,Strategy!$C$36:$C$90,"&lt;&gt;")&lt;&gt;1),"",INDEX(Strategy!$C$36:$C$90,MATCH(P26,Strategy!$B$36:$B$90,0)))</x:f>
        <x:v>4</x:v>
      </x:c>
      <x:c r="U26" s="368" t="n">
        <x:f>IF(OR(COUNT(R26:S26)&lt;&gt;2,R26&lt;0,R26&lt;&gt;INT(R26),S26&lt;=0),"",R26*S26)</x:f>
        <x:v>9</x:v>
      </x:c>
      <x:c r="V26" s="389" t="n">
        <x:f>IF(OR(NOT(ISNUMBER(U26)),NOT(ISNUMBER($O$1)),$O$1&lt;=0),"",IF(Q26="seconds",U26/$O$1,IF(Q26="reps/leg",2*U26,IF(Q26="reps",U26,""))))</x:f>
        <x:v>9</x:v>
      </x:c>
      <x:c r="W26" s="361" t="str">
        <x:f>IF(OR(COUNTIFS(Strategy!$B$36:$B$90,P26)&lt;&gt;1,COUNTIFS(Strategy!$B$36:$B$90,P26,Strategy!$D$36:$D$90,"&lt;&gt;")&lt;&gt;1),"",INDEX(Strategy!$D$36:$D$90,MATCH(P26,Strategy!$B$36:$B$90,0)))</x:f>
        <x:v>reps</x:v>
      </x:c>
      <x:c r="X26" s="370" t="n">
        <x:f>IF(OR(COUNT(T26:V26)&lt;&gt;3,Q26&lt;&gt;W26,T26&lt;0,T26&gt;10),"",T26*V26)</x:f>
        <x:v>36</x:v>
      </x:c>
      <x:c r="Y26" s="374" t="str"/>
    </x:row>
    <x:row r="27" ht="15" hidden="0" customHeight="1">
      <x:c r="A27" s="326" t="n">
        <x:f>Daily!A9</x:f>
        <x:v>46331.5</x:v>
      </x:c>
      <x:c r="B27" s="318" t="str">
        <x:f>Daily!D9</x:f>
        <x:v>Skill B + circuit</x:v>
      </x:c>
      <x:c r="C27" s="318" t="str">
        <x:v>B · Elevated pike push-up</x:v>
      </x:c>
      <x:c r="D27" s="318" t="str">
        <x:v>reps</x:v>
      </x:c>
      <x:c r="E27" s="320" t="b">
        <x:v>1</x:v>
      </x:c>
      <x:c r="F27" s="328" t="n">
        <x:v>12</x:v>
      </x:c>
      <x:c r="G27" s="329" t="str">
        <x:f>IF(AND(OR(Daily!N9=TRUE,Daily!AB9=TRUE),COUNT(Daily!O9,Daily!P9,Daily!Q9)&gt;0),SUM(Daily!O9,Daily!P9,Daily!Q9),"")</x:f>
      </x:c>
      <x:c r="H27" s="329" t="n">
        <x:f>IF(AND(E27=TRUE,ISNUMBER(F27),F27&gt;0),100,"")</x:f>
        <x:v>100</x:v>
      </x:c>
      <x:c r="I27" s="329" t="str">
        <x:f>IF(AND(ISNUMBER(H27),ISNUMBER(G27)),IF(J27="lower",IF(G27&gt;0,100*F27/G27,""),100*G27/F27),"")</x:f>
      </x:c>
      <x:c r="J27" s="321" t="str">
        <x:v>higher</x:v>
      </x:c>
      <x:c r="N27" s="363" t="n">
        <x:f>Daily!A7</x:f>
        <x:v>46328.5</x:v>
      </x:c>
      <x:c r="O27" s="359" t="str">
        <x:f>Daily!D7</x:f>
        <x:v>Skill A + interval circuit</x:v>
      </x:c>
      <x:c r="P27" s="371" t="str">
        <x:v>Lower-box pistol with counterweight</x:v>
      </x:c>
      <x:c r="Q27" s="360" t="str">
        <x:v>reps/leg</x:v>
      </x:c>
      <x:c r="R27" s="365" t="n">
        <x:v>3</x:v>
      </x:c>
      <x:c r="S27" s="365" t="n">
        <x:v>4</x:v>
      </x:c>
      <x:c r="T27" s="366" t="n">
        <x:f>IF(OR(COUNTIFS(Strategy!$B$36:$B$90,P27)&lt;&gt;1,COUNTIFS(Strategy!$B$36:$B$90,P27,Strategy!$C$36:$C$90,"&lt;&gt;")&lt;&gt;1),"",INDEX(Strategy!$C$36:$C$90,MATCH(P27,Strategy!$B$36:$B$90,0)))</x:f>
        <x:v>2</x:v>
      </x:c>
      <x:c r="U27" s="366" t="n">
        <x:f>IF(OR(COUNT(R27:S27)&lt;&gt;2,R27&lt;0,R27&lt;&gt;INT(R27),S27&lt;=0),"",R27*S27)</x:f>
        <x:v>12</x:v>
      </x:c>
      <x:c r="V27" s="388" t="n">
        <x:f>IF(OR(NOT(ISNUMBER(U27)),NOT(ISNUMBER($O$1)),$O$1&lt;=0),"",IF(Q27="seconds",U27/$O$1,IF(Q27="reps/leg",2*U27,IF(Q27="reps",U27,""))))</x:f>
        <x:v>24</x:v>
      </x:c>
      <x:c r="W27" s="359" t="str">
        <x:f>IF(OR(COUNTIFS(Strategy!$B$36:$B$90,P27)&lt;&gt;1,COUNTIFS(Strategy!$B$36:$B$90,P27,Strategy!$D$36:$D$90,"&lt;&gt;")&lt;&gt;1),"",INDEX(Strategy!$D$36:$D$90,MATCH(P27,Strategy!$B$36:$B$90,0)))</x:f>
        <x:v>reps/leg</x:v>
      </x:c>
      <x:c r="X27" s="369" t="n">
        <x:f>IF(OR(COUNT(T27:V27)&lt;&gt;3,Q27&lt;&gt;W27,T27&lt;0,T27&gt;10),"",T27*V27)</x:f>
        <x:v>48</x:v>
      </x:c>
      <x:c r="Y27" s="373" t="str"/>
    </x:row>
    <x:row r="28" ht="15" hidden="0" customHeight="1">
      <x:c r="A28" s="327" t="n">
        <x:f>Daily!A9</x:f>
        <x:v>46331.5</x:v>
      </x:c>
      <x:c r="B28" s="322" t="str">
        <x:f>Daily!D9</x:f>
        <x:v>Skill B + circuit</x:v>
      </x:c>
      <x:c r="C28" s="322" t="str">
        <x:v>C · Lower-box pistol with counterweight</x:v>
      </x:c>
      <x:c r="D28" s="322" t="str">
        <x:v>reps/leg</x:v>
      </x:c>
      <x:c r="E28" s="324" t="b">
        <x:v>1</x:v>
      </x:c>
      <x:c r="F28" s="330" t="n">
        <x:v>12</x:v>
      </x:c>
      <x:c r="G28" s="331" t="str">
        <x:f>IF(AND(OR(Daily!T9=TRUE,Daily!AB9=TRUE),COUNT(Daily!U9,Daily!V9,Daily!W9)&gt;0),SUM(Daily!U9,Daily!V9,Daily!W9),"")</x:f>
      </x:c>
      <x:c r="H28" s="331" t="n">
        <x:f>IF(AND(E28=TRUE,ISNUMBER(F28),F28&gt;0),100,"")</x:f>
        <x:v>100</x:v>
      </x:c>
      <x:c r="I28" s="331" t="str">
        <x:f>IF(AND(ISNUMBER(H28),ISNUMBER(G28)),IF(J28="lower",IF(G28&gt;0,100*F28/G28,""),100*G28/F28),"")</x:f>
      </x:c>
      <x:c r="J28" s="325" t="str">
        <x:v>higher</x:v>
      </x:c>
      <x:c r="N28" s="364" t="n">
        <x:f>Daily!A7</x:f>
        <x:v>46328.5</x:v>
      </x:c>
      <x:c r="O28" s="361" t="str">
        <x:f>Daily!D7</x:f>
        <x:v>Skill A + interval circuit</x:v>
      </x:c>
      <x:c r="P28" s="372" t="str">
        <x:v>Pull-up</x:v>
      </x:c>
      <x:c r="Q28" s="362" t="str">
        <x:v>seconds</x:v>
      </x:c>
      <x:c r="R28" s="367" t="n">
        <x:v>5</x:v>
      </x:c>
      <x:c r="S28" s="367" t="n">
        <x:v>30</x:v>
      </x:c>
      <x:c r="T28" s="368" t="n">
        <x:f>IF(OR(COUNTIFS(Strategy!$B$36:$B$90,P28)&lt;&gt;1,COUNTIFS(Strategy!$B$36:$B$90,P28,Strategy!$C$36:$C$90,"&lt;&gt;")&lt;&gt;1),"",INDEX(Strategy!$C$36:$C$90,MATCH(P28,Strategy!$B$36:$B$90,0)))</x:f>
        <x:v>6</x:v>
      </x:c>
      <x:c r="U28" s="368" t="n">
        <x:f>IF(OR(COUNT(R28:S28)&lt;&gt;2,R28&lt;0,R28&lt;&gt;INT(R28),S28&lt;=0),"",R28*S28)</x:f>
        <x:v>150</x:v>
      </x:c>
      <x:c r="V28" s="389" t="n">
        <x:f>IF(OR(NOT(ISNUMBER(U28)),NOT(ISNUMBER($O$1)),$O$1&lt;=0),"",IF(Q28="seconds",U28/$O$1,IF(Q28="reps/leg",2*U28,IF(Q28="reps",U28,""))))</x:f>
        <x:v>50</x:v>
      </x:c>
      <x:c r="W28" s="361" t="str">
        <x:f>IF(OR(COUNTIFS(Strategy!$B$36:$B$90,P28)&lt;&gt;1,COUNTIFS(Strategy!$B$36:$B$90,P28,Strategy!$D$36:$D$90,"&lt;&gt;")&lt;&gt;1),"",INDEX(Strategy!$D$36:$D$90,MATCH(P28,Strategy!$B$36:$B$90,0)))</x:f>
        <x:v>seconds</x:v>
      </x:c>
      <x:c r="X28" s="370" t="n">
        <x:f>IF(OR(COUNT(T28:V28)&lt;&gt;3,Q28&lt;&gt;W28,T28&lt;0,T28&gt;10),"",T28*V28)</x:f>
        <x:v>300</x:v>
      </x:c>
      <x:c r="Y28" s="374" t="str">
        <x:v>Core: one 30-second work interval per round; rest excluded.</x:v>
      </x:c>
    </x:row>
    <x:row r="29" ht="15" hidden="0" customHeight="1">
      <x:c r="A29" s="326" t="n">
        <x:f>Daily!A9</x:f>
        <x:v>46331.5</x:v>
      </x:c>
      <x:c r="B29" s="318" t="str">
        <x:f>Daily!D9</x:f>
        <x:v>Skill B + circuit</x:v>
      </x:c>
      <x:c r="C29" s="318" t="str">
        <x:v>Core</x:v>
      </x:c>
      <x:c r="D29" s="318" t="str">
        <x:v>rounds</x:v>
      </x:c>
      <x:c r="E29" s="320" t="b">
        <x:v>1</x:v>
      </x:c>
      <x:c r="F29" s="328" t="n">
        <x:v>5</x:v>
      </x:c>
      <x:c r="G29" s="329" t="str">
        <x:f>IF(AND(OR(Daily!Z9=TRUE,Daily!AB9=TRUE),COUNT(Daily!AA9)&gt;0),SUM(Daily!AA9),"")</x:f>
      </x:c>
      <x:c r="H29" s="329" t="n">
        <x:f>IF(AND(E29=TRUE,ISNUMBER(F29),F29&gt;0),100,"")</x:f>
        <x:v>100</x:v>
      </x:c>
      <x:c r="I29" s="329" t="str">
        <x:f>IF(AND(ISNUMBER(H29),ISNUMBER(G29)),IF(J29="lower",IF(G29&gt;0,100*F29/G29,""),100*G29/F29),"")</x:f>
      </x:c>
      <x:c r="J29" s="321" t="str">
        <x:v>higher</x:v>
      </x:c>
      <x:c r="N29" s="363" t="n">
        <x:f>Daily!A7</x:f>
        <x:v>46328.5</x:v>
      </x:c>
      <x:c r="O29" s="359" t="str">
        <x:f>Daily!D7</x:f>
        <x:v>Skill A + interval circuit</x:v>
      </x:c>
      <x:c r="P29" s="371" t="str">
        <x:v>Push-up</x:v>
      </x:c>
      <x:c r="Q29" s="360" t="str">
        <x:v>seconds</x:v>
      </x:c>
      <x:c r="R29" s="365" t="n">
        <x:v>5</x:v>
      </x:c>
      <x:c r="S29" s="365" t="n">
        <x:v>30</x:v>
      </x:c>
      <x:c r="T29" s="366" t="n">
        <x:f>IF(OR(COUNTIFS(Strategy!$B$36:$B$90,P29)&lt;&gt;1,COUNTIFS(Strategy!$B$36:$B$90,P29,Strategy!$C$36:$C$90,"&lt;&gt;")&lt;&gt;1),"",INDEX(Strategy!$C$36:$C$90,MATCH(P29,Strategy!$B$36:$B$90,0)))</x:f>
        <x:v>4</x:v>
      </x:c>
      <x:c r="U29" s="366" t="n">
        <x:f>IF(OR(COUNT(R29:S29)&lt;&gt;2,R29&lt;0,R29&lt;&gt;INT(R29),S29&lt;=0),"",R29*S29)</x:f>
        <x:v>150</x:v>
      </x:c>
      <x:c r="V29" s="388" t="n">
        <x:f>IF(OR(NOT(ISNUMBER(U29)),NOT(ISNUMBER($O$1)),$O$1&lt;=0),"",IF(Q29="seconds",U29/$O$1,IF(Q29="reps/leg",2*U29,IF(Q29="reps",U29,""))))</x:f>
        <x:v>50</x:v>
      </x:c>
      <x:c r="W29" s="359" t="str">
        <x:f>IF(OR(COUNTIFS(Strategy!$B$36:$B$90,P29)&lt;&gt;1,COUNTIFS(Strategy!$B$36:$B$90,P29,Strategy!$D$36:$D$90,"&lt;&gt;")&lt;&gt;1),"",INDEX(Strategy!$D$36:$D$90,MATCH(P29,Strategy!$B$36:$B$90,0)))</x:f>
        <x:v>seconds</x:v>
      </x:c>
      <x:c r="X29" s="369" t="n">
        <x:f>IF(OR(COUNT(T29:V29)&lt;&gt;3,Q29&lt;&gt;W29,T29&lt;0,T29&gt;10),"",T29*V29)</x:f>
        <x:v>200</x:v>
      </x:c>
      <x:c r="Y29" s="373" t="str">
        <x:v>Core: one 30-second work interval per round; rest excluded.</x:v>
      </x:c>
    </x:row>
    <x:row r="30" ht="15" hidden="0" customHeight="1">
      <x:c r="A30" s="327" t="n">
        <x:f>Daily!A10</x:f>
        <x:v>46333.5</x:v>
      </x:c>
      <x:c r="B30" s="322" t="str">
        <x:f>Daily!D10</x:f>
        <x:v>Skill micro-session</x:v>
      </x:c>
      <x:c r="C30" s="322" t="str">
        <x:v>A · Wrist/shoulder mobility</x:v>
      </x:c>
      <x:c r="D30" s="322" t="str">
        <x:v>seconds</x:v>
      </x:c>
      <x:c r="E30" s="324" t="b">
        <x:v>1</x:v>
      </x:c>
      <x:c r="F30" s="330" t="n">
        <x:v>120</x:v>
      </x:c>
      <x:c r="G30" s="331" t="str">
        <x:f>IF(AND(OR(Daily!H10=TRUE,Daily!AB10=TRUE),COUNT(Daily!I10)&gt;0),SUM(Daily!I10)*86400,"")</x:f>
      </x:c>
      <x:c r="H30" s="331" t="n">
        <x:f>IF(AND(E30=TRUE,ISNUMBER(F30),F30&gt;0),100,"")</x:f>
        <x:v>100</x:v>
      </x:c>
      <x:c r="I30" s="331" t="str">
        <x:f>IF(AND(ISNUMBER(H30),ISNUMBER(G30)),IF(J30="lower",IF(G30&gt;0,100*F30/G30,""),100*G30/F30),"")</x:f>
      </x:c>
      <x:c r="J30" s="325" t="str">
        <x:v>higher</x:v>
      </x:c>
      <x:c r="N30" s="364" t="n">
        <x:f>Daily!A7</x:f>
        <x:v>46328.5</x:v>
      </x:c>
      <x:c r="O30" s="361" t="str">
        <x:f>Daily!D7</x:f>
        <x:v>Skill A + interval circuit</x:v>
      </x:c>
      <x:c r="P30" s="372" t="str">
        <x:v>Weighted squat</x:v>
      </x:c>
      <x:c r="Q30" s="362" t="str">
        <x:v>seconds</x:v>
      </x:c>
      <x:c r="R30" s="367" t="n">
        <x:v>5</x:v>
      </x:c>
      <x:c r="S30" s="367" t="n">
        <x:v>30</x:v>
      </x:c>
      <x:c r="T30" s="368" t="n">
        <x:f>IF(OR(COUNTIFS(Strategy!$B$36:$B$90,P30)&lt;&gt;1,COUNTIFS(Strategy!$B$36:$B$90,P30,Strategy!$C$36:$C$90,"&lt;&gt;")&lt;&gt;1),"",INDEX(Strategy!$C$36:$C$90,MATCH(P30,Strategy!$B$36:$B$90,0)))</x:f>
        <x:v>5</x:v>
      </x:c>
      <x:c r="U30" s="368" t="n">
        <x:f>IF(OR(COUNT(R30:S30)&lt;&gt;2,R30&lt;0,R30&lt;&gt;INT(R30),S30&lt;=0),"",R30*S30)</x:f>
        <x:v>150</x:v>
      </x:c>
      <x:c r="V30" s="389" t="n">
        <x:f>IF(OR(NOT(ISNUMBER(U30)),NOT(ISNUMBER($O$1)),$O$1&lt;=0),"",IF(Q30="seconds",U30/$O$1,IF(Q30="reps/leg",2*U30,IF(Q30="reps",U30,""))))</x:f>
        <x:v>50</x:v>
      </x:c>
      <x:c r="W30" s="361" t="str">
        <x:f>IF(OR(COUNTIFS(Strategy!$B$36:$B$90,P30)&lt;&gt;1,COUNTIFS(Strategy!$B$36:$B$90,P30,Strategy!$D$36:$D$90,"&lt;&gt;")&lt;&gt;1),"",INDEX(Strategy!$D$36:$D$90,MATCH(P30,Strategy!$B$36:$B$90,0)))</x:f>
        <x:v>seconds</x:v>
      </x:c>
      <x:c r="X30" s="370" t="n">
        <x:f>IF(OR(COUNT(T30:V30)&lt;&gt;3,Q30&lt;&gt;W30,T30&lt;0,T30&gt;10),"",T30*V30)</x:f>
        <x:v>250</x:v>
      </x:c>
      <x:c r="Y30" s="374" t="str">
        <x:v>Core: one 30-second work interval per round; rest excluded.</x:v>
      </x:c>
    </x:row>
    <x:row r="31" ht="15" hidden="0" customHeight="1">
      <x:c r="A31" s="326" t="n">
        <x:f>Daily!A10</x:f>
        <x:v>46333.5</x:v>
      </x:c>
      <x:c r="B31" s="318" t="str">
        <x:f>Daily!D10</x:f>
        <x:v>Skill micro-session</x:v>
      </x:c>
      <x:c r="C31" s="318" t="str">
        <x:v>B · Easy chest-to-wall hold</x:v>
      </x:c>
      <x:c r="D31" s="318" t="str">
        <x:v>seconds</x:v>
      </x:c>
      <x:c r="E31" s="320" t="b">
        <x:v>1</x:v>
      </x:c>
      <x:c r="F31" s="328" t="n">
        <x:v>45</x:v>
      </x:c>
      <x:c r="G31" s="329" t="str">
        <x:f>IF(AND(OR(Daily!N10=TRUE,Daily!AB10=TRUE),COUNT(Daily!O10,Daily!P10,Daily!Q10)&gt;0),SUM(Daily!O10,Daily!P10,Daily!Q10)*86400,"")</x:f>
      </x:c>
      <x:c r="H31" s="329" t="n">
        <x:f>IF(AND(E31=TRUE,ISNUMBER(F31),F31&gt;0),100,"")</x:f>
        <x:v>100</x:v>
      </x:c>
      <x:c r="I31" s="329" t="str">
        <x:f>IF(AND(ISNUMBER(H31),ISNUMBER(G31)),IF(J31="lower",IF(G31&gt;0,100*F31/G31,""),100*G31/F31),"")</x:f>
      </x:c>
      <x:c r="J31" s="321" t="str">
        <x:v>higher</x:v>
      </x:c>
      <x:c r="N31" s="363" t="n">
        <x:f>Daily!A7</x:f>
        <x:v>46328.5</x:v>
      </x:c>
      <x:c r="O31" s="359" t="str">
        <x:f>Daily!D7</x:f>
        <x:v>Skill A + interval circuit</x:v>
      </x:c>
      <x:c r="P31" s="371" t="str">
        <x:v>Upside-down hanging shoulder/ab work</x:v>
      </x:c>
      <x:c r="Q31" s="360" t="str">
        <x:v>seconds</x:v>
      </x:c>
      <x:c r="R31" s="365" t="n">
        <x:v>5</x:v>
      </x:c>
      <x:c r="S31" s="365" t="n">
        <x:v>30</x:v>
      </x:c>
      <x:c r="T31" s="366" t="n">
        <x:f>IF(OR(COUNTIFS(Strategy!$B$36:$B$90,P31)&lt;&gt;1,COUNTIFS(Strategy!$B$36:$B$90,P31,Strategy!$C$36:$C$90,"&lt;&gt;")&lt;&gt;1),"",INDEX(Strategy!$C$36:$C$90,MATCH(P31,Strategy!$B$36:$B$90,0)))</x:f>
        <x:v>5</x:v>
      </x:c>
      <x:c r="U31" s="366" t="n">
        <x:f>IF(OR(COUNT(R31:S31)&lt;&gt;2,R31&lt;0,R31&lt;&gt;INT(R31),S31&lt;=0),"",R31*S31)</x:f>
        <x:v>150</x:v>
      </x:c>
      <x:c r="V31" s="388" t="n">
        <x:f>IF(OR(NOT(ISNUMBER(U31)),NOT(ISNUMBER($O$1)),$O$1&lt;=0),"",IF(Q31="seconds",U31/$O$1,IF(Q31="reps/leg",2*U31,IF(Q31="reps",U31,""))))</x:f>
        <x:v>50</x:v>
      </x:c>
      <x:c r="W31" s="359" t="str">
        <x:f>IF(OR(COUNTIFS(Strategy!$B$36:$B$90,P31)&lt;&gt;1,COUNTIFS(Strategy!$B$36:$B$90,P31,Strategy!$D$36:$D$90,"&lt;&gt;")&lt;&gt;1),"",INDEX(Strategy!$D$36:$D$90,MATCH(P31,Strategy!$B$36:$B$90,0)))</x:f>
        <x:v>seconds</x:v>
      </x:c>
      <x:c r="X31" s="369" t="n">
        <x:f>IF(OR(COUNT(T31:V31)&lt;&gt;3,Q31&lt;&gt;W31,T31&lt;0,T31&gt;10),"",T31*V31)</x:f>
        <x:v>250</x:v>
      </x:c>
      <x:c r="Y31" s="373" t="str">
        <x:v>Core: one 30-second work interval per round; rest excluded.</x:v>
      </x:c>
    </x:row>
    <x:row r="32" ht="15" hidden="0" customHeight="1">
      <x:c r="A32" s="327" t="n">
        <x:f>Daily!A10</x:f>
        <x:v>46333.5</x:v>
      </x:c>
      <x:c r="B32" s="322" t="str">
        <x:f>Daily!D10</x:f>
        <x:v>Skill micro-session</x:v>
      </x:c>
      <x:c r="C32" s="322" t="str">
        <x:v>C · Wall handstand line drill</x:v>
      </x:c>
      <x:c r="D32" s="322" t="str">
        <x:v>seconds</x:v>
      </x:c>
      <x:c r="E32" s="324" t="b">
        <x:v>1</x:v>
      </x:c>
      <x:c r="F32" s="330" t="n">
        <x:v>45</x:v>
      </x:c>
      <x:c r="G32" s="331" t="str">
        <x:f>IF(AND(OR(Daily!T10=TRUE,Daily!AB10=TRUE),COUNT(Daily!U10,Daily!V10,Daily!W10)&gt;0),SUM(Daily!U10,Daily!V10,Daily!W10)*86400,"")</x:f>
      </x:c>
      <x:c r="H32" s="331" t="n">
        <x:f>IF(AND(E32=TRUE,ISNUMBER(F32),F32&gt;0),100,"")</x:f>
        <x:v>100</x:v>
      </x:c>
      <x:c r="I32" s="331" t="str">
        <x:f>IF(AND(ISNUMBER(H32),ISNUMBER(G32)),IF(J32="lower",IF(G32&gt;0,100*F32/G32,""),100*G32/F32),"")</x:f>
      </x:c>
      <x:c r="J32" s="325" t="str">
        <x:v>higher</x:v>
      </x:c>
      <x:c r="N32" s="364" t="n">
        <x:f>Daily!A8</x:f>
        <x:v>46329.5</x:v>
      </x:c>
      <x:c r="O32" s="361" t="str">
        <x:f>Daily!D8</x:f>
        <x:v>Handstand technique</x:v>
      </x:c>
      <x:c r="P32" s="372" t="str">
        <x:v>Wrist/shoulder mobility</x:v>
      </x:c>
      <x:c r="Q32" s="362" t="str">
        <x:v>seconds</x:v>
      </x:c>
      <x:c r="R32" s="367" t="n">
        <x:v>1</x:v>
      </x:c>
      <x:c r="S32" s="367" t="n">
        <x:v>120</x:v>
      </x:c>
      <x:c r="T32" s="368" t="n">
        <x:f>IF(OR(COUNTIFS(Strategy!$B$36:$B$90,P32)&lt;&gt;1,COUNTIFS(Strategy!$B$36:$B$90,P32,Strategy!$C$36:$C$90,"&lt;&gt;")&lt;&gt;1),"",INDEX(Strategy!$C$36:$C$90,MATCH(P32,Strategy!$B$36:$B$90,0)))</x:f>
        <x:v>1</x:v>
      </x:c>
      <x:c r="U32" s="368" t="n">
        <x:f>IF(OR(COUNT(R32:S32)&lt;&gt;2,R32&lt;0,R32&lt;&gt;INT(R32),S32&lt;=0),"",R32*S32)</x:f>
        <x:v>120</x:v>
      </x:c>
      <x:c r="V32" s="389" t="n">
        <x:f>IF(OR(NOT(ISNUMBER(U32)),NOT(ISNUMBER($O$1)),$O$1&lt;=0),"",IF(Q32="seconds",U32/$O$1,IF(Q32="reps/leg",2*U32,IF(Q32="reps",U32,""))))</x:f>
        <x:v>40</x:v>
      </x:c>
      <x:c r="W32" s="361" t="str">
        <x:f>IF(OR(COUNTIFS(Strategy!$B$36:$B$90,P32)&lt;&gt;1,COUNTIFS(Strategy!$B$36:$B$90,P32,Strategy!$D$36:$D$90,"&lt;&gt;")&lt;&gt;1),"",INDEX(Strategy!$D$36:$D$90,MATCH(P32,Strategy!$B$36:$B$90,0)))</x:f>
        <x:v>seconds</x:v>
      </x:c>
      <x:c r="X32" s="370" t="n">
        <x:f>IF(OR(COUNT(T32:V32)&lt;&gt;3,Q32&lt;&gt;W32,T32&lt;0,T32&gt;10),"",T32*V32)</x:f>
        <x:v>40</x:v>
      </x:c>
      <x:c r="Y32" s="374" t="str"/>
    </x:row>
    <x:row r="33" ht="15" hidden="0" customHeight="1">
      <x:c r="A33" s="326" t="n">
        <x:f>Daily!A11</x:f>
        <x:v>46335.5</x:v>
      </x:c>
      <x:c r="B33" s="318" t="str">
        <x:f>Daily!D11</x:f>
        <x:v>Skill A + interval circuit</x:v>
      </x:c>
      <x:c r="C33" s="318" t="str">
        <x:v>A · Explosive pull-up</x:v>
      </x:c>
      <x:c r="D33" s="318" t="str">
        <x:v>reps</x:v>
      </x:c>
      <x:c r="E33" s="320" t="b">
        <x:v>1</x:v>
      </x:c>
      <x:c r="F33" s="328" t="n">
        <x:v>8</x:v>
      </x:c>
      <x:c r="G33" s="329" t="str">
        <x:f>IF(AND(OR(Daily!H11=TRUE,Daily!AB11=TRUE),COUNT(Daily!I11,Daily!J11,Daily!K11,Daily!L11)&gt;0),SUM(Daily!I11,Daily!J11,Daily!K11,Daily!L11),"")</x:f>
      </x:c>
      <x:c r="H33" s="329" t="n">
        <x:f>IF(AND(E33=TRUE,ISNUMBER(F33),F33&gt;0),100,"")</x:f>
        <x:v>100</x:v>
      </x:c>
      <x:c r="I33" s="329" t="str">
        <x:f>IF(AND(ISNUMBER(H33),ISNUMBER(G33)),IF(J33="lower",IF(G33&gt;0,100*F33/G33,""),100*G33/F33),"")</x:f>
      </x:c>
      <x:c r="J33" s="321" t="str">
        <x:v>higher</x:v>
      </x:c>
      <x:c r="N33" s="363" t="n">
        <x:f>Daily!A8</x:f>
        <x:v>46329.5</x:v>
      </x:c>
      <x:c r="O33" s="359" t="str">
        <x:f>Daily!D8</x:f>
        <x:v>Handstand technique</x:v>
      </x:c>
      <x:c r="P33" s="371" t="str">
        <x:v>Easy chest-to-wall hold</x:v>
      </x:c>
      <x:c r="Q33" s="360" t="str">
        <x:v>seconds</x:v>
      </x:c>
      <x:c r="R33" s="365" t="n">
        <x:v>3</x:v>
      </x:c>
      <x:c r="S33" s="365" t="n">
        <x:v>15</x:v>
      </x:c>
      <x:c r="T33" s="366" t="n">
        <x:f>IF(OR(COUNTIFS(Strategy!$B$36:$B$90,P33)&lt;&gt;1,COUNTIFS(Strategy!$B$36:$B$90,P33,Strategy!$C$36:$C$90,"&lt;&gt;")&lt;&gt;1),"",INDEX(Strategy!$C$36:$C$90,MATCH(P33,Strategy!$B$36:$B$90,0)))</x:f>
        <x:v>1</x:v>
      </x:c>
      <x:c r="U33" s="366" t="n">
        <x:f>IF(OR(COUNT(R33:S33)&lt;&gt;2,R33&lt;0,R33&lt;&gt;INT(R33),S33&lt;=0),"",R33*S33)</x:f>
        <x:v>45</x:v>
      </x:c>
      <x:c r="V33" s="388" t="n">
        <x:f>IF(OR(NOT(ISNUMBER(U33)),NOT(ISNUMBER($O$1)),$O$1&lt;=0),"",IF(Q33="seconds",U33/$O$1,IF(Q33="reps/leg",2*U33,IF(Q33="reps",U33,""))))</x:f>
        <x:v>15</x:v>
      </x:c>
      <x:c r="W33" s="359" t="str">
        <x:f>IF(OR(COUNTIFS(Strategy!$B$36:$B$90,P33)&lt;&gt;1,COUNTIFS(Strategy!$B$36:$B$90,P33,Strategy!$D$36:$D$90,"&lt;&gt;")&lt;&gt;1),"",INDEX(Strategy!$D$36:$D$90,MATCH(P33,Strategy!$B$36:$B$90,0)))</x:f>
        <x:v>seconds</x:v>
      </x:c>
      <x:c r="X33" s="369" t="n">
        <x:f>IF(OR(COUNT(T33:V33)&lt;&gt;3,Q33&lt;&gt;W33,T33&lt;0,T33&gt;10),"",T33*V33)</x:f>
        <x:v>15</x:v>
      </x:c>
      <x:c r="Y33" s="373" t="str"/>
    </x:row>
    <x:row r="34" ht="15" hidden="0" customHeight="1">
      <x:c r="A34" s="327" t="n">
        <x:f>Daily!A11</x:f>
        <x:v>46335.5</x:v>
      </x:c>
      <x:c r="B34" s="322" t="str">
        <x:f>Daily!D11</x:f>
        <x:v>Skill A + interval circuit</x:v>
      </x:c>
      <x:c r="C34" s="322" t="str">
        <x:v>B · Low-bar transition</x:v>
      </x:c>
      <x:c r="D34" s="322" t="str">
        <x:v>reps</x:v>
      </x:c>
      <x:c r="E34" s="324" t="b">
        <x:v>1</x:v>
      </x:c>
      <x:c r="F34" s="330" t="n">
        <x:v>9</x:v>
      </x:c>
      <x:c r="G34" s="331" t="str">
        <x:f>IF(AND(OR(Daily!N11=TRUE,Daily!AB11=TRUE),COUNT(Daily!O11,Daily!P11,Daily!Q11)&gt;0),SUM(Daily!O11,Daily!P11,Daily!Q11),"")</x:f>
      </x:c>
      <x:c r="H34" s="331" t="n">
        <x:f>IF(AND(E34=TRUE,ISNUMBER(F34),F34&gt;0),100,"")</x:f>
        <x:v>100</x:v>
      </x:c>
      <x:c r="I34" s="331" t="str">
        <x:f>IF(AND(ISNUMBER(H34),ISNUMBER(G34)),IF(J34="lower",IF(G34&gt;0,100*F34/G34,""),100*G34/F34),"")</x:f>
      </x:c>
      <x:c r="J34" s="325" t="str">
        <x:v>higher</x:v>
      </x:c>
      <x:c r="N34" s="364" t="n">
        <x:f>Daily!A8</x:f>
        <x:v>46329.5</x:v>
      </x:c>
      <x:c r="O34" s="361" t="str">
        <x:f>Daily!D8</x:f>
        <x:v>Handstand technique</x:v>
      </x:c>
      <x:c r="P34" s="372" t="str">
        <x:v>Wall handstand line drill</x:v>
      </x:c>
      <x:c r="Q34" s="362" t="str">
        <x:v>seconds</x:v>
      </x:c>
      <x:c r="R34" s="367" t="n">
        <x:v>2</x:v>
      </x:c>
      <x:c r="S34" s="367" t="n">
        <x:v>15</x:v>
      </x:c>
      <x:c r="T34" s="368" t="n">
        <x:f>IF(OR(COUNTIFS(Strategy!$B$36:$B$90,P34)&lt;&gt;1,COUNTIFS(Strategy!$B$36:$B$90,P34,Strategy!$C$36:$C$90,"&lt;&gt;")&lt;&gt;1),"",INDEX(Strategy!$C$36:$C$90,MATCH(P34,Strategy!$B$36:$B$90,0)))</x:f>
        <x:v>1</x:v>
      </x:c>
      <x:c r="U34" s="368" t="n">
        <x:f>IF(OR(COUNT(R34:S34)&lt;&gt;2,R34&lt;0,R34&lt;&gt;INT(R34),S34&lt;=0),"",R34*S34)</x:f>
        <x:v>30</x:v>
      </x:c>
      <x:c r="V34" s="389" t="n">
        <x:f>IF(OR(NOT(ISNUMBER(U34)),NOT(ISNUMBER($O$1)),$O$1&lt;=0),"",IF(Q34="seconds",U34/$O$1,IF(Q34="reps/leg",2*U34,IF(Q34="reps",U34,""))))</x:f>
        <x:v>10</x:v>
      </x:c>
      <x:c r="W34" s="361" t="str">
        <x:f>IF(OR(COUNTIFS(Strategy!$B$36:$B$90,P34)&lt;&gt;1,COUNTIFS(Strategy!$B$36:$B$90,P34,Strategy!$D$36:$D$90,"&lt;&gt;")&lt;&gt;1),"",INDEX(Strategy!$D$36:$D$90,MATCH(P34,Strategy!$B$36:$B$90,0)))</x:f>
        <x:v>seconds</x:v>
      </x:c>
      <x:c r="X34" s="370" t="n">
        <x:f>IF(OR(COUNT(T34:V34)&lt;&gt;3,Q34&lt;&gt;W34,T34&lt;0,T34&gt;10),"",T34*V34)</x:f>
        <x:v>10</x:v>
      </x:c>
      <x:c r="Y34" s="374" t="str"/>
    </x:row>
    <x:row r="35" ht="15" hidden="0" customHeight="1">
      <x:c r="A35" s="326" t="n">
        <x:f>Daily!A11</x:f>
        <x:v>46335.5</x:v>
      </x:c>
      <x:c r="B35" s="318" t="str">
        <x:f>Daily!D11</x:f>
        <x:v>Skill A + interval circuit</x:v>
      </x:c>
      <x:c r="C35" s="318" t="str">
        <x:v>C · Assisted full-depth pistol</x:v>
      </x:c>
      <x:c r="D35" s="318" t="str">
        <x:v>reps/leg</x:v>
      </x:c>
      <x:c r="E35" s="320" t="b">
        <x:v>1</x:v>
      </x:c>
      <x:c r="F35" s="328" t="n">
        <x:v>12</x:v>
      </x:c>
      <x:c r="G35" s="329" t="str">
        <x:f>IF(AND(OR(Daily!T11=TRUE,Daily!AB11=TRUE),COUNT(Daily!U11,Daily!V11,Daily!W11)&gt;0),SUM(Daily!U11,Daily!V11,Daily!W11),"")</x:f>
      </x:c>
      <x:c r="H35" s="329" t="n">
        <x:f>IF(AND(E35=TRUE,ISNUMBER(F35),F35&gt;0),100,"")</x:f>
        <x:v>100</x:v>
      </x:c>
      <x:c r="I35" s="329" t="str">
        <x:f>IF(AND(ISNUMBER(H35),ISNUMBER(G35)),IF(J35="lower",IF(G35&gt;0,100*F35/G35,""),100*G35/F35),"")</x:f>
      </x:c>
      <x:c r="J35" s="321" t="str">
        <x:v>higher</x:v>
      </x:c>
      <x:c r="N35" s="363" t="n">
        <x:f>Daily!A9</x:f>
        <x:v>46331.5</x:v>
      </x:c>
      <x:c r="O35" s="359" t="str">
        <x:f>Daily!D9</x:f>
        <x:v>Skill B + circuit</x:v>
      </x:c>
      <x:c r="P35" s="371" t="str">
        <x:v>Wall handstand</x:v>
      </x:c>
      <x:c r="Q35" s="360" t="str">
        <x:v>seconds</x:v>
      </x:c>
      <x:c r="R35" s="365" t="n">
        <x:v>3</x:v>
      </x:c>
      <x:c r="S35" s="365" t="n">
        <x:v>25</x:v>
      </x:c>
      <x:c r="T35" s="366" t="n">
        <x:f>IF(OR(COUNTIFS(Strategy!$B$36:$B$90,P35)&lt;&gt;1,COUNTIFS(Strategy!$B$36:$B$90,P35,Strategy!$C$36:$C$90,"&lt;&gt;")&lt;&gt;1),"",INDEX(Strategy!$C$36:$C$90,MATCH(P35,Strategy!$B$36:$B$90,0)))</x:f>
        <x:v>4</x:v>
      </x:c>
      <x:c r="U35" s="366" t="n">
        <x:f>IF(OR(COUNT(R35:S35)&lt;&gt;2,R35&lt;0,R35&lt;&gt;INT(R35),S35&lt;=0),"",R35*S35)</x:f>
        <x:v>75</x:v>
      </x:c>
      <x:c r="V35" s="388" t="n">
        <x:f>IF(OR(NOT(ISNUMBER(U35)),NOT(ISNUMBER($O$1)),$O$1&lt;=0),"",IF(Q35="seconds",U35/$O$1,IF(Q35="reps/leg",2*U35,IF(Q35="reps",U35,""))))</x:f>
        <x:v>25</x:v>
      </x:c>
      <x:c r="W35" s="359" t="str">
        <x:f>IF(OR(COUNTIFS(Strategy!$B$36:$B$90,P35)&lt;&gt;1,COUNTIFS(Strategy!$B$36:$B$90,P35,Strategy!$D$36:$D$90,"&lt;&gt;")&lt;&gt;1),"",INDEX(Strategy!$D$36:$D$90,MATCH(P35,Strategy!$B$36:$B$90,0)))</x:f>
        <x:v>seconds</x:v>
      </x:c>
      <x:c r="X35" s="369" t="n">
        <x:f>IF(OR(COUNT(T35:V35)&lt;&gt;3,Q35&lt;&gt;W35,T35&lt;0,T35&gt;10),"",T35*V35)</x:f>
        <x:v>100</x:v>
      </x:c>
      <x:c r="Y35" s="373" t="str"/>
    </x:row>
    <x:row r="36" ht="15" hidden="0" customHeight="1">
      <x:c r="A36" s="327" t="n">
        <x:f>Daily!A11</x:f>
        <x:v>46335.5</x:v>
      </x:c>
      <x:c r="B36" s="322" t="str">
        <x:f>Daily!D11</x:f>
        <x:v>Skill A + interval circuit</x:v>
      </x:c>
      <x:c r="C36" s="322" t="str">
        <x:v>Core</x:v>
      </x:c>
      <x:c r="D36" s="322" t="str">
        <x:v>rounds</x:v>
      </x:c>
      <x:c r="E36" s="324" t="b">
        <x:v>1</x:v>
      </x:c>
      <x:c r="F36" s="330" t="n">
        <x:v>5</x:v>
      </x:c>
      <x:c r="G36" s="331" t="str">
        <x:f>IF(AND(OR(Daily!Z11=TRUE,Daily!AB11=TRUE),COUNT(Daily!AA11)&gt;0),SUM(Daily!AA11),"")</x:f>
      </x:c>
      <x:c r="H36" s="331" t="n">
        <x:f>IF(AND(E36=TRUE,ISNUMBER(F36),F36&gt;0),100,"")</x:f>
        <x:v>100</x:v>
      </x:c>
      <x:c r="I36" s="331" t="str">
        <x:f>IF(AND(ISNUMBER(H36),ISNUMBER(G36)),IF(J36="lower",IF(G36&gt;0,100*F36/G36,""),100*G36/F36),"")</x:f>
      </x:c>
      <x:c r="J36" s="325" t="str">
        <x:v>higher</x:v>
      </x:c>
      <x:c r="N36" s="364" t="n">
        <x:f>Daily!A9</x:f>
        <x:v>46331.5</x:v>
      </x:c>
      <x:c r="O36" s="361" t="str">
        <x:f>Daily!D9</x:f>
        <x:v>Skill B + circuit</x:v>
      </x:c>
      <x:c r="P36" s="372" t="str">
        <x:v>Elevated pike push-up</x:v>
      </x:c>
      <x:c r="Q36" s="362" t="str">
        <x:v>reps</x:v>
      </x:c>
      <x:c r="R36" s="367" t="n">
        <x:v>3</x:v>
      </x:c>
      <x:c r="S36" s="367" t="n">
        <x:v>4</x:v>
      </x:c>
      <x:c r="T36" s="368" t="n">
        <x:f>IF(OR(COUNTIFS(Strategy!$B$36:$B$90,P36)&lt;&gt;1,COUNTIFS(Strategy!$B$36:$B$90,P36,Strategy!$C$36:$C$90,"&lt;&gt;")&lt;&gt;1),"",INDEX(Strategy!$C$36:$C$90,MATCH(P36,Strategy!$B$36:$B$90,0)))</x:f>
        <x:v>4</x:v>
      </x:c>
      <x:c r="U36" s="368" t="n">
        <x:f>IF(OR(COUNT(R36:S36)&lt;&gt;2,R36&lt;0,R36&lt;&gt;INT(R36),S36&lt;=0),"",R36*S36)</x:f>
        <x:v>12</x:v>
      </x:c>
      <x:c r="V36" s="389" t="n">
        <x:f>IF(OR(NOT(ISNUMBER(U36)),NOT(ISNUMBER($O$1)),$O$1&lt;=0),"",IF(Q36="seconds",U36/$O$1,IF(Q36="reps/leg",2*U36,IF(Q36="reps",U36,""))))</x:f>
        <x:v>12</x:v>
      </x:c>
      <x:c r="W36" s="361" t="str">
        <x:f>IF(OR(COUNTIFS(Strategy!$B$36:$B$90,P36)&lt;&gt;1,COUNTIFS(Strategy!$B$36:$B$90,P36,Strategy!$D$36:$D$90,"&lt;&gt;")&lt;&gt;1),"",INDEX(Strategy!$D$36:$D$90,MATCH(P36,Strategy!$B$36:$B$90,0)))</x:f>
        <x:v>reps</x:v>
      </x:c>
      <x:c r="X36" s="370" t="n">
        <x:f>IF(OR(COUNT(T36:V36)&lt;&gt;3,Q36&lt;&gt;W36,T36&lt;0,T36&gt;10),"",T36*V36)</x:f>
        <x:v>48</x:v>
      </x:c>
      <x:c r="Y36" s="374" t="str"/>
    </x:row>
    <x:row r="37" ht="15" hidden="0" customHeight="1">
      <x:c r="A37" s="326" t="n">
        <x:f>Daily!A12</x:f>
        <x:v>46336.5</x:v>
      </x:c>
      <x:c r="B37" s="318" t="str">
        <x:f>Daily!D12</x:f>
        <x:v>Handstand technique</x:v>
      </x:c>
      <x:c r="C37" s="318" t="str">
        <x:v>A · Wrist/shoulder mobility</x:v>
      </x:c>
      <x:c r="D37" s="318" t="str">
        <x:v>seconds</x:v>
      </x:c>
      <x:c r="E37" s="320" t="b">
        <x:v>1</x:v>
      </x:c>
      <x:c r="F37" s="328" t="n">
        <x:v>120</x:v>
      </x:c>
      <x:c r="G37" s="329" t="str">
        <x:f>IF(AND(OR(Daily!H12=TRUE,Daily!AB12=TRUE),COUNT(Daily!I12)&gt;0),SUM(Daily!I12)*86400,"")</x:f>
      </x:c>
      <x:c r="H37" s="329" t="n">
        <x:f>IF(AND(E37=TRUE,ISNUMBER(F37),F37&gt;0),100,"")</x:f>
        <x:v>100</x:v>
      </x:c>
      <x:c r="I37" s="329" t="str">
        <x:f>IF(AND(ISNUMBER(H37),ISNUMBER(G37)),IF(J37="lower",IF(G37&gt;0,100*F37/G37,""),100*G37/F37),"")</x:f>
      </x:c>
      <x:c r="J37" s="321" t="str">
        <x:v>higher</x:v>
      </x:c>
      <x:c r="N37" s="363" t="n">
        <x:f>Daily!A9</x:f>
        <x:v>46331.5</x:v>
      </x:c>
      <x:c r="O37" s="359" t="str">
        <x:f>Daily!D9</x:f>
        <x:v>Skill B + circuit</x:v>
      </x:c>
      <x:c r="P37" s="371" t="str">
        <x:v>Lower-box pistol with counterweight</x:v>
      </x:c>
      <x:c r="Q37" s="360" t="str">
        <x:v>reps/leg</x:v>
      </x:c>
      <x:c r="R37" s="365" t="n">
        <x:v>3</x:v>
      </x:c>
      <x:c r="S37" s="365" t="n">
        <x:v>4</x:v>
      </x:c>
      <x:c r="T37" s="366" t="n">
        <x:f>IF(OR(COUNTIFS(Strategy!$B$36:$B$90,P37)&lt;&gt;1,COUNTIFS(Strategy!$B$36:$B$90,P37,Strategy!$C$36:$C$90,"&lt;&gt;")&lt;&gt;1),"",INDEX(Strategy!$C$36:$C$90,MATCH(P37,Strategy!$B$36:$B$90,0)))</x:f>
        <x:v>2</x:v>
      </x:c>
      <x:c r="U37" s="366" t="n">
        <x:f>IF(OR(COUNT(R37:S37)&lt;&gt;2,R37&lt;0,R37&lt;&gt;INT(R37),S37&lt;=0),"",R37*S37)</x:f>
        <x:v>12</x:v>
      </x:c>
      <x:c r="V37" s="388" t="n">
        <x:f>IF(OR(NOT(ISNUMBER(U37)),NOT(ISNUMBER($O$1)),$O$1&lt;=0),"",IF(Q37="seconds",U37/$O$1,IF(Q37="reps/leg",2*U37,IF(Q37="reps",U37,""))))</x:f>
        <x:v>24</x:v>
      </x:c>
      <x:c r="W37" s="359" t="str">
        <x:f>IF(OR(COUNTIFS(Strategy!$B$36:$B$90,P37)&lt;&gt;1,COUNTIFS(Strategy!$B$36:$B$90,P37,Strategy!$D$36:$D$90,"&lt;&gt;")&lt;&gt;1),"",INDEX(Strategy!$D$36:$D$90,MATCH(P37,Strategy!$B$36:$B$90,0)))</x:f>
        <x:v>reps/leg</x:v>
      </x:c>
      <x:c r="X37" s="369" t="n">
        <x:f>IF(OR(COUNT(T37:V37)&lt;&gt;3,Q37&lt;&gt;W37,T37&lt;0,T37&gt;10),"",T37*V37)</x:f>
        <x:v>48</x:v>
      </x:c>
      <x:c r="Y37" s="373" t="str"/>
    </x:row>
    <x:row r="38" ht="15" hidden="0" customHeight="1">
      <x:c r="A38" s="327" t="n">
        <x:f>Daily!A12</x:f>
        <x:v>46336.5</x:v>
      </x:c>
      <x:c r="B38" s="322" t="str">
        <x:f>Daily!D12</x:f>
        <x:v>Handstand technique</x:v>
      </x:c>
      <x:c r="C38" s="322" t="str">
        <x:v>B · Easy chest-to-wall hold</x:v>
      </x:c>
      <x:c r="D38" s="322" t="str">
        <x:v>seconds</x:v>
      </x:c>
      <x:c r="E38" s="324" t="b">
        <x:v>1</x:v>
      </x:c>
      <x:c r="F38" s="330" t="n">
        <x:v>45</x:v>
      </x:c>
      <x:c r="G38" s="331" t="str">
        <x:f>IF(AND(OR(Daily!N12=TRUE,Daily!AB12=TRUE),COUNT(Daily!O12,Daily!P12,Daily!Q12)&gt;0),SUM(Daily!O12,Daily!P12,Daily!Q12)*86400,"")</x:f>
      </x:c>
      <x:c r="H38" s="331" t="n">
        <x:f>IF(AND(E38=TRUE,ISNUMBER(F38),F38&gt;0),100,"")</x:f>
        <x:v>100</x:v>
      </x:c>
      <x:c r="I38" s="331" t="str">
        <x:f>IF(AND(ISNUMBER(H38),ISNUMBER(G38)),IF(J38="lower",IF(G38&gt;0,100*F38/G38,""),100*G38/F38),"")</x:f>
      </x:c>
      <x:c r="J38" s="325" t="str">
        <x:v>higher</x:v>
      </x:c>
      <x:c r="N38" s="364" t="n">
        <x:f>Daily!A9</x:f>
        <x:v>46331.5</x:v>
      </x:c>
      <x:c r="O38" s="361" t="str">
        <x:f>Daily!D9</x:f>
        <x:v>Skill B + circuit</x:v>
      </x:c>
      <x:c r="P38" s="372" t="str">
        <x:v>Pull-up</x:v>
      </x:c>
      <x:c r="Q38" s="362" t="str">
        <x:v>seconds</x:v>
      </x:c>
      <x:c r="R38" s="367" t="n">
        <x:v>5</x:v>
      </x:c>
      <x:c r="S38" s="367" t="n">
        <x:v>30</x:v>
      </x:c>
      <x:c r="T38" s="368" t="n">
        <x:f>IF(OR(COUNTIFS(Strategy!$B$36:$B$90,P38)&lt;&gt;1,COUNTIFS(Strategy!$B$36:$B$90,P38,Strategy!$C$36:$C$90,"&lt;&gt;")&lt;&gt;1),"",INDEX(Strategy!$C$36:$C$90,MATCH(P38,Strategy!$B$36:$B$90,0)))</x:f>
        <x:v>6</x:v>
      </x:c>
      <x:c r="U38" s="368" t="n">
        <x:f>IF(OR(COUNT(R38:S38)&lt;&gt;2,R38&lt;0,R38&lt;&gt;INT(R38),S38&lt;=0),"",R38*S38)</x:f>
        <x:v>150</x:v>
      </x:c>
      <x:c r="V38" s="389" t="n">
        <x:f>IF(OR(NOT(ISNUMBER(U38)),NOT(ISNUMBER($O$1)),$O$1&lt;=0),"",IF(Q38="seconds",U38/$O$1,IF(Q38="reps/leg",2*U38,IF(Q38="reps",U38,""))))</x:f>
        <x:v>50</x:v>
      </x:c>
      <x:c r="W38" s="361" t="str">
        <x:f>IF(OR(COUNTIFS(Strategy!$B$36:$B$90,P38)&lt;&gt;1,COUNTIFS(Strategy!$B$36:$B$90,P38,Strategy!$D$36:$D$90,"&lt;&gt;")&lt;&gt;1),"",INDEX(Strategy!$D$36:$D$90,MATCH(P38,Strategy!$B$36:$B$90,0)))</x:f>
        <x:v>seconds</x:v>
      </x:c>
      <x:c r="X38" s="370" t="n">
        <x:f>IF(OR(COUNT(T38:V38)&lt;&gt;3,Q38&lt;&gt;W38,T38&lt;0,T38&gt;10),"",T38*V38)</x:f>
        <x:v>300</x:v>
      </x:c>
      <x:c r="Y38" s="374" t="str">
        <x:v>Core: one 30-second work interval per round; rest excluded.</x:v>
      </x:c>
    </x:row>
    <x:row r="39" ht="15" hidden="0" customHeight="1">
      <x:c r="A39" s="326" t="n">
        <x:f>Daily!A12</x:f>
        <x:v>46336.5</x:v>
      </x:c>
      <x:c r="B39" s="318" t="str">
        <x:f>Daily!D12</x:f>
        <x:v>Handstand technique</x:v>
      </x:c>
      <x:c r="C39" s="318" t="str">
        <x:v>C · Wall handstand line drill</x:v>
      </x:c>
      <x:c r="D39" s="318" t="str">
        <x:v>seconds</x:v>
      </x:c>
      <x:c r="E39" s="320" t="b">
        <x:v>1</x:v>
      </x:c>
      <x:c r="F39" s="328" t="n">
        <x:v>30</x:v>
      </x:c>
      <x:c r="G39" s="329" t="str">
        <x:f>IF(AND(OR(Daily!T12=TRUE,Daily!AB12=TRUE),COUNT(Daily!U12,Daily!V12)&gt;0),SUM(Daily!U12,Daily!V12)*86400,"")</x:f>
      </x:c>
      <x:c r="H39" s="329" t="n">
        <x:f>IF(AND(E39=TRUE,ISNUMBER(F39),F39&gt;0),100,"")</x:f>
        <x:v>100</x:v>
      </x:c>
      <x:c r="I39" s="329" t="str">
        <x:f>IF(AND(ISNUMBER(H39),ISNUMBER(G39)),IF(J39="lower",IF(G39&gt;0,100*F39/G39,""),100*G39/F39),"")</x:f>
      </x:c>
      <x:c r="J39" s="321" t="str">
        <x:v>higher</x:v>
      </x:c>
      <x:c r="N39" s="363" t="n">
        <x:f>Daily!A9</x:f>
        <x:v>46331.5</x:v>
      </x:c>
      <x:c r="O39" s="359" t="str">
        <x:f>Daily!D9</x:f>
        <x:v>Skill B + circuit</x:v>
      </x:c>
      <x:c r="P39" s="371" t="str">
        <x:v>Push-up</x:v>
      </x:c>
      <x:c r="Q39" s="360" t="str">
        <x:v>seconds</x:v>
      </x:c>
      <x:c r="R39" s="365" t="n">
        <x:v>5</x:v>
      </x:c>
      <x:c r="S39" s="365" t="n">
        <x:v>30</x:v>
      </x:c>
      <x:c r="T39" s="366" t="n">
        <x:f>IF(OR(COUNTIFS(Strategy!$B$36:$B$90,P39)&lt;&gt;1,COUNTIFS(Strategy!$B$36:$B$90,P39,Strategy!$C$36:$C$90,"&lt;&gt;")&lt;&gt;1),"",INDEX(Strategy!$C$36:$C$90,MATCH(P39,Strategy!$B$36:$B$90,0)))</x:f>
        <x:v>4</x:v>
      </x:c>
      <x:c r="U39" s="366" t="n">
        <x:f>IF(OR(COUNT(R39:S39)&lt;&gt;2,R39&lt;0,R39&lt;&gt;INT(R39),S39&lt;=0),"",R39*S39)</x:f>
        <x:v>150</x:v>
      </x:c>
      <x:c r="V39" s="388" t="n">
        <x:f>IF(OR(NOT(ISNUMBER(U39)),NOT(ISNUMBER($O$1)),$O$1&lt;=0),"",IF(Q39="seconds",U39/$O$1,IF(Q39="reps/leg",2*U39,IF(Q39="reps",U39,""))))</x:f>
        <x:v>50</x:v>
      </x:c>
      <x:c r="W39" s="359" t="str">
        <x:f>IF(OR(COUNTIFS(Strategy!$B$36:$B$90,P39)&lt;&gt;1,COUNTIFS(Strategy!$B$36:$B$90,P39,Strategy!$D$36:$D$90,"&lt;&gt;")&lt;&gt;1),"",INDEX(Strategy!$D$36:$D$90,MATCH(P39,Strategy!$B$36:$B$90,0)))</x:f>
        <x:v>seconds</x:v>
      </x:c>
      <x:c r="X39" s="369" t="n">
        <x:f>IF(OR(COUNT(T39:V39)&lt;&gt;3,Q39&lt;&gt;W39,T39&lt;0,T39&gt;10),"",T39*V39)</x:f>
        <x:v>200</x:v>
      </x:c>
      <x:c r="Y39" s="373" t="str">
        <x:v>Core: one 30-second work interval per round; rest excluded.</x:v>
      </x:c>
    </x:row>
    <x:row r="40" ht="15" hidden="0" customHeight="1">
      <x:c r="A40" s="327" t="n">
        <x:f>Daily!A13</x:f>
        <x:v>46338.5</x:v>
      </x:c>
      <x:c r="B40" s="322" t="str">
        <x:f>Daily!D13</x:f>
        <x:v>Skill B + circuit</x:v>
      </x:c>
      <x:c r="C40" s="322" t="str">
        <x:v>B · Pike push-up</x:v>
      </x:c>
      <x:c r="D40" s="322" t="str">
        <x:v>reps</x:v>
      </x:c>
      <x:c r="E40" s="324" t="b">
        <x:v>1</x:v>
      </x:c>
      <x:c r="F40" s="330" t="n">
        <x:v>15</x:v>
      </x:c>
      <x:c r="G40" s="331" t="str">
        <x:f>IF(AND(OR(Daily!N13=TRUE,Daily!AB13=TRUE),COUNT(Daily!O13,Daily!P13,Daily!Q13)&gt;0),SUM(Daily!O13,Daily!P13,Daily!Q13),"")</x:f>
      </x:c>
      <x:c r="H40" s="331" t="n">
        <x:f>IF(AND(E40=TRUE,ISNUMBER(F40),F40&gt;0),100,"")</x:f>
        <x:v>100</x:v>
      </x:c>
      <x:c r="I40" s="331" t="str">
        <x:f>IF(AND(ISNUMBER(H40),ISNUMBER(G40)),IF(J40="lower",IF(G40&gt;0,100*F40/G40,""),100*G40/F40),"")</x:f>
      </x:c>
      <x:c r="J40" s="325" t="str">
        <x:v>higher</x:v>
      </x:c>
      <x:c r="N40" s="364" t="n">
        <x:f>Daily!A9</x:f>
        <x:v>46331.5</x:v>
      </x:c>
      <x:c r="O40" s="361" t="str">
        <x:f>Daily!D9</x:f>
        <x:v>Skill B + circuit</x:v>
      </x:c>
      <x:c r="P40" s="372" t="str">
        <x:v>Weighted squat</x:v>
      </x:c>
      <x:c r="Q40" s="362" t="str">
        <x:v>seconds</x:v>
      </x:c>
      <x:c r="R40" s="367" t="n">
        <x:v>5</x:v>
      </x:c>
      <x:c r="S40" s="367" t="n">
        <x:v>30</x:v>
      </x:c>
      <x:c r="T40" s="368" t="n">
        <x:f>IF(OR(COUNTIFS(Strategy!$B$36:$B$90,P40)&lt;&gt;1,COUNTIFS(Strategy!$B$36:$B$90,P40,Strategy!$C$36:$C$90,"&lt;&gt;")&lt;&gt;1),"",INDEX(Strategy!$C$36:$C$90,MATCH(P40,Strategy!$B$36:$B$90,0)))</x:f>
        <x:v>5</x:v>
      </x:c>
      <x:c r="U40" s="368" t="n">
        <x:f>IF(OR(COUNT(R40:S40)&lt;&gt;2,R40&lt;0,R40&lt;&gt;INT(R40),S40&lt;=0),"",R40*S40)</x:f>
        <x:v>150</x:v>
      </x:c>
      <x:c r="V40" s="389" t="n">
        <x:f>IF(OR(NOT(ISNUMBER(U40)),NOT(ISNUMBER($O$1)),$O$1&lt;=0),"",IF(Q40="seconds",U40/$O$1,IF(Q40="reps/leg",2*U40,IF(Q40="reps",U40,""))))</x:f>
        <x:v>50</x:v>
      </x:c>
      <x:c r="W40" s="361" t="str">
        <x:f>IF(OR(COUNTIFS(Strategy!$B$36:$B$90,P40)&lt;&gt;1,COUNTIFS(Strategy!$B$36:$B$90,P40,Strategy!$D$36:$D$90,"&lt;&gt;")&lt;&gt;1),"",INDEX(Strategy!$D$36:$D$90,MATCH(P40,Strategy!$B$36:$B$90,0)))</x:f>
        <x:v>seconds</x:v>
      </x:c>
      <x:c r="X40" s="370" t="n">
        <x:f>IF(OR(COUNT(T40:V40)&lt;&gt;3,Q40&lt;&gt;W40,T40&lt;0,T40&gt;10),"",T40*V40)</x:f>
        <x:v>250</x:v>
      </x:c>
      <x:c r="Y40" s="374" t="str">
        <x:v>Core: one 30-second work interval per round; rest excluded.</x:v>
      </x:c>
    </x:row>
    <x:row r="41" ht="15" hidden="0" customHeight="1">
      <x:c r="A41" s="326" t="n">
        <x:f>Daily!A13</x:f>
        <x:v>46338.5</x:v>
      </x:c>
      <x:c r="B41" s="318" t="str">
        <x:f>Daily!D13</x:f>
        <x:v>Skill B + circuit</x:v>
      </x:c>
      <x:c r="C41" s="318" t="str">
        <x:v>C · Assisted full-depth pistol</x:v>
      </x:c>
      <x:c r="D41" s="318" t="str">
        <x:v>reps/leg</x:v>
      </x:c>
      <x:c r="E41" s="320" t="b">
        <x:v>1</x:v>
      </x:c>
      <x:c r="F41" s="328" t="n">
        <x:v>12</x:v>
      </x:c>
      <x:c r="G41" s="329" t="str">
        <x:f>IF(AND(OR(Daily!T13=TRUE,Daily!AB13=TRUE),COUNT(Daily!U13,Daily!V13,Daily!W13)&gt;0),SUM(Daily!U13,Daily!V13,Daily!W13),"")</x:f>
      </x:c>
      <x:c r="H41" s="329" t="n">
        <x:f>IF(AND(E41=TRUE,ISNUMBER(F41),F41&gt;0),100,"")</x:f>
        <x:v>100</x:v>
      </x:c>
      <x:c r="I41" s="329" t="str">
        <x:f>IF(AND(ISNUMBER(H41),ISNUMBER(G41)),IF(J41="lower",IF(G41&gt;0,100*F41/G41,""),100*G41/F41),"")</x:f>
      </x:c>
      <x:c r="J41" s="321" t="str">
        <x:v>higher</x:v>
      </x:c>
      <x:c r="N41" s="363" t="n">
        <x:f>Daily!A9</x:f>
        <x:v>46331.5</x:v>
      </x:c>
      <x:c r="O41" s="359" t="str">
        <x:f>Daily!D9</x:f>
        <x:v>Skill B + circuit</x:v>
      </x:c>
      <x:c r="P41" s="371" t="str">
        <x:v>Upside-down hanging shoulder/ab work</x:v>
      </x:c>
      <x:c r="Q41" s="360" t="str">
        <x:v>seconds</x:v>
      </x:c>
      <x:c r="R41" s="365" t="n">
        <x:v>5</x:v>
      </x:c>
      <x:c r="S41" s="365" t="n">
        <x:v>30</x:v>
      </x:c>
      <x:c r="T41" s="366" t="n">
        <x:f>IF(OR(COUNTIFS(Strategy!$B$36:$B$90,P41)&lt;&gt;1,COUNTIFS(Strategy!$B$36:$B$90,P41,Strategy!$C$36:$C$90,"&lt;&gt;")&lt;&gt;1),"",INDEX(Strategy!$C$36:$C$90,MATCH(P41,Strategy!$B$36:$B$90,0)))</x:f>
        <x:v>5</x:v>
      </x:c>
      <x:c r="U41" s="366" t="n">
        <x:f>IF(OR(COUNT(R41:S41)&lt;&gt;2,R41&lt;0,R41&lt;&gt;INT(R41),S41&lt;=0),"",R41*S41)</x:f>
        <x:v>150</x:v>
      </x:c>
      <x:c r="V41" s="388" t="n">
        <x:f>IF(OR(NOT(ISNUMBER(U41)),NOT(ISNUMBER($O$1)),$O$1&lt;=0),"",IF(Q41="seconds",U41/$O$1,IF(Q41="reps/leg",2*U41,IF(Q41="reps",U41,""))))</x:f>
        <x:v>50</x:v>
      </x:c>
      <x:c r="W41" s="359" t="str">
        <x:f>IF(OR(COUNTIFS(Strategy!$B$36:$B$90,P41)&lt;&gt;1,COUNTIFS(Strategy!$B$36:$B$90,P41,Strategy!$D$36:$D$90,"&lt;&gt;")&lt;&gt;1),"",INDEX(Strategy!$D$36:$D$90,MATCH(P41,Strategy!$B$36:$B$90,0)))</x:f>
        <x:v>seconds</x:v>
      </x:c>
      <x:c r="X41" s="369" t="n">
        <x:f>IF(OR(COUNT(T41:V41)&lt;&gt;3,Q41&lt;&gt;W41,T41&lt;0,T41&gt;10),"",T41*V41)</x:f>
        <x:v>250</x:v>
      </x:c>
      <x:c r="Y41" s="373" t="str">
        <x:v>Core: one 30-second work interval per round; rest excluded.</x:v>
      </x:c>
    </x:row>
    <x:row r="42" ht="15" hidden="0" customHeight="1">
      <x:c r="A42" s="327" t="n">
        <x:f>Daily!A13</x:f>
        <x:v>46338.5</x:v>
      </x:c>
      <x:c r="B42" s="322" t="str">
        <x:f>Daily!D13</x:f>
        <x:v>Skill B + circuit</x:v>
      </x:c>
      <x:c r="C42" s="322" t="str">
        <x:v>Core</x:v>
      </x:c>
      <x:c r="D42" s="322" t="str">
        <x:v>rounds</x:v>
      </x:c>
      <x:c r="E42" s="324" t="b">
        <x:v>1</x:v>
      </x:c>
      <x:c r="F42" s="330" t="n">
        <x:v>5</x:v>
      </x:c>
      <x:c r="G42" s="331" t="str">
        <x:f>IF(AND(OR(Daily!Z13=TRUE,Daily!AB13=TRUE),COUNT(Daily!AA13)&gt;0),SUM(Daily!AA13),"")</x:f>
      </x:c>
      <x:c r="H42" s="331" t="n">
        <x:f>IF(AND(E42=TRUE,ISNUMBER(F42),F42&gt;0),100,"")</x:f>
        <x:v>100</x:v>
      </x:c>
      <x:c r="I42" s="331" t="str">
        <x:f>IF(AND(ISNUMBER(H42),ISNUMBER(G42)),IF(J42="lower",IF(G42&gt;0,100*F42/G42,""),100*G42/F42),"")</x:f>
      </x:c>
      <x:c r="J42" s="325" t="str">
        <x:v>higher</x:v>
      </x:c>
      <x:c r="N42" s="364" t="n">
        <x:f>Daily!A10</x:f>
        <x:v>46333.5</x:v>
      </x:c>
      <x:c r="O42" s="361" t="str">
        <x:f>Daily!D10</x:f>
        <x:v>Skill micro-session</x:v>
      </x:c>
      <x:c r="P42" s="372" t="str">
        <x:v>Wrist/shoulder mobility</x:v>
      </x:c>
      <x:c r="Q42" s="362" t="str">
        <x:v>seconds</x:v>
      </x:c>
      <x:c r="R42" s="367" t="n">
        <x:v>1</x:v>
      </x:c>
      <x:c r="S42" s="367" t="n">
        <x:v>120</x:v>
      </x:c>
      <x:c r="T42" s="368" t="n">
        <x:f>IF(OR(COUNTIFS(Strategy!$B$36:$B$90,P42)&lt;&gt;1,COUNTIFS(Strategy!$B$36:$B$90,P42,Strategy!$C$36:$C$90,"&lt;&gt;")&lt;&gt;1),"",INDEX(Strategy!$C$36:$C$90,MATCH(P42,Strategy!$B$36:$B$90,0)))</x:f>
        <x:v>1</x:v>
      </x:c>
      <x:c r="U42" s="368" t="n">
        <x:f>IF(OR(COUNT(R42:S42)&lt;&gt;2,R42&lt;0,R42&lt;&gt;INT(R42),S42&lt;=0),"",R42*S42)</x:f>
        <x:v>120</x:v>
      </x:c>
      <x:c r="V42" s="389" t="n">
        <x:f>IF(OR(NOT(ISNUMBER(U42)),NOT(ISNUMBER($O$1)),$O$1&lt;=0),"",IF(Q42="seconds",U42/$O$1,IF(Q42="reps/leg",2*U42,IF(Q42="reps",U42,""))))</x:f>
        <x:v>40</x:v>
      </x:c>
      <x:c r="W42" s="361" t="str">
        <x:f>IF(OR(COUNTIFS(Strategy!$B$36:$B$90,P42)&lt;&gt;1,COUNTIFS(Strategy!$B$36:$B$90,P42,Strategy!$D$36:$D$90,"&lt;&gt;")&lt;&gt;1),"",INDEX(Strategy!$D$36:$D$90,MATCH(P42,Strategy!$B$36:$B$90,0)))</x:f>
        <x:v>seconds</x:v>
      </x:c>
      <x:c r="X42" s="370" t="n">
        <x:f>IF(OR(COUNT(T42:V42)&lt;&gt;3,Q42&lt;&gt;W42,T42&lt;0,T42&gt;10),"",T42*V42)</x:f>
        <x:v>40</x:v>
      </x:c>
      <x:c r="Y42" s="374" t="str"/>
    </x:row>
    <x:row r="43" ht="15" hidden="0" customHeight="1">
      <x:c r="A43" s="326" t="n">
        <x:f>Daily!A14</x:f>
        <x:v>46340.5</x:v>
      </x:c>
      <x:c r="B43" s="318" t="str">
        <x:f>Daily!D14</x:f>
        <x:v>Skill micro-session</x:v>
      </x:c>
      <x:c r="C43" s="318" t="str">
        <x:v>A · Wrist/shoulder mobility</x:v>
      </x:c>
      <x:c r="D43" s="318" t="str">
        <x:v>seconds</x:v>
      </x:c>
      <x:c r="E43" s="320" t="b">
        <x:v>1</x:v>
      </x:c>
      <x:c r="F43" s="328" t="n">
        <x:v>120</x:v>
      </x:c>
      <x:c r="G43" s="329" t="str">
        <x:f>IF(AND(OR(Daily!H14=TRUE,Daily!AB14=TRUE),COUNT(Daily!I14)&gt;0),SUM(Daily!I14)*86400,"")</x:f>
      </x:c>
      <x:c r="H43" s="329" t="n">
        <x:f>IF(AND(E43=TRUE,ISNUMBER(F43),F43&gt;0),100,"")</x:f>
        <x:v>100</x:v>
      </x:c>
      <x:c r="I43" s="329" t="str">
        <x:f>IF(AND(ISNUMBER(H43),ISNUMBER(G43)),IF(J43="lower",IF(G43&gt;0,100*F43/G43,""),100*G43/F43),"")</x:f>
      </x:c>
      <x:c r="J43" s="321" t="str">
        <x:v>higher</x:v>
      </x:c>
      <x:c r="N43" s="363" t="n">
        <x:f>Daily!A10</x:f>
        <x:v>46333.5</x:v>
      </x:c>
      <x:c r="O43" s="359" t="str">
        <x:f>Daily!D10</x:f>
        <x:v>Skill micro-session</x:v>
      </x:c>
      <x:c r="P43" s="371" t="str">
        <x:v>Easy chest-to-wall hold</x:v>
      </x:c>
      <x:c r="Q43" s="360" t="str">
        <x:v>seconds</x:v>
      </x:c>
      <x:c r="R43" s="365" t="n">
        <x:v>3</x:v>
      </x:c>
      <x:c r="S43" s="365" t="n">
        <x:v>15</x:v>
      </x:c>
      <x:c r="T43" s="366" t="n">
        <x:f>IF(OR(COUNTIFS(Strategy!$B$36:$B$90,P43)&lt;&gt;1,COUNTIFS(Strategy!$B$36:$B$90,P43,Strategy!$C$36:$C$90,"&lt;&gt;")&lt;&gt;1),"",INDEX(Strategy!$C$36:$C$90,MATCH(P43,Strategy!$B$36:$B$90,0)))</x:f>
        <x:v>1</x:v>
      </x:c>
      <x:c r="U43" s="366" t="n">
        <x:f>IF(OR(COUNT(R43:S43)&lt;&gt;2,R43&lt;0,R43&lt;&gt;INT(R43),S43&lt;=0),"",R43*S43)</x:f>
        <x:v>45</x:v>
      </x:c>
      <x:c r="V43" s="388" t="n">
        <x:f>IF(OR(NOT(ISNUMBER(U43)),NOT(ISNUMBER($O$1)),$O$1&lt;=0),"",IF(Q43="seconds",U43/$O$1,IF(Q43="reps/leg",2*U43,IF(Q43="reps",U43,""))))</x:f>
        <x:v>15</x:v>
      </x:c>
      <x:c r="W43" s="359" t="str">
        <x:f>IF(OR(COUNTIFS(Strategy!$B$36:$B$90,P43)&lt;&gt;1,COUNTIFS(Strategy!$B$36:$B$90,P43,Strategy!$D$36:$D$90,"&lt;&gt;")&lt;&gt;1),"",INDEX(Strategy!$D$36:$D$90,MATCH(P43,Strategy!$B$36:$B$90,0)))</x:f>
        <x:v>seconds</x:v>
      </x:c>
      <x:c r="X43" s="369" t="n">
        <x:f>IF(OR(COUNT(T43:V43)&lt;&gt;3,Q43&lt;&gt;W43,T43&lt;0,T43&gt;10),"",T43*V43)</x:f>
        <x:v>15</x:v>
      </x:c>
      <x:c r="Y43" s="373" t="str"/>
    </x:row>
    <x:row r="44" ht="15" hidden="0" customHeight="1">
      <x:c r="A44" s="327" t="n">
        <x:f>Daily!A14</x:f>
        <x:v>46340.5</x:v>
      </x:c>
      <x:c r="B44" s="322" t="str">
        <x:f>Daily!D14</x:f>
        <x:v>Skill micro-session</x:v>
      </x:c>
      <x:c r="C44" s="322" t="str">
        <x:v>B · Easy chest-to-wall hold</x:v>
      </x:c>
      <x:c r="D44" s="322" t="str">
        <x:v>seconds</x:v>
      </x:c>
      <x:c r="E44" s="324" t="b">
        <x:v>1</x:v>
      </x:c>
      <x:c r="F44" s="330" t="n">
        <x:v>45</x:v>
      </x:c>
      <x:c r="G44" s="331" t="str">
        <x:f>IF(AND(OR(Daily!N14=TRUE,Daily!AB14=TRUE),COUNT(Daily!O14,Daily!P14,Daily!Q14)&gt;0),SUM(Daily!O14,Daily!P14,Daily!Q14)*86400,"")</x:f>
      </x:c>
      <x:c r="H44" s="331" t="n">
        <x:f>IF(AND(E44=TRUE,ISNUMBER(F44),F44&gt;0),100,"")</x:f>
        <x:v>100</x:v>
      </x:c>
      <x:c r="I44" s="331" t="str">
        <x:f>IF(AND(ISNUMBER(H44),ISNUMBER(G44)),IF(J44="lower",IF(G44&gt;0,100*F44/G44,""),100*G44/F44),"")</x:f>
      </x:c>
      <x:c r="J44" s="325" t="str">
        <x:v>higher</x:v>
      </x:c>
      <x:c r="N44" s="364" t="n">
        <x:f>Daily!A10</x:f>
        <x:v>46333.5</x:v>
      </x:c>
      <x:c r="O44" s="361" t="str">
        <x:f>Daily!D10</x:f>
        <x:v>Skill micro-session</x:v>
      </x:c>
      <x:c r="P44" s="372" t="str">
        <x:v>Wall handstand line drill</x:v>
      </x:c>
      <x:c r="Q44" s="362" t="str">
        <x:v>seconds</x:v>
      </x:c>
      <x:c r="R44" s="367" t="n">
        <x:v>3</x:v>
      </x:c>
      <x:c r="S44" s="367" t="n">
        <x:v>15</x:v>
      </x:c>
      <x:c r="T44" s="368" t="n">
        <x:f>IF(OR(COUNTIFS(Strategy!$B$36:$B$90,P44)&lt;&gt;1,COUNTIFS(Strategy!$B$36:$B$90,P44,Strategy!$C$36:$C$90,"&lt;&gt;")&lt;&gt;1),"",INDEX(Strategy!$C$36:$C$90,MATCH(P44,Strategy!$B$36:$B$90,0)))</x:f>
        <x:v>1</x:v>
      </x:c>
      <x:c r="U44" s="368" t="n">
        <x:f>IF(OR(COUNT(R44:S44)&lt;&gt;2,R44&lt;0,R44&lt;&gt;INT(R44),S44&lt;=0),"",R44*S44)</x:f>
        <x:v>45</x:v>
      </x:c>
      <x:c r="V44" s="389" t="n">
        <x:f>IF(OR(NOT(ISNUMBER(U44)),NOT(ISNUMBER($O$1)),$O$1&lt;=0),"",IF(Q44="seconds",U44/$O$1,IF(Q44="reps/leg",2*U44,IF(Q44="reps",U44,""))))</x:f>
        <x:v>15</x:v>
      </x:c>
      <x:c r="W44" s="361" t="str">
        <x:f>IF(OR(COUNTIFS(Strategy!$B$36:$B$90,P44)&lt;&gt;1,COUNTIFS(Strategy!$B$36:$B$90,P44,Strategy!$D$36:$D$90,"&lt;&gt;")&lt;&gt;1),"",INDEX(Strategy!$D$36:$D$90,MATCH(P44,Strategy!$B$36:$B$90,0)))</x:f>
        <x:v>seconds</x:v>
      </x:c>
      <x:c r="X44" s="370" t="n">
        <x:f>IF(OR(COUNT(T44:V44)&lt;&gt;3,Q44&lt;&gt;W44,T44&lt;0,T44&gt;10),"",T44*V44)</x:f>
        <x:v>15</x:v>
      </x:c>
      <x:c r="Y44" s="374" t="str"/>
    </x:row>
    <x:row r="45" ht="15" hidden="0" customHeight="1">
      <x:c r="A45" s="326" t="n">
        <x:f>Daily!A14</x:f>
        <x:v>46340.5</x:v>
      </x:c>
      <x:c r="B45" s="318" t="str">
        <x:f>Daily!D14</x:f>
        <x:v>Skill micro-session</x:v>
      </x:c>
      <x:c r="C45" s="318" t="str">
        <x:v>C · Wall handstand line drill</x:v>
      </x:c>
      <x:c r="D45" s="318" t="str">
        <x:v>seconds</x:v>
      </x:c>
      <x:c r="E45" s="320" t="b">
        <x:v>1</x:v>
      </x:c>
      <x:c r="F45" s="328" t="n">
        <x:v>45</x:v>
      </x:c>
      <x:c r="G45" s="329" t="str">
        <x:f>IF(AND(OR(Daily!T14=TRUE,Daily!AB14=TRUE),COUNT(Daily!U14,Daily!V14,Daily!W14)&gt;0),SUM(Daily!U14,Daily!V14,Daily!W14)*86400,"")</x:f>
      </x:c>
      <x:c r="H45" s="329" t="n">
        <x:f>IF(AND(E45=TRUE,ISNUMBER(F45),F45&gt;0),100,"")</x:f>
        <x:v>100</x:v>
      </x:c>
      <x:c r="I45" s="329" t="str">
        <x:f>IF(AND(ISNUMBER(H45),ISNUMBER(G45)),IF(J45="lower",IF(G45&gt;0,100*F45/G45,""),100*G45/F45),"")</x:f>
      </x:c>
      <x:c r="J45" s="321" t="str">
        <x:v>higher</x:v>
      </x:c>
      <x:c r="N45" s="363" t="n">
        <x:f>Daily!A11</x:f>
        <x:v>46335.5</x:v>
      </x:c>
      <x:c r="O45" s="359" t="str">
        <x:f>Daily!D11</x:f>
        <x:v>Skill A + interval circuit</x:v>
      </x:c>
      <x:c r="P45" s="371" t="str">
        <x:v>Explosive pull-up</x:v>
      </x:c>
      <x:c r="Q45" s="360" t="str">
        <x:v>reps</x:v>
      </x:c>
      <x:c r="R45" s="365" t="n">
        <x:v>4</x:v>
      </x:c>
      <x:c r="S45" s="365" t="n">
        <x:v>2</x:v>
      </x:c>
      <x:c r="T45" s="366" t="n">
        <x:f>IF(OR(COUNTIFS(Strategy!$B$36:$B$90,P45)&lt;&gt;1,COUNTIFS(Strategy!$B$36:$B$90,P45,Strategy!$C$36:$C$90,"&lt;&gt;")&lt;&gt;1),"",INDEX(Strategy!$C$36:$C$90,MATCH(P45,Strategy!$B$36:$B$90,0)))</x:f>
        <x:v>4</x:v>
      </x:c>
      <x:c r="U45" s="366" t="n">
        <x:f>IF(OR(COUNT(R45:S45)&lt;&gt;2,R45&lt;0,R45&lt;&gt;INT(R45),S45&lt;=0),"",R45*S45)</x:f>
        <x:v>8</x:v>
      </x:c>
      <x:c r="V45" s="388" t="n">
        <x:f>IF(OR(NOT(ISNUMBER(U45)),NOT(ISNUMBER($O$1)),$O$1&lt;=0),"",IF(Q45="seconds",U45/$O$1,IF(Q45="reps/leg",2*U45,IF(Q45="reps",U45,""))))</x:f>
        <x:v>8</x:v>
      </x:c>
      <x:c r="W45" s="359" t="str">
        <x:f>IF(OR(COUNTIFS(Strategy!$B$36:$B$90,P45)&lt;&gt;1,COUNTIFS(Strategy!$B$36:$B$90,P45,Strategy!$D$36:$D$90,"&lt;&gt;")&lt;&gt;1),"",INDEX(Strategy!$D$36:$D$90,MATCH(P45,Strategy!$B$36:$B$90,0)))</x:f>
        <x:v>reps</x:v>
      </x:c>
      <x:c r="X45" s="369" t="n">
        <x:f>IF(OR(COUNT(T45:V45)&lt;&gt;3,Q45&lt;&gt;W45,T45&lt;0,T45&gt;10),"",T45*V45)</x:f>
        <x:v>32</x:v>
      </x:c>
      <x:c r="Y45" s="373" t="str"/>
    </x:row>
    <x:row r="46" ht="15" hidden="0" customHeight="1">
      <x:c r="A46" s="327" t="n">
        <x:f>Daily!A15</x:f>
        <x:v>46342.5</x:v>
      </x:c>
      <x:c r="B46" s="322" t="str">
        <x:f>Daily!D15</x:f>
        <x:v>Skill A + interval circuit</x:v>
      </x:c>
      <x:c r="C46" s="322" t="str">
        <x:v>A · Easy scapular pull-up</x:v>
      </x:c>
      <x:c r="D46" s="322" t="str">
        <x:v>reps</x:v>
      </x:c>
      <x:c r="E46" s="324" t="b">
        <x:v>1</x:v>
      </x:c>
      <x:c r="F46" s="330" t="n">
        <x:v>5</x:v>
      </x:c>
      <x:c r="G46" s="331" t="str">
        <x:f>IF(AND(OR(Daily!H15=TRUE,Daily!AB15=TRUE),COUNT(Daily!I15)&gt;0),SUM(Daily!I15),"")</x:f>
      </x:c>
      <x:c r="H46" s="331" t="n">
        <x:f>IF(AND(E46=TRUE,ISNUMBER(F46),F46&gt;0),100,"")</x:f>
        <x:v>100</x:v>
      </x:c>
      <x:c r="I46" s="331" t="str">
        <x:f>IF(AND(ISNUMBER(H46),ISNUMBER(G46)),IF(J46="lower",IF(G46&gt;0,100*F46/G46,""),100*G46/F46),"")</x:f>
      </x:c>
      <x:c r="J46" s="325" t="str">
        <x:v>higher</x:v>
      </x:c>
      <x:c r="N46" s="364" t="n">
        <x:f>Daily!A11</x:f>
        <x:v>46335.5</x:v>
      </x:c>
      <x:c r="O46" s="361" t="str">
        <x:f>Daily!D11</x:f>
        <x:v>Skill A + interval circuit</x:v>
      </x:c>
      <x:c r="P46" s="372" t="str">
        <x:v>Low-bar transition</x:v>
      </x:c>
      <x:c r="Q46" s="362" t="str">
        <x:v>reps</x:v>
      </x:c>
      <x:c r="R46" s="367" t="n">
        <x:v>3</x:v>
      </x:c>
      <x:c r="S46" s="367" t="n">
        <x:v>3</x:v>
      </x:c>
      <x:c r="T46" s="368" t="n">
        <x:f>IF(OR(COUNTIFS(Strategy!$B$36:$B$90,P46)&lt;&gt;1,COUNTIFS(Strategy!$B$36:$B$90,P46,Strategy!$C$36:$C$90,"&lt;&gt;")&lt;&gt;1),"",INDEX(Strategy!$C$36:$C$90,MATCH(P46,Strategy!$B$36:$B$90,0)))</x:f>
        <x:v>4</x:v>
      </x:c>
      <x:c r="U46" s="368" t="n">
        <x:f>IF(OR(COUNT(R46:S46)&lt;&gt;2,R46&lt;0,R46&lt;&gt;INT(R46),S46&lt;=0),"",R46*S46)</x:f>
        <x:v>9</x:v>
      </x:c>
      <x:c r="V46" s="389" t="n">
        <x:f>IF(OR(NOT(ISNUMBER(U46)),NOT(ISNUMBER($O$1)),$O$1&lt;=0),"",IF(Q46="seconds",U46/$O$1,IF(Q46="reps/leg",2*U46,IF(Q46="reps",U46,""))))</x:f>
        <x:v>9</x:v>
      </x:c>
      <x:c r="W46" s="361" t="str">
        <x:f>IF(OR(COUNTIFS(Strategy!$B$36:$B$90,P46)&lt;&gt;1,COUNTIFS(Strategy!$B$36:$B$90,P46,Strategy!$D$36:$D$90,"&lt;&gt;")&lt;&gt;1),"",INDEX(Strategy!$D$36:$D$90,MATCH(P46,Strategy!$B$36:$B$90,0)))</x:f>
        <x:v>reps</x:v>
      </x:c>
      <x:c r="X46" s="370" t="n">
        <x:f>IF(OR(COUNT(T46:V46)&lt;&gt;3,Q46&lt;&gt;W46,T46&lt;0,T46&gt;10),"",T46*V46)</x:f>
        <x:v>36</x:v>
      </x:c>
      <x:c r="Y46" s="374" t="str"/>
    </x:row>
    <x:row r="47" ht="15" hidden="0" customHeight="1">
      <x:c r="A47" s="326" t="n">
        <x:f>Daily!A15</x:f>
        <x:v>46342.5</x:v>
      </x:c>
      <x:c r="B47" s="318" t="str">
        <x:f>Daily!D15</x:f>
        <x:v>Skill A + interval circuit</x:v>
      </x:c>
      <x:c r="C47" s="318" t="str">
        <x:v>B · Easy low-bar transition</x:v>
      </x:c>
      <x:c r="D47" s="318" t="str">
        <x:v>reps</x:v>
      </x:c>
      <x:c r="E47" s="320" t="b">
        <x:v>1</x:v>
      </x:c>
      <x:c r="F47" s="328" t="n">
        <x:v>3</x:v>
      </x:c>
      <x:c r="G47" s="329" t="str">
        <x:f>IF(AND(OR(Daily!N15=TRUE,Daily!AB15=TRUE),COUNT(Daily!O15)&gt;0),SUM(Daily!O15),"")</x:f>
      </x:c>
      <x:c r="H47" s="329" t="n">
        <x:f>IF(AND(E47=TRUE,ISNUMBER(F47),F47&gt;0),100,"")</x:f>
        <x:v>100</x:v>
      </x:c>
      <x:c r="I47" s="329" t="str">
        <x:f>IF(AND(ISNUMBER(H47),ISNUMBER(G47)),IF(J47="lower",IF(G47&gt;0,100*F47/G47,""),100*G47/F47),"")</x:f>
      </x:c>
      <x:c r="J47" s="321" t="str">
        <x:v>higher</x:v>
      </x:c>
      <x:c r="N47" s="363" t="n">
        <x:f>Daily!A11</x:f>
        <x:v>46335.5</x:v>
      </x:c>
      <x:c r="O47" s="359" t="str">
        <x:f>Daily!D11</x:f>
        <x:v>Skill A + interval circuit</x:v>
      </x:c>
      <x:c r="P47" s="371" t="str">
        <x:v>Assisted full-depth pistol</x:v>
      </x:c>
      <x:c r="Q47" s="360" t="str">
        <x:v>reps/leg</x:v>
      </x:c>
      <x:c r="R47" s="365" t="n">
        <x:v>3</x:v>
      </x:c>
      <x:c r="S47" s="365" t="n">
        <x:v>4</x:v>
      </x:c>
      <x:c r="T47" s="366" t="n">
        <x:f>IF(OR(COUNTIFS(Strategy!$B$36:$B$90,P47)&lt;&gt;1,COUNTIFS(Strategy!$B$36:$B$90,P47,Strategy!$C$36:$C$90,"&lt;&gt;")&lt;&gt;1),"",INDEX(Strategy!$C$36:$C$90,MATCH(P47,Strategy!$B$36:$B$90,0)))</x:f>
        <x:v>4</x:v>
      </x:c>
      <x:c r="U47" s="366" t="n">
        <x:f>IF(OR(COUNT(R47:S47)&lt;&gt;2,R47&lt;0,R47&lt;&gt;INT(R47),S47&lt;=0),"",R47*S47)</x:f>
        <x:v>12</x:v>
      </x:c>
      <x:c r="V47" s="388" t="n">
        <x:f>IF(OR(NOT(ISNUMBER(U47)),NOT(ISNUMBER($O$1)),$O$1&lt;=0),"",IF(Q47="seconds",U47/$O$1,IF(Q47="reps/leg",2*U47,IF(Q47="reps",U47,""))))</x:f>
        <x:v>24</x:v>
      </x:c>
      <x:c r="W47" s="359" t="str">
        <x:f>IF(OR(COUNTIFS(Strategy!$B$36:$B$90,P47)&lt;&gt;1,COUNTIFS(Strategy!$B$36:$B$90,P47,Strategy!$D$36:$D$90,"&lt;&gt;")&lt;&gt;1),"",INDEX(Strategy!$D$36:$D$90,MATCH(P47,Strategy!$B$36:$B$90,0)))</x:f>
        <x:v>reps/leg</x:v>
      </x:c>
      <x:c r="X47" s="369" t="n">
        <x:f>IF(OR(COUNT(T47:V47)&lt;&gt;3,Q47&lt;&gt;W47,T47&lt;0,T47&gt;10),"",T47*V47)</x:f>
        <x:v>96</x:v>
      </x:c>
      <x:c r="Y47" s="373" t="str"/>
    </x:row>
    <x:row r="48" ht="15" hidden="0" customHeight="1">
      <x:c r="A48" s="327" t="n">
        <x:f>Daily!A15</x:f>
        <x:v>46342.5</x:v>
      </x:c>
      <x:c r="B48" s="322" t="str">
        <x:f>Daily!D15</x:f>
        <x:v>Skill A + interval circuit</x:v>
      </x:c>
      <x:c r="C48" s="322" t="str">
        <x:v>C · Assisted pistol</x:v>
      </x:c>
      <x:c r="D48" s="322" t="str">
        <x:v>reps/leg</x:v>
      </x:c>
      <x:c r="E48" s="324" t="b">
        <x:v>1</x:v>
      </x:c>
      <x:c r="F48" s="330" t="n">
        <x:v>3</x:v>
      </x:c>
      <x:c r="G48" s="331" t="str">
        <x:f>IF(AND(OR(Daily!T15=TRUE,Daily!AB15=TRUE),COUNT(Daily!U15)&gt;0),SUM(Daily!U15),"")</x:f>
      </x:c>
      <x:c r="H48" s="331" t="n">
        <x:f>IF(AND(E48=TRUE,ISNUMBER(F48),F48&gt;0),100,"")</x:f>
        <x:v>100</x:v>
      </x:c>
      <x:c r="I48" s="331" t="str">
        <x:f>IF(AND(ISNUMBER(H48),ISNUMBER(G48)),IF(J48="lower",IF(G48&gt;0,100*F48/G48,""),100*G48/F48),"")</x:f>
      </x:c>
      <x:c r="J48" s="325" t="str">
        <x:v>higher</x:v>
      </x:c>
      <x:c r="N48" s="364" t="n">
        <x:f>Daily!A11</x:f>
        <x:v>46335.5</x:v>
      </x:c>
      <x:c r="O48" s="361" t="str">
        <x:f>Daily!D11</x:f>
        <x:v>Skill A + interval circuit</x:v>
      </x:c>
      <x:c r="P48" s="372" t="str">
        <x:v>Pull-up</x:v>
      </x:c>
      <x:c r="Q48" s="362" t="str">
        <x:v>seconds</x:v>
      </x:c>
      <x:c r="R48" s="367" t="n">
        <x:v>5</x:v>
      </x:c>
      <x:c r="S48" s="367" t="n">
        <x:v>30</x:v>
      </x:c>
      <x:c r="T48" s="368" t="n">
        <x:f>IF(OR(COUNTIFS(Strategy!$B$36:$B$90,P48)&lt;&gt;1,COUNTIFS(Strategy!$B$36:$B$90,P48,Strategy!$C$36:$C$90,"&lt;&gt;")&lt;&gt;1),"",INDEX(Strategy!$C$36:$C$90,MATCH(P48,Strategy!$B$36:$B$90,0)))</x:f>
        <x:v>6</x:v>
      </x:c>
      <x:c r="U48" s="368" t="n">
        <x:f>IF(OR(COUNT(R48:S48)&lt;&gt;2,R48&lt;0,R48&lt;&gt;INT(R48),S48&lt;=0),"",R48*S48)</x:f>
        <x:v>150</x:v>
      </x:c>
      <x:c r="V48" s="389" t="n">
        <x:f>IF(OR(NOT(ISNUMBER(U48)),NOT(ISNUMBER($O$1)),$O$1&lt;=0),"",IF(Q48="seconds",U48/$O$1,IF(Q48="reps/leg",2*U48,IF(Q48="reps",U48,""))))</x:f>
        <x:v>50</x:v>
      </x:c>
      <x:c r="W48" s="361" t="str">
        <x:f>IF(OR(COUNTIFS(Strategy!$B$36:$B$90,P48)&lt;&gt;1,COUNTIFS(Strategy!$B$36:$B$90,P48,Strategy!$D$36:$D$90,"&lt;&gt;")&lt;&gt;1),"",INDEX(Strategy!$D$36:$D$90,MATCH(P48,Strategy!$B$36:$B$90,0)))</x:f>
        <x:v>seconds</x:v>
      </x:c>
      <x:c r="X48" s="370" t="n">
        <x:f>IF(OR(COUNT(T48:V48)&lt;&gt;3,Q48&lt;&gt;W48,T48&lt;0,T48&gt;10),"",T48*V48)</x:f>
        <x:v>300</x:v>
      </x:c>
      <x:c r="Y48" s="374" t="str">
        <x:v>Core: one 30-second work interval per round; rest excluded.</x:v>
      </x:c>
    </x:row>
    <x:row r="49" ht="15" hidden="0" customHeight="1">
      <x:c r="A49" s="326" t="n">
        <x:f>Daily!A15</x:f>
        <x:v>46342.5</x:v>
      </x:c>
      <x:c r="B49" s="318" t="str">
        <x:f>Daily!D15</x:f>
        <x:v>Skill A + interval circuit</x:v>
      </x:c>
      <x:c r="C49" s="318" t="str">
        <x:v>Core</x:v>
      </x:c>
      <x:c r="D49" s="318" t="str">
        <x:v>rounds</x:v>
      </x:c>
      <x:c r="E49" s="320" t="b">
        <x:v>1</x:v>
      </x:c>
      <x:c r="F49" s="328" t="n">
        <x:v>3</x:v>
      </x:c>
      <x:c r="G49" s="329" t="str">
        <x:f>IF(AND(OR(Daily!Z15=TRUE,Daily!AB15=TRUE),COUNT(Daily!AA15)&gt;0),SUM(Daily!AA15),"")</x:f>
      </x:c>
      <x:c r="H49" s="329" t="n">
        <x:f>IF(AND(E49=TRUE,ISNUMBER(F49),F49&gt;0),100,"")</x:f>
        <x:v>100</x:v>
      </x:c>
      <x:c r="I49" s="329" t="str">
        <x:f>IF(AND(ISNUMBER(H49),ISNUMBER(G49)),IF(J49="lower",IF(G49&gt;0,100*F49/G49,""),100*G49/F49),"")</x:f>
      </x:c>
      <x:c r="J49" s="321" t="str">
        <x:v>higher</x:v>
      </x:c>
      <x:c r="N49" s="363" t="n">
        <x:f>Daily!A11</x:f>
        <x:v>46335.5</x:v>
      </x:c>
      <x:c r="O49" s="359" t="str">
        <x:f>Daily!D11</x:f>
        <x:v>Skill A + interval circuit</x:v>
      </x:c>
      <x:c r="P49" s="371" t="str">
        <x:v>Push-up</x:v>
      </x:c>
      <x:c r="Q49" s="360" t="str">
        <x:v>seconds</x:v>
      </x:c>
      <x:c r="R49" s="365" t="n">
        <x:v>5</x:v>
      </x:c>
      <x:c r="S49" s="365" t="n">
        <x:v>30</x:v>
      </x:c>
      <x:c r="T49" s="366" t="n">
        <x:f>IF(OR(COUNTIFS(Strategy!$B$36:$B$90,P49)&lt;&gt;1,COUNTIFS(Strategy!$B$36:$B$90,P49,Strategy!$C$36:$C$90,"&lt;&gt;")&lt;&gt;1),"",INDEX(Strategy!$C$36:$C$90,MATCH(P49,Strategy!$B$36:$B$90,0)))</x:f>
        <x:v>4</x:v>
      </x:c>
      <x:c r="U49" s="366" t="n">
        <x:f>IF(OR(COUNT(R49:S49)&lt;&gt;2,R49&lt;0,R49&lt;&gt;INT(R49),S49&lt;=0),"",R49*S49)</x:f>
        <x:v>150</x:v>
      </x:c>
      <x:c r="V49" s="388" t="n">
        <x:f>IF(OR(NOT(ISNUMBER(U49)),NOT(ISNUMBER($O$1)),$O$1&lt;=0),"",IF(Q49="seconds",U49/$O$1,IF(Q49="reps/leg",2*U49,IF(Q49="reps",U49,""))))</x:f>
        <x:v>50</x:v>
      </x:c>
      <x:c r="W49" s="359" t="str">
        <x:f>IF(OR(COUNTIFS(Strategy!$B$36:$B$90,P49)&lt;&gt;1,COUNTIFS(Strategy!$B$36:$B$90,P49,Strategy!$D$36:$D$90,"&lt;&gt;")&lt;&gt;1),"",INDEX(Strategy!$D$36:$D$90,MATCH(P49,Strategy!$B$36:$B$90,0)))</x:f>
        <x:v>seconds</x:v>
      </x:c>
      <x:c r="X49" s="369" t="n">
        <x:f>IF(OR(COUNT(T49:V49)&lt;&gt;3,Q49&lt;&gt;W49,T49&lt;0,T49&gt;10),"",T49*V49)</x:f>
        <x:v>200</x:v>
      </x:c>
      <x:c r="Y49" s="373" t="str">
        <x:v>Core: one 30-second work interval per round; rest excluded.</x:v>
      </x:c>
    </x:row>
    <x:row r="50" ht="15" hidden="0" customHeight="1">
      <x:c r="A50" s="327" t="n">
        <x:f>Daily!A16</x:f>
        <x:v>46343.5</x:v>
      </x:c>
      <x:c r="B50" s="322" t="str">
        <x:f>Daily!D16</x:f>
        <x:v>Handstand technique</x:v>
      </x:c>
      <x:c r="C50" s="322" t="str">
        <x:v>A · Wrist/shoulder mobility</x:v>
      </x:c>
      <x:c r="D50" s="322" t="str">
        <x:v>seconds</x:v>
      </x:c>
      <x:c r="E50" s="324" t="b">
        <x:v>1</x:v>
      </x:c>
      <x:c r="F50" s="330" t="n">
        <x:v>60</x:v>
      </x:c>
      <x:c r="G50" s="331" t="str">
        <x:f>IF(AND(OR(Daily!H16=TRUE,Daily!AB16=TRUE),COUNT(Daily!I16)&gt;0),SUM(Daily!I16)*86400,"")</x:f>
      </x:c>
      <x:c r="H50" s="331" t="n">
        <x:f>IF(AND(E50=TRUE,ISNUMBER(F50),F50&gt;0),100,"")</x:f>
        <x:v>100</x:v>
      </x:c>
      <x:c r="I50" s="331" t="str">
        <x:f>IF(AND(ISNUMBER(H50),ISNUMBER(G50)),IF(J50="lower",IF(G50&gt;0,100*F50/G50,""),100*G50/F50),"")</x:f>
      </x:c>
      <x:c r="J50" s="325" t="str">
        <x:v>higher</x:v>
      </x:c>
      <x:c r="N50" s="364" t="n">
        <x:f>Daily!A11</x:f>
        <x:v>46335.5</x:v>
      </x:c>
      <x:c r="O50" s="361" t="str">
        <x:f>Daily!D11</x:f>
        <x:v>Skill A + interval circuit</x:v>
      </x:c>
      <x:c r="P50" s="372" t="str">
        <x:v>Weighted squat</x:v>
      </x:c>
      <x:c r="Q50" s="362" t="str">
        <x:v>seconds</x:v>
      </x:c>
      <x:c r="R50" s="367" t="n">
        <x:v>5</x:v>
      </x:c>
      <x:c r="S50" s="367" t="n">
        <x:v>30</x:v>
      </x:c>
      <x:c r="T50" s="368" t="n">
        <x:f>IF(OR(COUNTIFS(Strategy!$B$36:$B$90,P50)&lt;&gt;1,COUNTIFS(Strategy!$B$36:$B$90,P50,Strategy!$C$36:$C$90,"&lt;&gt;")&lt;&gt;1),"",INDEX(Strategy!$C$36:$C$90,MATCH(P50,Strategy!$B$36:$B$90,0)))</x:f>
        <x:v>5</x:v>
      </x:c>
      <x:c r="U50" s="368" t="n">
        <x:f>IF(OR(COUNT(R50:S50)&lt;&gt;2,R50&lt;0,R50&lt;&gt;INT(R50),S50&lt;=0),"",R50*S50)</x:f>
        <x:v>150</x:v>
      </x:c>
      <x:c r="V50" s="389" t="n">
        <x:f>IF(OR(NOT(ISNUMBER(U50)),NOT(ISNUMBER($O$1)),$O$1&lt;=0),"",IF(Q50="seconds",U50/$O$1,IF(Q50="reps/leg",2*U50,IF(Q50="reps",U50,""))))</x:f>
        <x:v>50</x:v>
      </x:c>
      <x:c r="W50" s="361" t="str">
        <x:f>IF(OR(COUNTIFS(Strategy!$B$36:$B$90,P50)&lt;&gt;1,COUNTIFS(Strategy!$B$36:$B$90,P50,Strategy!$D$36:$D$90,"&lt;&gt;")&lt;&gt;1),"",INDEX(Strategy!$D$36:$D$90,MATCH(P50,Strategy!$B$36:$B$90,0)))</x:f>
        <x:v>seconds</x:v>
      </x:c>
      <x:c r="X50" s="370" t="n">
        <x:f>IF(OR(COUNT(T50:V50)&lt;&gt;3,Q50&lt;&gt;W50,T50&lt;0,T50&gt;10),"",T50*V50)</x:f>
        <x:v>250</x:v>
      </x:c>
      <x:c r="Y50" s="374" t="str">
        <x:v>Core: one 30-second work interval per round; rest excluded.</x:v>
      </x:c>
    </x:row>
    <x:row r="51" ht="15" hidden="0" customHeight="1">
      <x:c r="A51" s="326" t="n">
        <x:f>Daily!A16</x:f>
        <x:v>46343.5</x:v>
      </x:c>
      <x:c r="B51" s="318" t="str">
        <x:f>Daily!D16</x:f>
        <x:v>Handstand technique</x:v>
      </x:c>
      <x:c r="C51" s="318" t="str">
        <x:v>B · Easy chest-to-wall hold</x:v>
      </x:c>
      <x:c r="D51" s="318" t="str">
        <x:v>seconds</x:v>
      </x:c>
      <x:c r="E51" s="320" t="b">
        <x:v>1</x:v>
      </x:c>
      <x:c r="F51" s="328" t="n">
        <x:v>20</x:v>
      </x:c>
      <x:c r="G51" s="329" t="str">
        <x:f>IF(AND(OR(Daily!N16=TRUE,Daily!AB16=TRUE),COUNT(Daily!O16,Daily!P16)&gt;0),SUM(Daily!O16,Daily!P16)*86400,"")</x:f>
      </x:c>
      <x:c r="H51" s="329" t="n">
        <x:f>IF(AND(E51=TRUE,ISNUMBER(F51),F51&gt;0),100,"")</x:f>
        <x:v>100</x:v>
      </x:c>
      <x:c r="I51" s="329" t="str">
        <x:f>IF(AND(ISNUMBER(H51),ISNUMBER(G51)),IF(J51="lower",IF(G51&gt;0,100*F51/G51,""),100*G51/F51),"")</x:f>
      </x:c>
      <x:c r="J51" s="321" t="str">
        <x:v>higher</x:v>
      </x:c>
      <x:c r="N51" s="363" t="n">
        <x:f>Daily!A11</x:f>
        <x:v>46335.5</x:v>
      </x:c>
      <x:c r="O51" s="359" t="str">
        <x:f>Daily!D11</x:f>
        <x:v>Skill A + interval circuit</x:v>
      </x:c>
      <x:c r="P51" s="371" t="str">
        <x:v>Upside-down hanging shoulder/ab work</x:v>
      </x:c>
      <x:c r="Q51" s="360" t="str">
        <x:v>seconds</x:v>
      </x:c>
      <x:c r="R51" s="365" t="n">
        <x:v>5</x:v>
      </x:c>
      <x:c r="S51" s="365" t="n">
        <x:v>30</x:v>
      </x:c>
      <x:c r="T51" s="366" t="n">
        <x:f>IF(OR(COUNTIFS(Strategy!$B$36:$B$90,P51)&lt;&gt;1,COUNTIFS(Strategy!$B$36:$B$90,P51,Strategy!$C$36:$C$90,"&lt;&gt;")&lt;&gt;1),"",INDEX(Strategy!$C$36:$C$90,MATCH(P51,Strategy!$B$36:$B$90,0)))</x:f>
        <x:v>5</x:v>
      </x:c>
      <x:c r="U51" s="366" t="n">
        <x:f>IF(OR(COUNT(R51:S51)&lt;&gt;2,R51&lt;0,R51&lt;&gt;INT(R51),S51&lt;=0),"",R51*S51)</x:f>
        <x:v>150</x:v>
      </x:c>
      <x:c r="V51" s="388" t="n">
        <x:f>IF(OR(NOT(ISNUMBER(U51)),NOT(ISNUMBER($O$1)),$O$1&lt;=0),"",IF(Q51="seconds",U51/$O$1,IF(Q51="reps/leg",2*U51,IF(Q51="reps",U51,""))))</x:f>
        <x:v>50</x:v>
      </x:c>
      <x:c r="W51" s="359" t="str">
        <x:f>IF(OR(COUNTIFS(Strategy!$B$36:$B$90,P51)&lt;&gt;1,COUNTIFS(Strategy!$B$36:$B$90,P51,Strategy!$D$36:$D$90,"&lt;&gt;")&lt;&gt;1),"",INDEX(Strategy!$D$36:$D$90,MATCH(P51,Strategy!$B$36:$B$90,0)))</x:f>
        <x:v>seconds</x:v>
      </x:c>
      <x:c r="X51" s="369" t="n">
        <x:f>IF(OR(COUNT(T51:V51)&lt;&gt;3,Q51&lt;&gt;W51,T51&lt;0,T51&gt;10),"",T51*V51)</x:f>
        <x:v>250</x:v>
      </x:c>
      <x:c r="Y51" s="373" t="str">
        <x:v>Core: one 30-second work interval per round; rest excluded.</x:v>
      </x:c>
    </x:row>
    <x:row r="52" ht="15" hidden="0" customHeight="1">
      <x:c r="A52" s="327" t="n">
        <x:f>Daily!A16</x:f>
        <x:v>46343.5</x:v>
      </x:c>
      <x:c r="B52" s="322" t="str">
        <x:f>Daily!D16</x:f>
        <x:v>Handstand technique</x:v>
      </x:c>
      <x:c r="C52" s="322" t="str">
        <x:v>C · Wall handstand line drill</x:v>
      </x:c>
      <x:c r="D52" s="322" t="str">
        <x:v>seconds</x:v>
      </x:c>
      <x:c r="E52" s="324" t="b">
        <x:v>1</x:v>
      </x:c>
      <x:c r="F52" s="330" t="n">
        <x:v>10</x:v>
      </x:c>
      <x:c r="G52" s="331" t="str">
        <x:f>IF(AND(OR(Daily!T16=TRUE,Daily!AB16=TRUE),COUNT(Daily!U16)&gt;0),SUM(Daily!U16)*86400,"")</x:f>
      </x:c>
      <x:c r="H52" s="331" t="n">
        <x:f>IF(AND(E52=TRUE,ISNUMBER(F52),F52&gt;0),100,"")</x:f>
        <x:v>100</x:v>
      </x:c>
      <x:c r="I52" s="331" t="str">
        <x:f>IF(AND(ISNUMBER(H52),ISNUMBER(G52)),IF(J52="lower",IF(G52&gt;0,100*F52/G52,""),100*G52/F52),"")</x:f>
      </x:c>
      <x:c r="J52" s="325" t="str">
        <x:v>higher</x:v>
      </x:c>
      <x:c r="N52" s="364" t="n">
        <x:f>Daily!A12</x:f>
        <x:v>46336.5</x:v>
      </x:c>
      <x:c r="O52" s="361" t="str">
        <x:f>Daily!D12</x:f>
        <x:v>Handstand technique</x:v>
      </x:c>
      <x:c r="P52" s="372" t="str">
        <x:v>Wrist/shoulder mobility</x:v>
      </x:c>
      <x:c r="Q52" s="362" t="str">
        <x:v>seconds</x:v>
      </x:c>
      <x:c r="R52" s="367" t="n">
        <x:v>1</x:v>
      </x:c>
      <x:c r="S52" s="367" t="n">
        <x:v>120</x:v>
      </x:c>
      <x:c r="T52" s="368" t="n">
        <x:f>IF(OR(COUNTIFS(Strategy!$B$36:$B$90,P52)&lt;&gt;1,COUNTIFS(Strategy!$B$36:$B$90,P52,Strategy!$C$36:$C$90,"&lt;&gt;")&lt;&gt;1),"",INDEX(Strategy!$C$36:$C$90,MATCH(P52,Strategy!$B$36:$B$90,0)))</x:f>
        <x:v>1</x:v>
      </x:c>
      <x:c r="U52" s="368" t="n">
        <x:f>IF(OR(COUNT(R52:S52)&lt;&gt;2,R52&lt;0,R52&lt;&gt;INT(R52),S52&lt;=0),"",R52*S52)</x:f>
        <x:v>120</x:v>
      </x:c>
      <x:c r="V52" s="389" t="n">
        <x:f>IF(OR(NOT(ISNUMBER(U52)),NOT(ISNUMBER($O$1)),$O$1&lt;=0),"",IF(Q52="seconds",U52/$O$1,IF(Q52="reps/leg",2*U52,IF(Q52="reps",U52,""))))</x:f>
        <x:v>40</x:v>
      </x:c>
      <x:c r="W52" s="361" t="str">
        <x:f>IF(OR(COUNTIFS(Strategy!$B$36:$B$90,P52)&lt;&gt;1,COUNTIFS(Strategy!$B$36:$B$90,P52,Strategy!$D$36:$D$90,"&lt;&gt;")&lt;&gt;1),"",INDEX(Strategy!$D$36:$D$90,MATCH(P52,Strategy!$B$36:$B$90,0)))</x:f>
        <x:v>seconds</x:v>
      </x:c>
      <x:c r="X52" s="370" t="n">
        <x:f>IF(OR(COUNT(T52:V52)&lt;&gt;3,Q52&lt;&gt;W52,T52&lt;0,T52&gt;10),"",T52*V52)</x:f>
        <x:v>40</x:v>
      </x:c>
      <x:c r="Y52" s="374" t="str"/>
    </x:row>
    <x:row r="53" ht="15" hidden="0" customHeight="1">
      <x:c r="A53" s="326" t="n">
        <x:f>Daily!A17</x:f>
        <x:v>46345.5</x:v>
      </x:c>
      <x:c r="B53" s="318" t="str">
        <x:f>Daily!D17</x:f>
        <x:v>Skill B + interval circuit</x:v>
      </x:c>
      <x:c r="C53" s="318" t="str">
        <x:v>A · Easy wall handstand</x:v>
      </x:c>
      <x:c r="D53" s="318" t="str">
        <x:v>seconds</x:v>
      </x:c>
      <x:c r="E53" s="320" t="b">
        <x:v>1</x:v>
      </x:c>
      <x:c r="F53" s="328" t="n">
        <x:v>15</x:v>
      </x:c>
      <x:c r="G53" s="329" t="str">
        <x:f>IF(AND(OR(Daily!H17=TRUE,Daily!AB17=TRUE),COUNT(Daily!I17)&gt;0),SUM(Daily!I17)*86400,"")</x:f>
      </x:c>
      <x:c r="H53" s="329" t="n">
        <x:f>IF(AND(E53=TRUE,ISNUMBER(F53),F53&gt;0),100,"")</x:f>
        <x:v>100</x:v>
      </x:c>
      <x:c r="I53" s="329" t="str">
        <x:f>IF(AND(ISNUMBER(H53),ISNUMBER(G53)),IF(J53="lower",IF(G53&gt;0,100*F53/G53,""),100*G53/F53),"")</x:f>
      </x:c>
      <x:c r="J53" s="321" t="str">
        <x:v>higher</x:v>
      </x:c>
      <x:c r="N53" s="363" t="n">
        <x:f>Daily!A12</x:f>
        <x:v>46336.5</x:v>
      </x:c>
      <x:c r="O53" s="359" t="str">
        <x:f>Daily!D12</x:f>
        <x:v>Handstand technique</x:v>
      </x:c>
      <x:c r="P53" s="371" t="str">
        <x:v>Easy chest-to-wall hold</x:v>
      </x:c>
      <x:c r="Q53" s="360" t="str">
        <x:v>seconds</x:v>
      </x:c>
      <x:c r="R53" s="365" t="n">
        <x:v>3</x:v>
      </x:c>
      <x:c r="S53" s="365" t="n">
        <x:v>15</x:v>
      </x:c>
      <x:c r="T53" s="366" t="n">
        <x:f>IF(OR(COUNTIFS(Strategy!$B$36:$B$90,P53)&lt;&gt;1,COUNTIFS(Strategy!$B$36:$B$90,P53,Strategy!$C$36:$C$90,"&lt;&gt;")&lt;&gt;1),"",INDEX(Strategy!$C$36:$C$90,MATCH(P53,Strategy!$B$36:$B$90,0)))</x:f>
        <x:v>1</x:v>
      </x:c>
      <x:c r="U53" s="366" t="n">
        <x:f>IF(OR(COUNT(R53:S53)&lt;&gt;2,R53&lt;0,R53&lt;&gt;INT(R53),S53&lt;=0),"",R53*S53)</x:f>
        <x:v>45</x:v>
      </x:c>
      <x:c r="V53" s="388" t="n">
        <x:f>IF(OR(NOT(ISNUMBER(U53)),NOT(ISNUMBER($O$1)),$O$1&lt;=0),"",IF(Q53="seconds",U53/$O$1,IF(Q53="reps/leg",2*U53,IF(Q53="reps",U53,""))))</x:f>
        <x:v>15</x:v>
      </x:c>
      <x:c r="W53" s="359" t="str">
        <x:f>IF(OR(COUNTIFS(Strategy!$B$36:$B$90,P53)&lt;&gt;1,COUNTIFS(Strategy!$B$36:$B$90,P53,Strategy!$D$36:$D$90,"&lt;&gt;")&lt;&gt;1),"",INDEX(Strategy!$D$36:$D$90,MATCH(P53,Strategy!$B$36:$B$90,0)))</x:f>
        <x:v>seconds</x:v>
      </x:c>
      <x:c r="X53" s="369" t="n">
        <x:f>IF(OR(COUNT(T53:V53)&lt;&gt;3,Q53&lt;&gt;W53,T53&lt;0,T53&gt;10),"",T53*V53)</x:f>
        <x:v>15</x:v>
      </x:c>
      <x:c r="Y53" s="373" t="str"/>
    </x:row>
    <x:row r="54" ht="15" hidden="0" customHeight="1">
      <x:c r="A54" s="327" t="n">
        <x:f>Daily!A17</x:f>
        <x:v>46345.5</x:v>
      </x:c>
      <x:c r="B54" s="322" t="str">
        <x:f>Daily!D17</x:f>
        <x:v>Skill B + interval circuit</x:v>
      </x:c>
      <x:c r="C54" s="322" t="str">
        <x:v>B · Gentle wrist/shoulder mobility</x:v>
      </x:c>
      <x:c r="D54" s="322" t="str">
        <x:v>seconds</x:v>
      </x:c>
      <x:c r="E54" s="324" t="b">
        <x:v>1</x:v>
      </x:c>
      <x:c r="F54" s="330" t="n">
        <x:v>120</x:v>
      </x:c>
      <x:c r="G54" s="331" t="str">
        <x:f>IF(AND(OR(Daily!N17=TRUE,Daily!AB17=TRUE),COUNT(Daily!O17)&gt;0),SUM(Daily!O17)*86400,"")</x:f>
      </x:c>
      <x:c r="H54" s="331" t="n">
        <x:f>IF(AND(E54=TRUE,ISNUMBER(F54),F54&gt;0),100,"")</x:f>
        <x:v>100</x:v>
      </x:c>
      <x:c r="I54" s="331" t="str">
        <x:f>IF(AND(ISNUMBER(H54),ISNUMBER(G54)),IF(J54="lower",IF(G54&gt;0,100*F54/G54,""),100*G54/F54),"")</x:f>
      </x:c>
      <x:c r="J54" s="325" t="str">
        <x:v>higher</x:v>
      </x:c>
      <x:c r="N54" s="364" t="n">
        <x:f>Daily!A12</x:f>
        <x:v>46336.5</x:v>
      </x:c>
      <x:c r="O54" s="361" t="str">
        <x:f>Daily!D12</x:f>
        <x:v>Handstand technique</x:v>
      </x:c>
      <x:c r="P54" s="372" t="str">
        <x:v>Wall handstand line drill</x:v>
      </x:c>
      <x:c r="Q54" s="362" t="str">
        <x:v>seconds</x:v>
      </x:c>
      <x:c r="R54" s="367" t="n">
        <x:v>2</x:v>
      </x:c>
      <x:c r="S54" s="367" t="n">
        <x:v>15</x:v>
      </x:c>
      <x:c r="T54" s="368" t="n">
        <x:f>IF(OR(COUNTIFS(Strategy!$B$36:$B$90,P54)&lt;&gt;1,COUNTIFS(Strategy!$B$36:$B$90,P54,Strategy!$C$36:$C$90,"&lt;&gt;")&lt;&gt;1),"",INDEX(Strategy!$C$36:$C$90,MATCH(P54,Strategy!$B$36:$B$90,0)))</x:f>
        <x:v>1</x:v>
      </x:c>
      <x:c r="U54" s="368" t="n">
        <x:f>IF(OR(COUNT(R54:S54)&lt;&gt;2,R54&lt;0,R54&lt;&gt;INT(R54),S54&lt;=0),"",R54*S54)</x:f>
        <x:v>30</x:v>
      </x:c>
      <x:c r="V54" s="389" t="n">
        <x:f>IF(OR(NOT(ISNUMBER(U54)),NOT(ISNUMBER($O$1)),$O$1&lt;=0),"",IF(Q54="seconds",U54/$O$1,IF(Q54="reps/leg",2*U54,IF(Q54="reps",U54,""))))</x:f>
        <x:v>10</x:v>
      </x:c>
      <x:c r="W54" s="361" t="str">
        <x:f>IF(OR(COUNTIFS(Strategy!$B$36:$B$90,P54)&lt;&gt;1,COUNTIFS(Strategy!$B$36:$B$90,P54,Strategy!$D$36:$D$90,"&lt;&gt;")&lt;&gt;1),"",INDEX(Strategy!$D$36:$D$90,MATCH(P54,Strategy!$B$36:$B$90,0)))</x:f>
        <x:v>seconds</x:v>
      </x:c>
      <x:c r="X54" s="370" t="n">
        <x:f>IF(OR(COUNT(T54:V54)&lt;&gt;3,Q54&lt;&gt;W54,T54&lt;0,T54&gt;10),"",T54*V54)</x:f>
        <x:v>10</x:v>
      </x:c>
      <x:c r="Y54" s="374" t="str"/>
    </x:row>
    <x:row r="55" ht="15" hidden="0" customHeight="1">
      <x:c r="A55" s="326" t="n">
        <x:f>Daily!A17</x:f>
        <x:v>46345.5</x:v>
      </x:c>
      <x:c r="B55" s="318" t="str">
        <x:f>Daily!D17</x:f>
        <x:v>Skill B + interval circuit</x:v>
      </x:c>
      <x:c r="C55" s="318" t="str">
        <x:v>C · Assisted pistol</x:v>
      </x:c>
      <x:c r="D55" s="318" t="str">
        <x:v>reps/leg</x:v>
      </x:c>
      <x:c r="E55" s="320" t="b">
        <x:v>1</x:v>
      </x:c>
      <x:c r="F55" s="328" t="n">
        <x:v>3</x:v>
      </x:c>
      <x:c r="G55" s="329" t="str">
        <x:f>IF(AND(OR(Daily!T17=TRUE,Daily!AB17=TRUE),COUNT(Daily!U17)&gt;0),SUM(Daily!U17),"")</x:f>
      </x:c>
      <x:c r="H55" s="329" t="n">
        <x:f>IF(AND(E55=TRUE,ISNUMBER(F55),F55&gt;0),100,"")</x:f>
        <x:v>100</x:v>
      </x:c>
      <x:c r="I55" s="329" t="str">
        <x:f>IF(AND(ISNUMBER(H55),ISNUMBER(G55)),IF(J55="lower",IF(G55&gt;0,100*F55/G55,""),100*G55/F55),"")</x:f>
      </x:c>
      <x:c r="J55" s="321" t="str">
        <x:v>higher</x:v>
      </x:c>
      <x:c r="N55" s="363" t="n">
        <x:f>Daily!A13</x:f>
        <x:v>46338.5</x:v>
      </x:c>
      <x:c r="O55" s="359" t="str">
        <x:f>Daily!D13</x:f>
        <x:v>Skill B + circuit</x:v>
      </x:c>
      <x:c r="P55" s="371" t="str">
        <x:v>Wall HSPU negative</x:v>
      </x:c>
      <x:c r="Q55" s="360" t="str">
        <x:v>reps</x:v>
      </x:c>
      <x:c r="R55" s="365" t="n">
        <x:v>3</x:v>
      </x:c>
      <x:c r="S55" s="365" t="n">
        <x:v>2</x:v>
      </x:c>
      <x:c r="T55" s="366" t="n">
        <x:f>IF(OR(COUNTIFS(Strategy!$B$36:$B$90,P55)&lt;&gt;1,COUNTIFS(Strategy!$B$36:$B$90,P55,Strategy!$C$36:$C$90,"&lt;&gt;")&lt;&gt;1),"",INDEX(Strategy!$C$36:$C$90,MATCH(P55,Strategy!$B$36:$B$90,0)))</x:f>
        <x:v>7</x:v>
      </x:c>
      <x:c r="U55" s="366" t="n">
        <x:f>IF(OR(COUNT(R55:S55)&lt;&gt;2,R55&lt;0,R55&lt;&gt;INT(R55),S55&lt;=0),"",R55*S55)</x:f>
        <x:v>6</x:v>
      </x:c>
      <x:c r="V55" s="388" t="n">
        <x:f>IF(OR(NOT(ISNUMBER(U55)),NOT(ISNUMBER($O$1)),$O$1&lt;=0),"",IF(Q55="seconds",U55/$O$1,IF(Q55="reps/leg",2*U55,IF(Q55="reps",U55,""))))</x:f>
        <x:v>6</x:v>
      </x:c>
      <x:c r="W55" s="359" t="str">
        <x:f>IF(OR(COUNTIFS(Strategy!$B$36:$B$90,P55)&lt;&gt;1,COUNTIFS(Strategy!$B$36:$B$90,P55,Strategy!$D$36:$D$90,"&lt;&gt;")&lt;&gt;1),"",INDEX(Strategy!$D$36:$D$90,MATCH(P55,Strategy!$B$36:$B$90,0)))</x:f>
        <x:v>reps</x:v>
      </x:c>
      <x:c r="X55" s="369" t="n">
        <x:f>IF(OR(COUNT(T55:V55)&lt;&gt;3,Q55&lt;&gt;W55,T55&lt;0,T55&gt;10),"",T55*V55)</x:f>
        <x:v>42</x:v>
      </x:c>
      <x:c r="Y55" s="373" t="str">
        <x:v>Count reps; the 3-second lowering tempo is not added as hold time.</x:v>
      </x:c>
    </x:row>
    <x:row r="56" ht="15" hidden="0" customHeight="1">
      <x:c r="A56" s="327" t="n">
        <x:f>Daily!A17</x:f>
        <x:v>46345.5</x:v>
      </x:c>
      <x:c r="B56" s="322" t="str">
        <x:f>Daily!D17</x:f>
        <x:v>Skill B + interval circuit</x:v>
      </x:c>
      <x:c r="C56" s="322" t="str">
        <x:v>Core</x:v>
      </x:c>
      <x:c r="D56" s="322" t="str">
        <x:v>rounds</x:v>
      </x:c>
      <x:c r="E56" s="324" t="b">
        <x:v>1</x:v>
      </x:c>
      <x:c r="F56" s="330" t="n">
        <x:v>3</x:v>
      </x:c>
      <x:c r="G56" s="331" t="str">
        <x:f>IF(AND(OR(Daily!Z17=TRUE,Daily!AB17=TRUE),COUNT(Daily!AA17)&gt;0),SUM(Daily!AA17),"")</x:f>
      </x:c>
      <x:c r="H56" s="331" t="n">
        <x:f>IF(AND(E56=TRUE,ISNUMBER(F56),F56&gt;0),100,"")</x:f>
        <x:v>100</x:v>
      </x:c>
      <x:c r="I56" s="331" t="str">
        <x:f>IF(AND(ISNUMBER(H56),ISNUMBER(G56)),IF(J56="lower",IF(G56&gt;0,100*F56/G56,""),100*G56/F56),"")</x:f>
      </x:c>
      <x:c r="J56" s="325" t="str">
        <x:v>higher</x:v>
      </x:c>
      <x:c r="N56" s="364" t="n">
        <x:f>Daily!A13</x:f>
        <x:v>46338.5</x:v>
      </x:c>
      <x:c r="O56" s="361" t="str">
        <x:f>Daily!D13</x:f>
        <x:v>Skill B + circuit</x:v>
      </x:c>
      <x:c r="P56" s="372" t="str">
        <x:v>Pike push-up</x:v>
      </x:c>
      <x:c r="Q56" s="362" t="str">
        <x:v>reps</x:v>
      </x:c>
      <x:c r="R56" s="367" t="n">
        <x:v>3</x:v>
      </x:c>
      <x:c r="S56" s="367" t="n">
        <x:v>5</x:v>
      </x:c>
      <x:c r="T56" s="368" t="n">
        <x:f>IF(OR(COUNTIFS(Strategy!$B$36:$B$90,P56)&lt;&gt;1,COUNTIFS(Strategy!$B$36:$B$90,P56,Strategy!$C$36:$C$90,"&lt;&gt;")&lt;&gt;1),"",INDEX(Strategy!$C$36:$C$90,MATCH(P56,Strategy!$B$36:$B$90,0)))</x:f>
        <x:v>4</x:v>
      </x:c>
      <x:c r="U56" s="368" t="n">
        <x:f>IF(OR(COUNT(R56:S56)&lt;&gt;2,R56&lt;0,R56&lt;&gt;INT(R56),S56&lt;=0),"",R56*S56)</x:f>
        <x:v>15</x:v>
      </x:c>
      <x:c r="V56" s="389" t="n">
        <x:f>IF(OR(NOT(ISNUMBER(U56)),NOT(ISNUMBER($O$1)),$O$1&lt;=0),"",IF(Q56="seconds",U56/$O$1,IF(Q56="reps/leg",2*U56,IF(Q56="reps",U56,""))))</x:f>
        <x:v>15</x:v>
      </x:c>
      <x:c r="W56" s="361" t="str">
        <x:f>IF(OR(COUNTIFS(Strategy!$B$36:$B$90,P56)&lt;&gt;1,COUNTIFS(Strategy!$B$36:$B$90,P56,Strategy!$D$36:$D$90,"&lt;&gt;")&lt;&gt;1),"",INDEX(Strategy!$D$36:$D$90,MATCH(P56,Strategy!$B$36:$B$90,0)))</x:f>
        <x:v>reps</x:v>
      </x:c>
      <x:c r="X56" s="370" t="n">
        <x:f>IF(OR(COUNT(T56:V56)&lt;&gt;3,Q56&lt;&gt;W56,T56&lt;0,T56&gt;10),"",T56*V56)</x:f>
        <x:v>60</x:v>
      </x:c>
      <x:c r="Y56" s="374" t="str"/>
    </x:row>
    <x:row r="57" ht="15" hidden="0" customHeight="1">
      <x:c r="A57" s="326" t="n">
        <x:f>Daily!A18</x:f>
        <x:v>46347.5</x:v>
      </x:c>
      <x:c r="B57" s="318" t="str">
        <x:f>Daily!D18</x:f>
        <x:v>Skill micro-session</x:v>
      </x:c>
      <x:c r="C57" s="318" t="str">
        <x:v>A · Wrist/shoulder mobility</x:v>
      </x:c>
      <x:c r="D57" s="318" t="str">
        <x:v>seconds</x:v>
      </x:c>
      <x:c r="E57" s="320" t="b">
        <x:v>1</x:v>
      </x:c>
      <x:c r="F57" s="328" t="n">
        <x:v>60</x:v>
      </x:c>
      <x:c r="G57" s="329" t="str">
        <x:f>IF(AND(OR(Daily!H18=TRUE,Daily!AB18=TRUE),COUNT(Daily!I18)&gt;0),SUM(Daily!I18)*86400,"")</x:f>
      </x:c>
      <x:c r="H57" s="329" t="n">
        <x:f>IF(AND(E57=TRUE,ISNUMBER(F57),F57&gt;0),100,"")</x:f>
        <x:v>100</x:v>
      </x:c>
      <x:c r="I57" s="329" t="str">
        <x:f>IF(AND(ISNUMBER(H57),ISNUMBER(G57)),IF(J57="lower",IF(G57&gt;0,100*F57/G57,""),100*G57/F57),"")</x:f>
      </x:c>
      <x:c r="J57" s="321" t="str">
        <x:v>higher</x:v>
      </x:c>
      <x:c r="N57" s="363" t="n">
        <x:f>Daily!A13</x:f>
        <x:v>46338.5</x:v>
      </x:c>
      <x:c r="O57" s="359" t="str">
        <x:f>Daily!D13</x:f>
        <x:v>Skill B + circuit</x:v>
      </x:c>
      <x:c r="P57" s="371" t="str">
        <x:v>Assisted full-depth pistol</x:v>
      </x:c>
      <x:c r="Q57" s="360" t="str">
        <x:v>reps/leg</x:v>
      </x:c>
      <x:c r="R57" s="365" t="n">
        <x:v>3</x:v>
      </x:c>
      <x:c r="S57" s="365" t="n">
        <x:v>4</x:v>
      </x:c>
      <x:c r="T57" s="366" t="n">
        <x:f>IF(OR(COUNTIFS(Strategy!$B$36:$B$90,P57)&lt;&gt;1,COUNTIFS(Strategy!$B$36:$B$90,P57,Strategy!$C$36:$C$90,"&lt;&gt;")&lt;&gt;1),"",INDEX(Strategy!$C$36:$C$90,MATCH(P57,Strategy!$B$36:$B$90,0)))</x:f>
        <x:v>4</x:v>
      </x:c>
      <x:c r="U57" s="366" t="n">
        <x:f>IF(OR(COUNT(R57:S57)&lt;&gt;2,R57&lt;0,R57&lt;&gt;INT(R57),S57&lt;=0),"",R57*S57)</x:f>
        <x:v>12</x:v>
      </x:c>
      <x:c r="V57" s="388" t="n">
        <x:f>IF(OR(NOT(ISNUMBER(U57)),NOT(ISNUMBER($O$1)),$O$1&lt;=0),"",IF(Q57="seconds",U57/$O$1,IF(Q57="reps/leg",2*U57,IF(Q57="reps",U57,""))))</x:f>
        <x:v>24</x:v>
      </x:c>
      <x:c r="W57" s="359" t="str">
        <x:f>IF(OR(COUNTIFS(Strategy!$B$36:$B$90,P57)&lt;&gt;1,COUNTIFS(Strategy!$B$36:$B$90,P57,Strategy!$D$36:$D$90,"&lt;&gt;")&lt;&gt;1),"",INDEX(Strategy!$D$36:$D$90,MATCH(P57,Strategy!$B$36:$B$90,0)))</x:f>
        <x:v>reps/leg</x:v>
      </x:c>
      <x:c r="X57" s="369" t="n">
        <x:f>IF(OR(COUNT(T57:V57)&lt;&gt;3,Q57&lt;&gt;W57,T57&lt;0,T57&gt;10),"",T57*V57)</x:f>
        <x:v>96</x:v>
      </x:c>
      <x:c r="Y57" s="373" t="str"/>
    </x:row>
    <x:row r="58" ht="15" hidden="0" customHeight="1">
      <x:c r="A58" s="327" t="n">
        <x:f>Daily!A18</x:f>
        <x:v>46347.5</x:v>
      </x:c>
      <x:c r="B58" s="322" t="str">
        <x:f>Daily!D18</x:f>
        <x:v>Skill micro-session</x:v>
      </x:c>
      <x:c r="C58" s="322" t="str">
        <x:v>B · Easy chest-to-wall hold</x:v>
      </x:c>
      <x:c r="D58" s="322" t="str">
        <x:v>seconds</x:v>
      </x:c>
      <x:c r="E58" s="324" t="b">
        <x:v>1</x:v>
      </x:c>
      <x:c r="F58" s="330" t="n">
        <x:v>20</x:v>
      </x:c>
      <x:c r="G58" s="331" t="str">
        <x:f>IF(AND(OR(Daily!N18=TRUE,Daily!AB18=TRUE),COUNT(Daily!O18,Daily!P18)&gt;0),SUM(Daily!O18,Daily!P18)*86400,"")</x:f>
      </x:c>
      <x:c r="H58" s="331" t="n">
        <x:f>IF(AND(E58=TRUE,ISNUMBER(F58),F58&gt;0),100,"")</x:f>
        <x:v>100</x:v>
      </x:c>
      <x:c r="I58" s="331" t="str">
        <x:f>IF(AND(ISNUMBER(H58),ISNUMBER(G58)),IF(J58="lower",IF(G58&gt;0,100*F58/G58,""),100*G58/F58),"")</x:f>
      </x:c>
      <x:c r="J58" s="325" t="str">
        <x:v>higher</x:v>
      </x:c>
      <x:c r="N58" s="364" t="n">
        <x:f>Daily!A13</x:f>
        <x:v>46338.5</x:v>
      </x:c>
      <x:c r="O58" s="361" t="str">
        <x:f>Daily!D13</x:f>
        <x:v>Skill B + circuit</x:v>
      </x:c>
      <x:c r="P58" s="372" t="str">
        <x:v>Pull-up</x:v>
      </x:c>
      <x:c r="Q58" s="362" t="str">
        <x:v>seconds</x:v>
      </x:c>
      <x:c r="R58" s="367" t="n">
        <x:v>5</x:v>
      </x:c>
      <x:c r="S58" s="367" t="n">
        <x:v>30</x:v>
      </x:c>
      <x:c r="T58" s="368" t="n">
        <x:f>IF(OR(COUNTIFS(Strategy!$B$36:$B$90,P58)&lt;&gt;1,COUNTIFS(Strategy!$B$36:$B$90,P58,Strategy!$C$36:$C$90,"&lt;&gt;")&lt;&gt;1),"",INDEX(Strategy!$C$36:$C$90,MATCH(P58,Strategy!$B$36:$B$90,0)))</x:f>
        <x:v>6</x:v>
      </x:c>
      <x:c r="U58" s="368" t="n">
        <x:f>IF(OR(COUNT(R58:S58)&lt;&gt;2,R58&lt;0,R58&lt;&gt;INT(R58),S58&lt;=0),"",R58*S58)</x:f>
        <x:v>150</x:v>
      </x:c>
      <x:c r="V58" s="389" t="n">
        <x:f>IF(OR(NOT(ISNUMBER(U58)),NOT(ISNUMBER($O$1)),$O$1&lt;=0),"",IF(Q58="seconds",U58/$O$1,IF(Q58="reps/leg",2*U58,IF(Q58="reps",U58,""))))</x:f>
        <x:v>50</x:v>
      </x:c>
      <x:c r="W58" s="361" t="str">
        <x:f>IF(OR(COUNTIFS(Strategy!$B$36:$B$90,P58)&lt;&gt;1,COUNTIFS(Strategy!$B$36:$B$90,P58,Strategy!$D$36:$D$90,"&lt;&gt;")&lt;&gt;1),"",INDEX(Strategy!$D$36:$D$90,MATCH(P58,Strategy!$B$36:$B$90,0)))</x:f>
        <x:v>seconds</x:v>
      </x:c>
      <x:c r="X58" s="370" t="n">
        <x:f>IF(OR(COUNT(T58:V58)&lt;&gt;3,Q58&lt;&gt;W58,T58&lt;0,T58&gt;10),"",T58*V58)</x:f>
        <x:v>300</x:v>
      </x:c>
      <x:c r="Y58" s="374" t="str">
        <x:v>Core: one 30-second work interval per round; rest excluded.</x:v>
      </x:c>
    </x:row>
    <x:row r="59" ht="15" hidden="0" customHeight="1">
      <x:c r="A59" s="326" t="n">
        <x:f>Daily!A18</x:f>
        <x:v>46347.5</x:v>
      </x:c>
      <x:c r="B59" s="318" t="str">
        <x:f>Daily!D18</x:f>
        <x:v>Skill micro-session</x:v>
      </x:c>
      <x:c r="C59" s="318" t="str">
        <x:v>C · Wall handstand line drill</x:v>
      </x:c>
      <x:c r="D59" s="318" t="str">
        <x:v>seconds</x:v>
      </x:c>
      <x:c r="E59" s="320" t="b">
        <x:v>1</x:v>
      </x:c>
      <x:c r="F59" s="328" t="n">
        <x:v>10</x:v>
      </x:c>
      <x:c r="G59" s="329" t="str">
        <x:f>IF(AND(OR(Daily!T18=TRUE,Daily!AB18=TRUE),COUNT(Daily!U18)&gt;0),SUM(Daily!U18)*86400,"")</x:f>
      </x:c>
      <x:c r="H59" s="329" t="n">
        <x:f>IF(AND(E59=TRUE,ISNUMBER(F59),F59&gt;0),100,"")</x:f>
        <x:v>100</x:v>
      </x:c>
      <x:c r="I59" s="329" t="str">
        <x:f>IF(AND(ISNUMBER(H59),ISNUMBER(G59)),IF(J59="lower",IF(G59&gt;0,100*F59/G59,""),100*G59/F59),"")</x:f>
      </x:c>
      <x:c r="J59" s="321" t="str">
        <x:v>higher</x:v>
      </x:c>
      <x:c r="N59" s="363" t="n">
        <x:f>Daily!A13</x:f>
        <x:v>46338.5</x:v>
      </x:c>
      <x:c r="O59" s="359" t="str">
        <x:f>Daily!D13</x:f>
        <x:v>Skill B + circuit</x:v>
      </x:c>
      <x:c r="P59" s="371" t="str">
        <x:v>Push-up</x:v>
      </x:c>
      <x:c r="Q59" s="360" t="str">
        <x:v>seconds</x:v>
      </x:c>
      <x:c r="R59" s="365" t="n">
        <x:v>5</x:v>
      </x:c>
      <x:c r="S59" s="365" t="n">
        <x:v>30</x:v>
      </x:c>
      <x:c r="T59" s="366" t="n">
        <x:f>IF(OR(COUNTIFS(Strategy!$B$36:$B$90,P59)&lt;&gt;1,COUNTIFS(Strategy!$B$36:$B$90,P59,Strategy!$C$36:$C$90,"&lt;&gt;")&lt;&gt;1),"",INDEX(Strategy!$C$36:$C$90,MATCH(P59,Strategy!$B$36:$B$90,0)))</x:f>
        <x:v>4</x:v>
      </x:c>
      <x:c r="U59" s="366" t="n">
        <x:f>IF(OR(COUNT(R59:S59)&lt;&gt;2,R59&lt;0,R59&lt;&gt;INT(R59),S59&lt;=0),"",R59*S59)</x:f>
        <x:v>150</x:v>
      </x:c>
      <x:c r="V59" s="388" t="n">
        <x:f>IF(OR(NOT(ISNUMBER(U59)),NOT(ISNUMBER($O$1)),$O$1&lt;=0),"",IF(Q59="seconds",U59/$O$1,IF(Q59="reps/leg",2*U59,IF(Q59="reps",U59,""))))</x:f>
        <x:v>50</x:v>
      </x:c>
      <x:c r="W59" s="359" t="str">
        <x:f>IF(OR(COUNTIFS(Strategy!$B$36:$B$90,P59)&lt;&gt;1,COUNTIFS(Strategy!$B$36:$B$90,P59,Strategy!$D$36:$D$90,"&lt;&gt;")&lt;&gt;1),"",INDEX(Strategy!$D$36:$D$90,MATCH(P59,Strategy!$B$36:$B$90,0)))</x:f>
        <x:v>seconds</x:v>
      </x:c>
      <x:c r="X59" s="369" t="n">
        <x:f>IF(OR(COUNT(T59:V59)&lt;&gt;3,Q59&lt;&gt;W59,T59&lt;0,T59&gt;10),"",T59*V59)</x:f>
        <x:v>200</x:v>
      </x:c>
      <x:c r="Y59" s="373" t="str">
        <x:v>Core: one 30-second work interval per round; rest excluded.</x:v>
      </x:c>
    </x:row>
    <x:row r="60" ht="15" hidden="0" customHeight="1">
      <x:c r="A60" s="327" t="n">
        <x:f>Daily!A19</x:f>
        <x:v>46349.5</x:v>
      </x:c>
      <x:c r="B60" s="322" t="str">
        <x:f>Daily!D19</x:f>
        <x:v>Skill A + interval circuit</x:v>
      </x:c>
      <x:c r="C60" s="322" t="str">
        <x:v>A · Chest-to-bar pull-up</x:v>
      </x:c>
      <x:c r="D60" s="322" t="str">
        <x:v>reps</x:v>
      </x:c>
      <x:c r="E60" s="324" t="b">
        <x:v>1</x:v>
      </x:c>
      <x:c r="F60" s="330" t="n">
        <x:v>9</x:v>
      </x:c>
      <x:c r="G60" s="331" t="str">
        <x:f>IF(AND(OR(Daily!H19=TRUE,Daily!AB19=TRUE),COUNT(Daily!I19,Daily!J19,Daily!K19)&gt;0),SUM(Daily!I19,Daily!J19,Daily!K19),"")</x:f>
      </x:c>
      <x:c r="H60" s="331" t="n">
        <x:f>IF(AND(E60=TRUE,ISNUMBER(F60),F60&gt;0),100,"")</x:f>
        <x:v>100</x:v>
      </x:c>
      <x:c r="I60" s="331" t="str">
        <x:f>IF(AND(ISNUMBER(H60),ISNUMBER(G60)),IF(J60="lower",IF(G60&gt;0,100*F60/G60,""),100*G60/F60),"")</x:f>
      </x:c>
      <x:c r="J60" s="325" t="str">
        <x:v>higher</x:v>
      </x:c>
      <x:c r="N60" s="364" t="n">
        <x:f>Daily!A13</x:f>
        <x:v>46338.5</x:v>
      </x:c>
      <x:c r="O60" s="361" t="str">
        <x:f>Daily!D13</x:f>
        <x:v>Skill B + circuit</x:v>
      </x:c>
      <x:c r="P60" s="372" t="str">
        <x:v>Weighted squat</x:v>
      </x:c>
      <x:c r="Q60" s="362" t="str">
        <x:v>seconds</x:v>
      </x:c>
      <x:c r="R60" s="367" t="n">
        <x:v>5</x:v>
      </x:c>
      <x:c r="S60" s="367" t="n">
        <x:v>30</x:v>
      </x:c>
      <x:c r="T60" s="368" t="n">
        <x:f>IF(OR(COUNTIFS(Strategy!$B$36:$B$90,P60)&lt;&gt;1,COUNTIFS(Strategy!$B$36:$B$90,P60,Strategy!$C$36:$C$90,"&lt;&gt;")&lt;&gt;1),"",INDEX(Strategy!$C$36:$C$90,MATCH(P60,Strategy!$B$36:$B$90,0)))</x:f>
        <x:v>5</x:v>
      </x:c>
      <x:c r="U60" s="368" t="n">
        <x:f>IF(OR(COUNT(R60:S60)&lt;&gt;2,R60&lt;0,R60&lt;&gt;INT(R60),S60&lt;=0),"",R60*S60)</x:f>
        <x:v>150</x:v>
      </x:c>
      <x:c r="V60" s="389" t="n">
        <x:f>IF(OR(NOT(ISNUMBER(U60)),NOT(ISNUMBER($O$1)),$O$1&lt;=0),"",IF(Q60="seconds",U60/$O$1,IF(Q60="reps/leg",2*U60,IF(Q60="reps",U60,""))))</x:f>
        <x:v>50</x:v>
      </x:c>
      <x:c r="W60" s="361" t="str">
        <x:f>IF(OR(COUNTIFS(Strategy!$B$36:$B$90,P60)&lt;&gt;1,COUNTIFS(Strategy!$B$36:$B$90,P60,Strategy!$D$36:$D$90,"&lt;&gt;")&lt;&gt;1),"",INDEX(Strategy!$D$36:$D$90,MATCH(P60,Strategy!$B$36:$B$90,0)))</x:f>
        <x:v>seconds</x:v>
      </x:c>
      <x:c r="X60" s="370" t="n">
        <x:f>IF(OR(COUNT(T60:V60)&lt;&gt;3,Q60&lt;&gt;W60,T60&lt;0,T60&gt;10),"",T60*V60)</x:f>
        <x:v>250</x:v>
      </x:c>
      <x:c r="Y60" s="374" t="str">
        <x:v>Core: one 30-second work interval per round; rest excluded.</x:v>
      </x:c>
    </x:row>
    <x:row r="61" ht="15" hidden="0" customHeight="1">
      <x:c r="A61" s="326" t="n">
        <x:f>Daily!A19</x:f>
        <x:v>46349.5</x:v>
      </x:c>
      <x:c r="B61" s="318" t="str">
        <x:f>Daily!D19</x:f>
        <x:v>Skill A + interval circuit</x:v>
      </x:c>
      <x:c r="C61" s="318" t="str">
        <x:v>B · Band-assisted muscle-up</x:v>
      </x:c>
      <x:c r="D61" s="318" t="str">
        <x:v>reps</x:v>
      </x:c>
      <x:c r="E61" s="320" t="b">
        <x:v>1</x:v>
      </x:c>
      <x:c r="F61" s="328" t="n">
        <x:v>4</x:v>
      </x:c>
      <x:c r="G61" s="329" t="str">
        <x:f>IF(AND(OR(Daily!N19=TRUE,Daily!AB19=TRUE),COUNT(Daily!O19,Daily!P19,Daily!Q19,Daily!R19)&gt;0),SUM(Daily!O19,Daily!P19,Daily!Q19,Daily!R19),"")</x:f>
      </x:c>
      <x:c r="H61" s="329" t="n">
        <x:f>IF(AND(E61=TRUE,ISNUMBER(F61),F61&gt;0),100,"")</x:f>
        <x:v>100</x:v>
      </x:c>
      <x:c r="I61" s="329" t="str">
        <x:f>IF(AND(ISNUMBER(H61),ISNUMBER(G61)),IF(J61="lower",IF(G61&gt;0,100*F61/G61,""),100*G61/F61),"")</x:f>
      </x:c>
      <x:c r="J61" s="321" t="str">
        <x:v>higher</x:v>
      </x:c>
      <x:c r="N61" s="363" t="n">
        <x:f>Daily!A13</x:f>
        <x:v>46338.5</x:v>
      </x:c>
      <x:c r="O61" s="359" t="str">
        <x:f>Daily!D13</x:f>
        <x:v>Skill B + circuit</x:v>
      </x:c>
      <x:c r="P61" s="371" t="str">
        <x:v>Upside-down hanging shoulder/ab work</x:v>
      </x:c>
      <x:c r="Q61" s="360" t="str">
        <x:v>seconds</x:v>
      </x:c>
      <x:c r="R61" s="365" t="n">
        <x:v>5</x:v>
      </x:c>
      <x:c r="S61" s="365" t="n">
        <x:v>30</x:v>
      </x:c>
      <x:c r="T61" s="366" t="n">
        <x:f>IF(OR(COUNTIFS(Strategy!$B$36:$B$90,P61)&lt;&gt;1,COUNTIFS(Strategy!$B$36:$B$90,P61,Strategy!$C$36:$C$90,"&lt;&gt;")&lt;&gt;1),"",INDEX(Strategy!$C$36:$C$90,MATCH(P61,Strategy!$B$36:$B$90,0)))</x:f>
        <x:v>5</x:v>
      </x:c>
      <x:c r="U61" s="366" t="n">
        <x:f>IF(OR(COUNT(R61:S61)&lt;&gt;2,R61&lt;0,R61&lt;&gt;INT(R61),S61&lt;=0),"",R61*S61)</x:f>
        <x:v>150</x:v>
      </x:c>
      <x:c r="V61" s="388" t="n">
        <x:f>IF(OR(NOT(ISNUMBER(U61)),NOT(ISNUMBER($O$1)),$O$1&lt;=0),"",IF(Q61="seconds",U61/$O$1,IF(Q61="reps/leg",2*U61,IF(Q61="reps",U61,""))))</x:f>
        <x:v>50</x:v>
      </x:c>
      <x:c r="W61" s="359" t="str">
        <x:f>IF(OR(COUNTIFS(Strategy!$B$36:$B$90,P61)&lt;&gt;1,COUNTIFS(Strategy!$B$36:$B$90,P61,Strategy!$D$36:$D$90,"&lt;&gt;")&lt;&gt;1),"",INDEX(Strategy!$D$36:$D$90,MATCH(P61,Strategy!$B$36:$B$90,0)))</x:f>
        <x:v>seconds</x:v>
      </x:c>
      <x:c r="X61" s="369" t="n">
        <x:f>IF(OR(COUNT(T61:V61)&lt;&gt;3,Q61&lt;&gt;W61,T61&lt;0,T61&gt;10),"",T61*V61)</x:f>
        <x:v>250</x:v>
      </x:c>
      <x:c r="Y61" s="373" t="str">
        <x:v>Core: one 30-second work interval per round; rest excluded.</x:v>
      </x:c>
    </x:row>
    <x:row r="62" ht="15" hidden="0" customHeight="1">
      <x:c r="A62" s="327" t="n">
        <x:f>Daily!A19</x:f>
        <x:v>46349.5</x:v>
      </x:c>
      <x:c r="B62" s="322" t="str">
        <x:f>Daily!D19</x:f>
        <x:v>Skill A + interval circuit</x:v>
      </x:c>
      <x:c r="C62" s="322" t="str">
        <x:v>C · Counterweight pistol</x:v>
      </x:c>
      <x:c r="D62" s="322" t="str">
        <x:v>reps/leg</x:v>
      </x:c>
      <x:c r="E62" s="324" t="b">
        <x:v>1</x:v>
      </x:c>
      <x:c r="F62" s="330" t="n">
        <x:v>12</x:v>
      </x:c>
      <x:c r="G62" s="331" t="str">
        <x:f>IF(AND(OR(Daily!T19=TRUE,Daily!AB19=TRUE),COUNT(Daily!U19,Daily!V19,Daily!W19)&gt;0),SUM(Daily!U19,Daily!V19,Daily!W19),"")</x:f>
      </x:c>
      <x:c r="H62" s="331" t="n">
        <x:f>IF(AND(E62=TRUE,ISNUMBER(F62),F62&gt;0),100,"")</x:f>
        <x:v>100</x:v>
      </x:c>
      <x:c r="I62" s="331" t="str">
        <x:f>IF(AND(ISNUMBER(H62),ISNUMBER(G62)),IF(J62="lower",IF(G62&gt;0,100*F62/G62,""),100*G62/F62),"")</x:f>
      </x:c>
      <x:c r="J62" s="325" t="str">
        <x:v>higher</x:v>
      </x:c>
      <x:c r="N62" s="364" t="n">
        <x:f>Daily!A14</x:f>
        <x:v>46340.5</x:v>
      </x:c>
      <x:c r="O62" s="361" t="str">
        <x:f>Daily!D14</x:f>
        <x:v>Skill micro-session</x:v>
      </x:c>
      <x:c r="P62" s="372" t="str">
        <x:v>Wrist/shoulder mobility</x:v>
      </x:c>
      <x:c r="Q62" s="362" t="str">
        <x:v>seconds</x:v>
      </x:c>
      <x:c r="R62" s="367" t="n">
        <x:v>1</x:v>
      </x:c>
      <x:c r="S62" s="367" t="n">
        <x:v>120</x:v>
      </x:c>
      <x:c r="T62" s="368" t="n">
        <x:f>IF(OR(COUNTIFS(Strategy!$B$36:$B$90,P62)&lt;&gt;1,COUNTIFS(Strategy!$B$36:$B$90,P62,Strategy!$C$36:$C$90,"&lt;&gt;")&lt;&gt;1),"",INDEX(Strategy!$C$36:$C$90,MATCH(P62,Strategy!$B$36:$B$90,0)))</x:f>
        <x:v>1</x:v>
      </x:c>
      <x:c r="U62" s="368" t="n">
        <x:f>IF(OR(COUNT(R62:S62)&lt;&gt;2,R62&lt;0,R62&lt;&gt;INT(R62),S62&lt;=0),"",R62*S62)</x:f>
        <x:v>120</x:v>
      </x:c>
      <x:c r="V62" s="389" t="n">
        <x:f>IF(OR(NOT(ISNUMBER(U62)),NOT(ISNUMBER($O$1)),$O$1&lt;=0),"",IF(Q62="seconds",U62/$O$1,IF(Q62="reps/leg",2*U62,IF(Q62="reps",U62,""))))</x:f>
        <x:v>40</x:v>
      </x:c>
      <x:c r="W62" s="361" t="str">
        <x:f>IF(OR(COUNTIFS(Strategy!$B$36:$B$90,P62)&lt;&gt;1,COUNTIFS(Strategy!$B$36:$B$90,P62,Strategy!$D$36:$D$90,"&lt;&gt;")&lt;&gt;1),"",INDEX(Strategy!$D$36:$D$90,MATCH(P62,Strategy!$B$36:$B$90,0)))</x:f>
        <x:v>seconds</x:v>
      </x:c>
      <x:c r="X62" s="370" t="n">
        <x:f>IF(OR(COUNT(T62:V62)&lt;&gt;3,Q62&lt;&gt;W62,T62&lt;0,T62&gt;10),"",T62*V62)</x:f>
        <x:v>40</x:v>
      </x:c>
      <x:c r="Y62" s="374" t="str"/>
    </x:row>
    <x:row r="63" ht="15" hidden="0" customHeight="1">
      <x:c r="A63" s="326" t="n">
        <x:f>Daily!A19</x:f>
        <x:v>46349.5</x:v>
      </x:c>
      <x:c r="B63" s="318" t="str">
        <x:f>Daily!D19</x:f>
        <x:v>Skill A + interval circuit</x:v>
      </x:c>
      <x:c r="C63" s="318" t="str">
        <x:v>Core</x:v>
      </x:c>
      <x:c r="D63" s="318" t="str">
        <x:v>rounds</x:v>
      </x:c>
      <x:c r="E63" s="320" t="b">
        <x:v>1</x:v>
      </x:c>
      <x:c r="F63" s="328" t="n">
        <x:v>5</x:v>
      </x:c>
      <x:c r="G63" s="329" t="str">
        <x:f>IF(AND(OR(Daily!Z19=TRUE,Daily!AB19=TRUE),COUNT(Daily!AA19)&gt;0),SUM(Daily!AA19),"")</x:f>
      </x:c>
      <x:c r="H63" s="329" t="n">
        <x:f>IF(AND(E63=TRUE,ISNUMBER(F63),F63&gt;0),100,"")</x:f>
        <x:v>100</x:v>
      </x:c>
      <x:c r="I63" s="329" t="str">
        <x:f>IF(AND(ISNUMBER(H63),ISNUMBER(G63)),IF(J63="lower",IF(G63&gt;0,100*F63/G63,""),100*G63/F63),"")</x:f>
      </x:c>
      <x:c r="J63" s="321" t="str">
        <x:v>higher</x:v>
      </x:c>
      <x:c r="N63" s="363" t="n">
        <x:f>Daily!A14</x:f>
        <x:v>46340.5</x:v>
      </x:c>
      <x:c r="O63" s="359" t="str">
        <x:f>Daily!D14</x:f>
        <x:v>Skill micro-session</x:v>
      </x:c>
      <x:c r="P63" s="371" t="str">
        <x:v>Easy chest-to-wall hold</x:v>
      </x:c>
      <x:c r="Q63" s="360" t="str">
        <x:v>seconds</x:v>
      </x:c>
      <x:c r="R63" s="365" t="n">
        <x:v>3</x:v>
      </x:c>
      <x:c r="S63" s="365" t="n">
        <x:v>15</x:v>
      </x:c>
      <x:c r="T63" s="366" t="n">
        <x:f>IF(OR(COUNTIFS(Strategy!$B$36:$B$90,P63)&lt;&gt;1,COUNTIFS(Strategy!$B$36:$B$90,P63,Strategy!$C$36:$C$90,"&lt;&gt;")&lt;&gt;1),"",INDEX(Strategy!$C$36:$C$90,MATCH(P63,Strategy!$B$36:$B$90,0)))</x:f>
        <x:v>1</x:v>
      </x:c>
      <x:c r="U63" s="366" t="n">
        <x:f>IF(OR(COUNT(R63:S63)&lt;&gt;2,R63&lt;0,R63&lt;&gt;INT(R63),S63&lt;=0),"",R63*S63)</x:f>
        <x:v>45</x:v>
      </x:c>
      <x:c r="V63" s="388" t="n">
        <x:f>IF(OR(NOT(ISNUMBER(U63)),NOT(ISNUMBER($O$1)),$O$1&lt;=0),"",IF(Q63="seconds",U63/$O$1,IF(Q63="reps/leg",2*U63,IF(Q63="reps",U63,""))))</x:f>
        <x:v>15</x:v>
      </x:c>
      <x:c r="W63" s="359" t="str">
        <x:f>IF(OR(COUNTIFS(Strategy!$B$36:$B$90,P63)&lt;&gt;1,COUNTIFS(Strategy!$B$36:$B$90,P63,Strategy!$D$36:$D$90,"&lt;&gt;")&lt;&gt;1),"",INDEX(Strategy!$D$36:$D$90,MATCH(P63,Strategy!$B$36:$B$90,0)))</x:f>
        <x:v>seconds</x:v>
      </x:c>
      <x:c r="X63" s="369" t="n">
        <x:f>IF(OR(COUNT(T63:V63)&lt;&gt;3,Q63&lt;&gt;W63,T63&lt;0,T63&gt;10),"",T63*V63)</x:f>
        <x:v>15</x:v>
      </x:c>
      <x:c r="Y63" s="373" t="str"/>
    </x:row>
    <x:row r="64" ht="15" hidden="0" customHeight="1">
      <x:c r="A64" s="327" t="n">
        <x:f>Daily!A20</x:f>
        <x:v>46350.5</x:v>
      </x:c>
      <x:c r="B64" s="322" t="str">
        <x:f>Daily!D20</x:f>
        <x:v>Handstand technique</x:v>
      </x:c>
      <x:c r="C64" s="322" t="str">
        <x:v>A · Wrist/shoulder mobility</x:v>
      </x:c>
      <x:c r="D64" s="322" t="str">
        <x:v>seconds</x:v>
      </x:c>
      <x:c r="E64" s="324" t="b">
        <x:v>1</x:v>
      </x:c>
      <x:c r="F64" s="330" t="n">
        <x:v>120</x:v>
      </x:c>
      <x:c r="G64" s="331" t="str">
        <x:f>IF(AND(OR(Daily!H20=TRUE,Daily!AB20=TRUE),COUNT(Daily!I20)&gt;0),SUM(Daily!I20)*86400,"")</x:f>
      </x:c>
      <x:c r="H64" s="331" t="n">
        <x:f>IF(AND(E64=TRUE,ISNUMBER(F64),F64&gt;0),100,"")</x:f>
        <x:v>100</x:v>
      </x:c>
      <x:c r="I64" s="331" t="str">
        <x:f>IF(AND(ISNUMBER(H64),ISNUMBER(G64)),IF(J64="lower",IF(G64&gt;0,100*F64/G64,""),100*G64/F64),"")</x:f>
      </x:c>
      <x:c r="J64" s="325" t="str">
        <x:v>higher</x:v>
      </x:c>
      <x:c r="N64" s="364" t="n">
        <x:f>Daily!A14</x:f>
        <x:v>46340.5</x:v>
      </x:c>
      <x:c r="O64" s="361" t="str">
        <x:f>Daily!D14</x:f>
        <x:v>Skill micro-session</x:v>
      </x:c>
      <x:c r="P64" s="372" t="str">
        <x:v>Wall handstand line drill</x:v>
      </x:c>
      <x:c r="Q64" s="362" t="str">
        <x:v>seconds</x:v>
      </x:c>
      <x:c r="R64" s="367" t="n">
        <x:v>3</x:v>
      </x:c>
      <x:c r="S64" s="367" t="n">
        <x:v>15</x:v>
      </x:c>
      <x:c r="T64" s="368" t="n">
        <x:f>IF(OR(COUNTIFS(Strategy!$B$36:$B$90,P64)&lt;&gt;1,COUNTIFS(Strategy!$B$36:$B$90,P64,Strategy!$C$36:$C$90,"&lt;&gt;")&lt;&gt;1),"",INDEX(Strategy!$C$36:$C$90,MATCH(P64,Strategy!$B$36:$B$90,0)))</x:f>
        <x:v>1</x:v>
      </x:c>
      <x:c r="U64" s="368" t="n">
        <x:f>IF(OR(COUNT(R64:S64)&lt;&gt;2,R64&lt;0,R64&lt;&gt;INT(R64),S64&lt;=0),"",R64*S64)</x:f>
        <x:v>45</x:v>
      </x:c>
      <x:c r="V64" s="389" t="n">
        <x:f>IF(OR(NOT(ISNUMBER(U64)),NOT(ISNUMBER($O$1)),$O$1&lt;=0),"",IF(Q64="seconds",U64/$O$1,IF(Q64="reps/leg",2*U64,IF(Q64="reps",U64,""))))</x:f>
        <x:v>15</x:v>
      </x:c>
      <x:c r="W64" s="361" t="str">
        <x:f>IF(OR(COUNTIFS(Strategy!$B$36:$B$90,P64)&lt;&gt;1,COUNTIFS(Strategy!$B$36:$B$90,P64,Strategy!$D$36:$D$90,"&lt;&gt;")&lt;&gt;1),"",INDEX(Strategy!$D$36:$D$90,MATCH(P64,Strategy!$B$36:$B$90,0)))</x:f>
        <x:v>seconds</x:v>
      </x:c>
      <x:c r="X64" s="370" t="n">
        <x:f>IF(OR(COUNT(T64:V64)&lt;&gt;3,Q64&lt;&gt;W64,T64&lt;0,T64&gt;10),"",T64*V64)</x:f>
        <x:v>15</x:v>
      </x:c>
      <x:c r="Y64" s="374" t="str"/>
    </x:row>
    <x:row r="65" ht="15" hidden="0" customHeight="1">
      <x:c r="A65" s="326" t="n">
        <x:f>Daily!A20</x:f>
        <x:v>46350.5</x:v>
      </x:c>
      <x:c r="B65" s="318" t="str">
        <x:f>Daily!D20</x:f>
        <x:v>Handstand technique</x:v>
      </x:c>
      <x:c r="C65" s="318" t="str">
        <x:v>B · Easy chest-to-wall hold</x:v>
      </x:c>
      <x:c r="D65" s="318" t="str">
        <x:v>seconds</x:v>
      </x:c>
      <x:c r="E65" s="320" t="b">
        <x:v>1</x:v>
      </x:c>
      <x:c r="F65" s="328" t="n">
        <x:v>45</x:v>
      </x:c>
      <x:c r="G65" s="329" t="str">
        <x:f>IF(AND(OR(Daily!N20=TRUE,Daily!AB20=TRUE),COUNT(Daily!O20,Daily!P20,Daily!Q20)&gt;0),SUM(Daily!O20,Daily!P20,Daily!Q20)*86400,"")</x:f>
      </x:c>
      <x:c r="H65" s="329" t="n">
        <x:f>IF(AND(E65=TRUE,ISNUMBER(F65),F65&gt;0),100,"")</x:f>
        <x:v>100</x:v>
      </x:c>
      <x:c r="I65" s="329" t="str">
        <x:f>IF(AND(ISNUMBER(H65),ISNUMBER(G65)),IF(J65="lower",IF(G65&gt;0,100*F65/G65,""),100*G65/F65),"")</x:f>
      </x:c>
      <x:c r="J65" s="321" t="str">
        <x:v>higher</x:v>
      </x:c>
      <x:c r="N65" s="363" t="n">
        <x:f>Daily!A15</x:f>
        <x:v>46342.5</x:v>
      </x:c>
      <x:c r="O65" s="359" t="str">
        <x:f>Daily!D15</x:f>
        <x:v>Skill A + interval circuit</x:v>
      </x:c>
      <x:c r="P65" s="371" t="str">
        <x:v>Easy scapular pull-up</x:v>
      </x:c>
      <x:c r="Q65" s="360" t="str">
        <x:v>reps</x:v>
      </x:c>
      <x:c r="R65" s="365" t="n">
        <x:v>1</x:v>
      </x:c>
      <x:c r="S65" s="365" t="n">
        <x:v>5</x:v>
      </x:c>
      <x:c r="T65" s="366" t="n">
        <x:f>IF(OR(COUNTIFS(Strategy!$B$36:$B$90,P65)&lt;&gt;1,COUNTIFS(Strategy!$B$36:$B$90,P65,Strategy!$C$36:$C$90,"&lt;&gt;")&lt;&gt;1),"",INDEX(Strategy!$C$36:$C$90,MATCH(P65,Strategy!$B$36:$B$90,0)))</x:f>
        <x:v>1</x:v>
      </x:c>
      <x:c r="U65" s="366" t="n">
        <x:f>IF(OR(COUNT(R65:S65)&lt;&gt;2,R65&lt;0,R65&lt;&gt;INT(R65),S65&lt;=0),"",R65*S65)</x:f>
        <x:v>5</x:v>
      </x:c>
      <x:c r="V65" s="388" t="n">
        <x:f>IF(OR(NOT(ISNUMBER(U65)),NOT(ISNUMBER($O$1)),$O$1&lt;=0),"",IF(Q65="seconds",U65/$O$1,IF(Q65="reps/leg",2*U65,IF(Q65="reps",U65,""))))</x:f>
        <x:v>5</x:v>
      </x:c>
      <x:c r="W65" s="359" t="str">
        <x:f>IF(OR(COUNTIFS(Strategy!$B$36:$B$90,P65)&lt;&gt;1,COUNTIFS(Strategy!$B$36:$B$90,P65,Strategy!$D$36:$D$90,"&lt;&gt;")&lt;&gt;1),"",INDEX(Strategy!$D$36:$D$90,MATCH(P65,Strategy!$B$36:$B$90,0)))</x:f>
        <x:v>reps</x:v>
      </x:c>
      <x:c r="X65" s="369" t="n">
        <x:f>IF(OR(COUNT(T65:V65)&lt;&gt;3,Q65&lt;&gt;W65,T65&lt;0,T65&gt;10),"",T65*V65)</x:f>
        <x:v>5</x:v>
      </x:c>
      <x:c r="Y65" s="373" t="str"/>
    </x:row>
    <x:row r="66" ht="15" hidden="0" customHeight="1">
      <x:c r="A66" s="327" t="n">
        <x:f>Daily!A20</x:f>
        <x:v>46350.5</x:v>
      </x:c>
      <x:c r="B66" s="322" t="str">
        <x:f>Daily!D20</x:f>
        <x:v>Handstand technique</x:v>
      </x:c>
      <x:c r="C66" s="322" t="str">
        <x:v>C · Wall handstand line drill</x:v>
      </x:c>
      <x:c r="D66" s="322" t="str">
        <x:v>seconds</x:v>
      </x:c>
      <x:c r="E66" s="324" t="b">
        <x:v>1</x:v>
      </x:c>
      <x:c r="F66" s="330" t="n">
        <x:v>30</x:v>
      </x:c>
      <x:c r="G66" s="331" t="str">
        <x:f>IF(AND(OR(Daily!T20=TRUE,Daily!AB20=TRUE),COUNT(Daily!U20,Daily!V20)&gt;0),SUM(Daily!U20,Daily!V20)*86400,"")</x:f>
      </x:c>
      <x:c r="H66" s="331" t="n">
        <x:f>IF(AND(E66=TRUE,ISNUMBER(F66),F66&gt;0),100,"")</x:f>
        <x:v>100</x:v>
      </x:c>
      <x:c r="I66" s="331" t="str">
        <x:f>IF(AND(ISNUMBER(H66),ISNUMBER(G66)),IF(J66="lower",IF(G66&gt;0,100*F66/G66,""),100*G66/F66),"")</x:f>
      </x:c>
      <x:c r="J66" s="325" t="str">
        <x:v>higher</x:v>
      </x:c>
      <x:c r="N66" s="364" t="n">
        <x:f>Daily!A15</x:f>
        <x:v>46342.5</x:v>
      </x:c>
      <x:c r="O66" s="361" t="str">
        <x:f>Daily!D15</x:f>
        <x:v>Skill A + interval circuit</x:v>
      </x:c>
      <x:c r="P66" s="372" t="str">
        <x:v>Easy low-bar transition</x:v>
      </x:c>
      <x:c r="Q66" s="362" t="str">
        <x:v>reps</x:v>
      </x:c>
      <x:c r="R66" s="367" t="n">
        <x:v>1</x:v>
      </x:c>
      <x:c r="S66" s="367" t="n">
        <x:v>3</x:v>
      </x:c>
      <x:c r="T66" s="368" t="n">
        <x:f>IF(OR(COUNTIFS(Strategy!$B$36:$B$90,P66)&lt;&gt;1,COUNTIFS(Strategy!$B$36:$B$90,P66,Strategy!$C$36:$C$90,"&lt;&gt;")&lt;&gt;1),"",INDEX(Strategy!$C$36:$C$90,MATCH(P66,Strategy!$B$36:$B$90,0)))</x:f>
        <x:v>1</x:v>
      </x:c>
      <x:c r="U66" s="368" t="n">
        <x:f>IF(OR(COUNT(R66:S66)&lt;&gt;2,R66&lt;0,R66&lt;&gt;INT(R66),S66&lt;=0),"",R66*S66)</x:f>
        <x:v>3</x:v>
      </x:c>
      <x:c r="V66" s="389" t="n">
        <x:f>IF(OR(NOT(ISNUMBER(U66)),NOT(ISNUMBER($O$1)),$O$1&lt;=0),"",IF(Q66="seconds",U66/$O$1,IF(Q66="reps/leg",2*U66,IF(Q66="reps",U66,""))))</x:f>
        <x:v>3</x:v>
      </x:c>
      <x:c r="W66" s="361" t="str">
        <x:f>IF(OR(COUNTIFS(Strategy!$B$36:$B$90,P66)&lt;&gt;1,COUNTIFS(Strategy!$B$36:$B$90,P66,Strategy!$D$36:$D$90,"&lt;&gt;")&lt;&gt;1),"",INDEX(Strategy!$D$36:$D$90,MATCH(P66,Strategy!$B$36:$B$90,0)))</x:f>
        <x:v>reps</x:v>
      </x:c>
      <x:c r="X66" s="370" t="n">
        <x:f>IF(OR(COUNT(T66:V66)&lt;&gt;3,Q66&lt;&gt;W66,T66&lt;0,T66&gt;10),"",T66*V66)</x:f>
        <x:v>3</x:v>
      </x:c>
      <x:c r="Y66" s="374" t="str"/>
    </x:row>
    <x:row r="67" ht="15" hidden="0" customHeight="1">
      <x:c r="A67" s="326" t="n">
        <x:f>Daily!A21</x:f>
        <x:v>46352.5</x:v>
      </x:c>
      <x:c r="B67" s="318" t="str">
        <x:f>Daily!D21</x:f>
        <x:v>Skill B + circuit</x:v>
      </x:c>
      <x:c r="C67" s="318" t="str">
        <x:v>A · Deficit pike push-up</x:v>
      </x:c>
      <x:c r="D67" s="318" t="str">
        <x:v>reps</x:v>
      </x:c>
      <x:c r="E67" s="320" t="b">
        <x:v>1</x:v>
      </x:c>
      <x:c r="F67" s="328" t="n">
        <x:v>12</x:v>
      </x:c>
      <x:c r="G67" s="329" t="str">
        <x:f>IF(AND(OR(Daily!H21=TRUE,Daily!AB21=TRUE),COUNT(Daily!I21,Daily!J21,Daily!K21)&gt;0),SUM(Daily!I21,Daily!J21,Daily!K21),"")</x:f>
      </x:c>
      <x:c r="H67" s="329" t="n">
        <x:f>IF(AND(E67=TRUE,ISNUMBER(F67),F67&gt;0),100,"")</x:f>
        <x:v>100</x:v>
      </x:c>
      <x:c r="I67" s="329" t="str">
        <x:f>IF(AND(ISNUMBER(H67),ISNUMBER(G67)),IF(J67="lower",IF(G67&gt;0,100*F67/G67,""),100*G67/F67),"")</x:f>
      </x:c>
      <x:c r="J67" s="321" t="str">
        <x:v>higher</x:v>
      </x:c>
      <x:c r="N67" s="363" t="n">
        <x:f>Daily!A15</x:f>
        <x:v>46342.5</x:v>
      </x:c>
      <x:c r="O67" s="359" t="str">
        <x:f>Daily!D15</x:f>
        <x:v>Skill A + interval circuit</x:v>
      </x:c>
      <x:c r="P67" s="371" t="str">
        <x:v>Assisted pistol</x:v>
      </x:c>
      <x:c r="Q67" s="360" t="str">
        <x:v>reps/leg</x:v>
      </x:c>
      <x:c r="R67" s="365" t="n">
        <x:v>1</x:v>
      </x:c>
      <x:c r="S67" s="365" t="n">
        <x:v>3</x:v>
      </x:c>
      <x:c r="T67" s="366" t="n">
        <x:f>IF(OR(COUNTIFS(Strategy!$B$36:$B$90,P67)&lt;&gt;1,COUNTIFS(Strategy!$B$36:$B$90,P67,Strategy!$C$36:$C$90,"&lt;&gt;")&lt;&gt;1),"",INDEX(Strategy!$C$36:$C$90,MATCH(P67,Strategy!$B$36:$B$90,0)))</x:f>
        <x:v>2</x:v>
      </x:c>
      <x:c r="U67" s="366" t="n">
        <x:f>IF(OR(COUNT(R67:S67)&lt;&gt;2,R67&lt;0,R67&lt;&gt;INT(R67),S67&lt;=0),"",R67*S67)</x:f>
        <x:v>3</x:v>
      </x:c>
      <x:c r="V67" s="388" t="n">
        <x:f>IF(OR(NOT(ISNUMBER(U67)),NOT(ISNUMBER($O$1)),$O$1&lt;=0),"",IF(Q67="seconds",U67/$O$1,IF(Q67="reps/leg",2*U67,IF(Q67="reps",U67,""))))</x:f>
        <x:v>6</x:v>
      </x:c>
      <x:c r="W67" s="359" t="str">
        <x:f>IF(OR(COUNTIFS(Strategy!$B$36:$B$90,P67)&lt;&gt;1,COUNTIFS(Strategy!$B$36:$B$90,P67,Strategy!$D$36:$D$90,"&lt;&gt;")&lt;&gt;1),"",INDEX(Strategy!$D$36:$D$90,MATCH(P67,Strategy!$B$36:$B$90,0)))</x:f>
        <x:v>reps/leg</x:v>
      </x:c>
      <x:c r="X67" s="369" t="n">
        <x:f>IF(OR(COUNT(T67:V67)&lt;&gt;3,Q67&lt;&gt;W67,T67&lt;0,T67&gt;10),"",T67*V67)</x:f>
        <x:v>12</x:v>
      </x:c>
      <x:c r="Y67" s="373" t="str"/>
    </x:row>
    <x:row r="68" ht="15" hidden="0" customHeight="1">
      <x:c r="A68" s="327" t="n">
        <x:f>Daily!A21</x:f>
        <x:v>46352.5</x:v>
      </x:c>
      <x:c r="B68" s="322" t="str">
        <x:f>Daily!D21</x:f>
        <x:v>Skill B + circuit</x:v>
      </x:c>
      <x:c r="C68" s="322" t="str">
        <x:v>C · Counterweight pistol</x:v>
      </x:c>
      <x:c r="D68" s="322" t="str">
        <x:v>reps/leg</x:v>
      </x:c>
      <x:c r="E68" s="324" t="b">
        <x:v>1</x:v>
      </x:c>
      <x:c r="F68" s="330" t="n">
        <x:v>12</x:v>
      </x:c>
      <x:c r="G68" s="331" t="str">
        <x:f>IF(AND(OR(Daily!T21=TRUE,Daily!AB21=TRUE),COUNT(Daily!U21,Daily!V21,Daily!W21)&gt;0),SUM(Daily!U21,Daily!V21,Daily!W21),"")</x:f>
      </x:c>
      <x:c r="H68" s="331" t="n">
        <x:f>IF(AND(E68=TRUE,ISNUMBER(F68),F68&gt;0),100,"")</x:f>
        <x:v>100</x:v>
      </x:c>
      <x:c r="I68" s="331" t="str">
        <x:f>IF(AND(ISNUMBER(H68),ISNUMBER(G68)),IF(J68="lower",IF(G68&gt;0,100*F68/G68,""),100*G68/F68),"")</x:f>
      </x:c>
      <x:c r="J68" s="325" t="str">
        <x:v>higher</x:v>
      </x:c>
      <x:c r="N68" s="364" t="n">
        <x:f>Daily!A15</x:f>
        <x:v>46342.5</x:v>
      </x:c>
      <x:c r="O68" s="361" t="str">
        <x:f>Daily!D15</x:f>
        <x:v>Skill A + interval circuit</x:v>
      </x:c>
      <x:c r="P68" s="372" t="str">
        <x:v>Pull-up</x:v>
      </x:c>
      <x:c r="Q68" s="362" t="str">
        <x:v>seconds</x:v>
      </x:c>
      <x:c r="R68" s="367" t="n">
        <x:v>3</x:v>
      </x:c>
      <x:c r="S68" s="367" t="n">
        <x:v>30</x:v>
      </x:c>
      <x:c r="T68" s="368" t="n">
        <x:f>IF(OR(COUNTIFS(Strategy!$B$36:$B$90,P68)&lt;&gt;1,COUNTIFS(Strategy!$B$36:$B$90,P68,Strategy!$C$36:$C$90,"&lt;&gt;")&lt;&gt;1),"",INDEX(Strategy!$C$36:$C$90,MATCH(P68,Strategy!$B$36:$B$90,0)))</x:f>
        <x:v>6</x:v>
      </x:c>
      <x:c r="U68" s="368" t="n">
        <x:f>IF(OR(COUNT(R68:S68)&lt;&gt;2,R68&lt;0,R68&lt;&gt;INT(R68),S68&lt;=0),"",R68*S68)</x:f>
        <x:v>90</x:v>
      </x:c>
      <x:c r="V68" s="389" t="n">
        <x:f>IF(OR(NOT(ISNUMBER(U68)),NOT(ISNUMBER($O$1)),$O$1&lt;=0),"",IF(Q68="seconds",U68/$O$1,IF(Q68="reps/leg",2*U68,IF(Q68="reps",U68,""))))</x:f>
        <x:v>30</x:v>
      </x:c>
      <x:c r="W68" s="361" t="str">
        <x:f>IF(OR(COUNTIFS(Strategy!$B$36:$B$90,P68)&lt;&gt;1,COUNTIFS(Strategy!$B$36:$B$90,P68,Strategy!$D$36:$D$90,"&lt;&gt;")&lt;&gt;1),"",INDEX(Strategy!$D$36:$D$90,MATCH(P68,Strategy!$B$36:$B$90,0)))</x:f>
        <x:v>seconds</x:v>
      </x:c>
      <x:c r="X68" s="370" t="n">
        <x:f>IF(OR(COUNT(T68:V68)&lt;&gt;3,Q68&lt;&gt;W68,T68&lt;0,T68&gt;10),"",T68*V68)</x:f>
        <x:v>180</x:v>
      </x:c>
      <x:c r="Y68" s="374" t="str">
        <x:v>Core: one 30-second work interval per round; rest excluded.</x:v>
      </x:c>
    </x:row>
    <x:row r="69" ht="15" hidden="0" customHeight="1">
      <x:c r="A69" s="326" t="n">
        <x:f>Daily!A21</x:f>
        <x:v>46352.5</x:v>
      </x:c>
      <x:c r="B69" s="318" t="str">
        <x:f>Daily!D21</x:f>
        <x:v>Skill B + circuit</x:v>
      </x:c>
      <x:c r="C69" s="318" t="str">
        <x:v>Core</x:v>
      </x:c>
      <x:c r="D69" s="318" t="str">
        <x:v>rounds</x:v>
      </x:c>
      <x:c r="E69" s="320" t="b">
        <x:v>1</x:v>
      </x:c>
      <x:c r="F69" s="328" t="n">
        <x:v>5</x:v>
      </x:c>
      <x:c r="G69" s="329" t="str">
        <x:f>IF(AND(OR(Daily!Z21=TRUE,Daily!AB21=TRUE),COUNT(Daily!AA21)&gt;0),SUM(Daily!AA21),"")</x:f>
      </x:c>
      <x:c r="H69" s="329" t="n">
        <x:f>IF(AND(E69=TRUE,ISNUMBER(F69),F69&gt;0),100,"")</x:f>
        <x:v>100</x:v>
      </x:c>
      <x:c r="I69" s="329" t="str">
        <x:f>IF(AND(ISNUMBER(H69),ISNUMBER(G69)),IF(J69="lower",IF(G69&gt;0,100*F69/G69,""),100*G69/F69),"")</x:f>
      </x:c>
      <x:c r="J69" s="321" t="str">
        <x:v>higher</x:v>
      </x:c>
      <x:c r="N69" s="363" t="n">
        <x:f>Daily!A15</x:f>
        <x:v>46342.5</x:v>
      </x:c>
      <x:c r="O69" s="359" t="str">
        <x:f>Daily!D15</x:f>
        <x:v>Skill A + interval circuit</x:v>
      </x:c>
      <x:c r="P69" s="371" t="str">
        <x:v>Push-up</x:v>
      </x:c>
      <x:c r="Q69" s="360" t="str">
        <x:v>seconds</x:v>
      </x:c>
      <x:c r="R69" s="365" t="n">
        <x:v>3</x:v>
      </x:c>
      <x:c r="S69" s="365" t="n">
        <x:v>30</x:v>
      </x:c>
      <x:c r="T69" s="366" t="n">
        <x:f>IF(OR(COUNTIFS(Strategy!$B$36:$B$90,P69)&lt;&gt;1,COUNTIFS(Strategy!$B$36:$B$90,P69,Strategy!$C$36:$C$90,"&lt;&gt;")&lt;&gt;1),"",INDEX(Strategy!$C$36:$C$90,MATCH(P69,Strategy!$B$36:$B$90,0)))</x:f>
        <x:v>4</x:v>
      </x:c>
      <x:c r="U69" s="366" t="n">
        <x:f>IF(OR(COUNT(R69:S69)&lt;&gt;2,R69&lt;0,R69&lt;&gt;INT(R69),S69&lt;=0),"",R69*S69)</x:f>
        <x:v>90</x:v>
      </x:c>
      <x:c r="V69" s="388" t="n">
        <x:f>IF(OR(NOT(ISNUMBER(U69)),NOT(ISNUMBER($O$1)),$O$1&lt;=0),"",IF(Q69="seconds",U69/$O$1,IF(Q69="reps/leg",2*U69,IF(Q69="reps",U69,""))))</x:f>
        <x:v>30</x:v>
      </x:c>
      <x:c r="W69" s="359" t="str">
        <x:f>IF(OR(COUNTIFS(Strategy!$B$36:$B$90,P69)&lt;&gt;1,COUNTIFS(Strategy!$B$36:$B$90,P69,Strategy!$D$36:$D$90,"&lt;&gt;")&lt;&gt;1),"",INDEX(Strategy!$D$36:$D$90,MATCH(P69,Strategy!$B$36:$B$90,0)))</x:f>
        <x:v>seconds</x:v>
      </x:c>
      <x:c r="X69" s="369" t="n">
        <x:f>IF(OR(COUNT(T69:V69)&lt;&gt;3,Q69&lt;&gt;W69,T69&lt;0,T69&gt;10),"",T69*V69)</x:f>
        <x:v>120</x:v>
      </x:c>
      <x:c r="Y69" s="373" t="str">
        <x:v>Core: one 30-second work interval per round; rest excluded.</x:v>
      </x:c>
    </x:row>
    <x:row r="70" ht="15" hidden="0" customHeight="1">
      <x:c r="A70" s="327" t="n">
        <x:f>Daily!A22</x:f>
        <x:v>46354.5</x:v>
      </x:c>
      <x:c r="B70" s="322" t="str">
        <x:f>Daily!D22</x:f>
        <x:v>Skill micro-session</x:v>
      </x:c>
      <x:c r="C70" s="322" t="str">
        <x:v>A · Wrist/shoulder mobility</x:v>
      </x:c>
      <x:c r="D70" s="322" t="str">
        <x:v>seconds</x:v>
      </x:c>
      <x:c r="E70" s="324" t="b">
        <x:v>1</x:v>
      </x:c>
      <x:c r="F70" s="330" t="n">
        <x:v>120</x:v>
      </x:c>
      <x:c r="G70" s="331" t="str">
        <x:f>IF(AND(OR(Daily!H22=TRUE,Daily!AB22=TRUE),COUNT(Daily!I22)&gt;0),SUM(Daily!I22)*86400,"")</x:f>
      </x:c>
      <x:c r="H70" s="331" t="n">
        <x:f>IF(AND(E70=TRUE,ISNUMBER(F70),F70&gt;0),100,"")</x:f>
        <x:v>100</x:v>
      </x:c>
      <x:c r="I70" s="331" t="str">
        <x:f>IF(AND(ISNUMBER(H70),ISNUMBER(G70)),IF(J70="lower",IF(G70&gt;0,100*F70/G70,""),100*G70/F70),"")</x:f>
      </x:c>
      <x:c r="J70" s="325" t="str">
        <x:v>higher</x:v>
      </x:c>
      <x:c r="N70" s="364" t="n">
        <x:f>Daily!A15</x:f>
        <x:v>46342.5</x:v>
      </x:c>
      <x:c r="O70" s="361" t="str">
        <x:f>Daily!D15</x:f>
        <x:v>Skill A + interval circuit</x:v>
      </x:c>
      <x:c r="P70" s="372" t="str">
        <x:v>Weighted squat</x:v>
      </x:c>
      <x:c r="Q70" s="362" t="str">
        <x:v>seconds</x:v>
      </x:c>
      <x:c r="R70" s="367" t="n">
        <x:v>3</x:v>
      </x:c>
      <x:c r="S70" s="367" t="n">
        <x:v>30</x:v>
      </x:c>
      <x:c r="T70" s="368" t="n">
        <x:f>IF(OR(COUNTIFS(Strategy!$B$36:$B$90,P70)&lt;&gt;1,COUNTIFS(Strategy!$B$36:$B$90,P70,Strategy!$C$36:$C$90,"&lt;&gt;")&lt;&gt;1),"",INDEX(Strategy!$C$36:$C$90,MATCH(P70,Strategy!$B$36:$B$90,0)))</x:f>
        <x:v>5</x:v>
      </x:c>
      <x:c r="U70" s="368" t="n">
        <x:f>IF(OR(COUNT(R70:S70)&lt;&gt;2,R70&lt;0,R70&lt;&gt;INT(R70),S70&lt;=0),"",R70*S70)</x:f>
        <x:v>90</x:v>
      </x:c>
      <x:c r="V70" s="389" t="n">
        <x:f>IF(OR(NOT(ISNUMBER(U70)),NOT(ISNUMBER($O$1)),$O$1&lt;=0),"",IF(Q70="seconds",U70/$O$1,IF(Q70="reps/leg",2*U70,IF(Q70="reps",U70,""))))</x:f>
        <x:v>30</x:v>
      </x:c>
      <x:c r="W70" s="361" t="str">
        <x:f>IF(OR(COUNTIFS(Strategy!$B$36:$B$90,P70)&lt;&gt;1,COUNTIFS(Strategy!$B$36:$B$90,P70,Strategy!$D$36:$D$90,"&lt;&gt;")&lt;&gt;1),"",INDEX(Strategy!$D$36:$D$90,MATCH(P70,Strategy!$B$36:$B$90,0)))</x:f>
        <x:v>seconds</x:v>
      </x:c>
      <x:c r="X70" s="370" t="n">
        <x:f>IF(OR(COUNT(T70:V70)&lt;&gt;3,Q70&lt;&gt;W70,T70&lt;0,T70&gt;10),"",T70*V70)</x:f>
        <x:v>150</x:v>
      </x:c>
      <x:c r="Y70" s="374" t="str">
        <x:v>Core: one 30-second work interval per round; rest excluded.</x:v>
      </x:c>
    </x:row>
    <x:row r="71" ht="15" hidden="0" customHeight="1">
      <x:c r="A71" s="326" t="n">
        <x:f>Daily!A22</x:f>
        <x:v>46354.5</x:v>
      </x:c>
      <x:c r="B71" s="318" t="str">
        <x:f>Daily!D22</x:f>
        <x:v>Skill micro-session</x:v>
      </x:c>
      <x:c r="C71" s="318" t="str">
        <x:v>B · Easy chest-to-wall hold</x:v>
      </x:c>
      <x:c r="D71" s="318" t="str">
        <x:v>seconds</x:v>
      </x:c>
      <x:c r="E71" s="320" t="b">
        <x:v>1</x:v>
      </x:c>
      <x:c r="F71" s="328" t="n">
        <x:v>45</x:v>
      </x:c>
      <x:c r="G71" s="329" t="str">
        <x:f>IF(AND(OR(Daily!N22=TRUE,Daily!AB22=TRUE),COUNT(Daily!O22,Daily!P22,Daily!Q22)&gt;0),SUM(Daily!O22,Daily!P22,Daily!Q22)*86400,"")</x:f>
      </x:c>
      <x:c r="H71" s="329" t="n">
        <x:f>IF(AND(E71=TRUE,ISNUMBER(F71),F71&gt;0),100,"")</x:f>
        <x:v>100</x:v>
      </x:c>
      <x:c r="I71" s="329" t="str">
        <x:f>IF(AND(ISNUMBER(H71),ISNUMBER(G71)),IF(J71="lower",IF(G71&gt;0,100*F71/G71,""),100*G71/F71),"")</x:f>
      </x:c>
      <x:c r="J71" s="321" t="str">
        <x:v>higher</x:v>
      </x:c>
      <x:c r="N71" s="363" t="n">
        <x:f>Daily!A15</x:f>
        <x:v>46342.5</x:v>
      </x:c>
      <x:c r="O71" s="359" t="str">
        <x:f>Daily!D15</x:f>
        <x:v>Skill A + interval circuit</x:v>
      </x:c>
      <x:c r="P71" s="371" t="str">
        <x:v>Upside-down hanging shoulder/ab work</x:v>
      </x:c>
      <x:c r="Q71" s="360" t="str">
        <x:v>seconds</x:v>
      </x:c>
      <x:c r="R71" s="365" t="n">
        <x:v>3</x:v>
      </x:c>
      <x:c r="S71" s="365" t="n">
        <x:v>30</x:v>
      </x:c>
      <x:c r="T71" s="366" t="n">
        <x:f>IF(OR(COUNTIFS(Strategy!$B$36:$B$90,P71)&lt;&gt;1,COUNTIFS(Strategy!$B$36:$B$90,P71,Strategy!$C$36:$C$90,"&lt;&gt;")&lt;&gt;1),"",INDEX(Strategy!$C$36:$C$90,MATCH(P71,Strategy!$B$36:$B$90,0)))</x:f>
        <x:v>5</x:v>
      </x:c>
      <x:c r="U71" s="366" t="n">
        <x:f>IF(OR(COUNT(R71:S71)&lt;&gt;2,R71&lt;0,R71&lt;&gt;INT(R71),S71&lt;=0),"",R71*S71)</x:f>
        <x:v>90</x:v>
      </x:c>
      <x:c r="V71" s="388" t="n">
        <x:f>IF(OR(NOT(ISNUMBER(U71)),NOT(ISNUMBER($O$1)),$O$1&lt;=0),"",IF(Q71="seconds",U71/$O$1,IF(Q71="reps/leg",2*U71,IF(Q71="reps",U71,""))))</x:f>
        <x:v>30</x:v>
      </x:c>
      <x:c r="W71" s="359" t="str">
        <x:f>IF(OR(COUNTIFS(Strategy!$B$36:$B$90,P71)&lt;&gt;1,COUNTIFS(Strategy!$B$36:$B$90,P71,Strategy!$D$36:$D$90,"&lt;&gt;")&lt;&gt;1),"",INDEX(Strategy!$D$36:$D$90,MATCH(P71,Strategy!$B$36:$B$90,0)))</x:f>
        <x:v>seconds</x:v>
      </x:c>
      <x:c r="X71" s="369" t="n">
        <x:f>IF(OR(COUNT(T71:V71)&lt;&gt;3,Q71&lt;&gt;W71,T71&lt;0,T71&gt;10),"",T71*V71)</x:f>
        <x:v>150</x:v>
      </x:c>
      <x:c r="Y71" s="373" t="str">
        <x:v>Core: one 30-second work interval per round; rest excluded.</x:v>
      </x:c>
    </x:row>
    <x:row r="72" ht="15" hidden="0" customHeight="1">
      <x:c r="A72" s="327" t="n">
        <x:f>Daily!A22</x:f>
        <x:v>46354.5</x:v>
      </x:c>
      <x:c r="B72" s="322" t="str">
        <x:f>Daily!D22</x:f>
        <x:v>Skill micro-session</x:v>
      </x:c>
      <x:c r="C72" s="322" t="str">
        <x:v>C · Wall handstand line drill</x:v>
      </x:c>
      <x:c r="D72" s="322" t="str">
        <x:v>seconds</x:v>
      </x:c>
      <x:c r="E72" s="324" t="b">
        <x:v>1</x:v>
      </x:c>
      <x:c r="F72" s="330" t="n">
        <x:v>45</x:v>
      </x:c>
      <x:c r="G72" s="331" t="str">
        <x:f>IF(AND(OR(Daily!T22=TRUE,Daily!AB22=TRUE),COUNT(Daily!U22,Daily!V22,Daily!W22)&gt;0),SUM(Daily!U22,Daily!V22,Daily!W22)*86400,"")</x:f>
      </x:c>
      <x:c r="H72" s="331" t="n">
        <x:f>IF(AND(E72=TRUE,ISNUMBER(F72),F72&gt;0),100,"")</x:f>
        <x:v>100</x:v>
      </x:c>
      <x:c r="I72" s="331" t="str">
        <x:f>IF(AND(ISNUMBER(H72),ISNUMBER(G72)),IF(J72="lower",IF(G72&gt;0,100*F72/G72,""),100*G72/F72),"")</x:f>
      </x:c>
      <x:c r="J72" s="325" t="str">
        <x:v>higher</x:v>
      </x:c>
      <x:c r="N72" s="364" t="n">
        <x:f>Daily!A16</x:f>
        <x:v>46343.5</x:v>
      </x:c>
      <x:c r="O72" s="361" t="str">
        <x:f>Daily!D16</x:f>
        <x:v>Handstand technique</x:v>
      </x:c>
      <x:c r="P72" s="372" t="str">
        <x:v>Wrist/shoulder mobility</x:v>
      </x:c>
      <x:c r="Q72" s="362" t="str">
        <x:v>seconds</x:v>
      </x:c>
      <x:c r="R72" s="367" t="n">
        <x:v>1</x:v>
      </x:c>
      <x:c r="S72" s="367" t="n">
        <x:v>60</x:v>
      </x:c>
      <x:c r="T72" s="368" t="n">
        <x:f>IF(OR(COUNTIFS(Strategy!$B$36:$B$90,P72)&lt;&gt;1,COUNTIFS(Strategy!$B$36:$B$90,P72,Strategy!$C$36:$C$90,"&lt;&gt;")&lt;&gt;1),"",INDEX(Strategy!$C$36:$C$90,MATCH(P72,Strategy!$B$36:$B$90,0)))</x:f>
        <x:v>1</x:v>
      </x:c>
      <x:c r="U72" s="368" t="n">
        <x:f>IF(OR(COUNT(R72:S72)&lt;&gt;2,R72&lt;0,R72&lt;&gt;INT(R72),S72&lt;=0),"",R72*S72)</x:f>
        <x:v>60</x:v>
      </x:c>
      <x:c r="V72" s="389" t="n">
        <x:f>IF(OR(NOT(ISNUMBER(U72)),NOT(ISNUMBER($O$1)),$O$1&lt;=0),"",IF(Q72="seconds",U72/$O$1,IF(Q72="reps/leg",2*U72,IF(Q72="reps",U72,""))))</x:f>
        <x:v>20</x:v>
      </x:c>
      <x:c r="W72" s="361" t="str">
        <x:f>IF(OR(COUNTIFS(Strategy!$B$36:$B$90,P72)&lt;&gt;1,COUNTIFS(Strategy!$B$36:$B$90,P72,Strategy!$D$36:$D$90,"&lt;&gt;")&lt;&gt;1),"",INDEX(Strategy!$D$36:$D$90,MATCH(P72,Strategy!$B$36:$B$90,0)))</x:f>
        <x:v>seconds</x:v>
      </x:c>
      <x:c r="X72" s="370" t="n">
        <x:f>IF(OR(COUNT(T72:V72)&lt;&gt;3,Q72&lt;&gt;W72,T72&lt;0,T72&gt;10),"",T72*V72)</x:f>
        <x:v>20</x:v>
      </x:c>
      <x:c r="Y72" s="374" t="str"/>
    </x:row>
    <x:row r="73" ht="15" hidden="0" customHeight="1">
      <x:c r="A73" s="326" t="n">
        <x:f>Daily!A23</x:f>
        <x:v>46356.5</x:v>
      </x:c>
      <x:c r="B73" s="318" t="str">
        <x:f>Daily!D23</x:f>
        <x:v>Skill A + interval circuit</x:v>
      </x:c>
      <x:c r="C73" s="318" t="str">
        <x:v>A · Jumping muscle-up</x:v>
      </x:c>
      <x:c r="D73" s="318" t="str">
        <x:v>reps</x:v>
      </x:c>
      <x:c r="E73" s="320" t="b">
        <x:v>1</x:v>
      </x:c>
      <x:c r="F73" s="328" t="n">
        <x:v>9</x:v>
      </x:c>
      <x:c r="G73" s="329" t="str">
        <x:f>IF(AND(OR(Daily!H23=TRUE,Daily!AB23=TRUE),COUNT(Daily!I23,Daily!J23,Daily!K23)&gt;0),SUM(Daily!I23,Daily!J23,Daily!K23),"")</x:f>
      </x:c>
      <x:c r="H73" s="329" t="n">
        <x:f>IF(AND(E73=TRUE,ISNUMBER(F73),F73&gt;0),100,"")</x:f>
        <x:v>100</x:v>
      </x:c>
      <x:c r="I73" s="329" t="str">
        <x:f>IF(AND(ISNUMBER(H73),ISNUMBER(G73)),IF(J73="lower",IF(G73&gt;0,100*F73/G73,""),100*G73/F73),"")</x:f>
      </x:c>
      <x:c r="J73" s="321" t="str">
        <x:v>higher</x:v>
      </x:c>
      <x:c r="N73" s="363" t="n">
        <x:f>Daily!A16</x:f>
        <x:v>46343.5</x:v>
      </x:c>
      <x:c r="O73" s="359" t="str">
        <x:f>Daily!D16</x:f>
        <x:v>Handstand technique</x:v>
      </x:c>
      <x:c r="P73" s="371" t="str">
        <x:v>Easy chest-to-wall hold</x:v>
      </x:c>
      <x:c r="Q73" s="360" t="str">
        <x:v>seconds</x:v>
      </x:c>
      <x:c r="R73" s="365" t="n">
        <x:v>2</x:v>
      </x:c>
      <x:c r="S73" s="365" t="n">
        <x:v>10</x:v>
      </x:c>
      <x:c r="T73" s="366" t="n">
        <x:f>IF(OR(COUNTIFS(Strategy!$B$36:$B$90,P73)&lt;&gt;1,COUNTIFS(Strategy!$B$36:$B$90,P73,Strategy!$C$36:$C$90,"&lt;&gt;")&lt;&gt;1),"",INDEX(Strategy!$C$36:$C$90,MATCH(P73,Strategy!$B$36:$B$90,0)))</x:f>
        <x:v>1</x:v>
      </x:c>
      <x:c r="U73" s="366" t="n">
        <x:f>IF(OR(COUNT(R73:S73)&lt;&gt;2,R73&lt;0,R73&lt;&gt;INT(R73),S73&lt;=0),"",R73*S73)</x:f>
        <x:v>20</x:v>
      </x:c>
      <x:c r="V73" s="388" t="n">
        <x:f>IF(OR(NOT(ISNUMBER(U73)),NOT(ISNUMBER($O$1)),$O$1&lt;=0),"",IF(Q73="seconds",U73/$O$1,IF(Q73="reps/leg",2*U73,IF(Q73="reps",U73,""))))</x:f>
        <x:v>6.666666666666667</x:v>
      </x:c>
      <x:c r="W73" s="359" t="str">
        <x:f>IF(OR(COUNTIFS(Strategy!$B$36:$B$90,P73)&lt;&gt;1,COUNTIFS(Strategy!$B$36:$B$90,P73,Strategy!$D$36:$D$90,"&lt;&gt;")&lt;&gt;1),"",INDEX(Strategy!$D$36:$D$90,MATCH(P73,Strategy!$B$36:$B$90,0)))</x:f>
        <x:v>seconds</x:v>
      </x:c>
      <x:c r="X73" s="369" t="n">
        <x:f>IF(OR(COUNT(T73:V73)&lt;&gt;3,Q73&lt;&gt;W73,T73&lt;0,T73&gt;10),"",T73*V73)</x:f>
        <x:v>6.666666666666667</x:v>
      </x:c>
      <x:c r="Y73" s="373" t="str"/>
    </x:row>
    <x:row r="74" ht="15" hidden="0" customHeight="1">
      <x:c r="A74" s="327" t="n">
        <x:f>Daily!A23</x:f>
        <x:v>46356.5</x:v>
      </x:c>
      <x:c r="B74" s="322" t="str">
        <x:f>Daily!D23</x:f>
        <x:v>Skill A + interval circuit</x:v>
      </x:c>
      <x:c r="C74" s="322" t="str">
        <x:v>B · Low-bar slow transition</x:v>
      </x:c>
      <x:c r="D74" s="322" t="str">
        <x:v>reps</x:v>
      </x:c>
      <x:c r="E74" s="324" t="b">
        <x:v>1</x:v>
      </x:c>
      <x:c r="F74" s="330" t="n">
        <x:v>9</x:v>
      </x:c>
      <x:c r="G74" s="331" t="str">
        <x:f>IF(AND(OR(Daily!N23=TRUE,Daily!AB23=TRUE),COUNT(Daily!O23,Daily!P23,Daily!Q23)&gt;0),SUM(Daily!O23,Daily!P23,Daily!Q23),"")</x:f>
      </x:c>
      <x:c r="H74" s="331" t="n">
        <x:f>IF(AND(E74=TRUE,ISNUMBER(F74),F74&gt;0),100,"")</x:f>
        <x:v>100</x:v>
      </x:c>
      <x:c r="I74" s="331" t="str">
        <x:f>IF(AND(ISNUMBER(H74),ISNUMBER(G74)),IF(J74="lower",IF(G74&gt;0,100*F74/G74,""),100*G74/F74),"")</x:f>
      </x:c>
      <x:c r="J74" s="325" t="str">
        <x:v>higher</x:v>
      </x:c>
      <x:c r="N74" s="364" t="n">
        <x:f>Daily!A16</x:f>
        <x:v>46343.5</x:v>
      </x:c>
      <x:c r="O74" s="361" t="str">
        <x:f>Daily!D16</x:f>
        <x:v>Handstand technique</x:v>
      </x:c>
      <x:c r="P74" s="372" t="str">
        <x:v>Wall handstand line drill</x:v>
      </x:c>
      <x:c r="Q74" s="362" t="str">
        <x:v>seconds</x:v>
      </x:c>
      <x:c r="R74" s="367" t="n">
        <x:v>1</x:v>
      </x:c>
      <x:c r="S74" s="367" t="n">
        <x:v>10</x:v>
      </x:c>
      <x:c r="T74" s="368" t="n">
        <x:f>IF(OR(COUNTIFS(Strategy!$B$36:$B$90,P74)&lt;&gt;1,COUNTIFS(Strategy!$B$36:$B$90,P74,Strategy!$C$36:$C$90,"&lt;&gt;")&lt;&gt;1),"",INDEX(Strategy!$C$36:$C$90,MATCH(P74,Strategy!$B$36:$B$90,0)))</x:f>
        <x:v>1</x:v>
      </x:c>
      <x:c r="U74" s="368" t="n">
        <x:f>IF(OR(COUNT(R74:S74)&lt;&gt;2,R74&lt;0,R74&lt;&gt;INT(R74),S74&lt;=0),"",R74*S74)</x:f>
        <x:v>10</x:v>
      </x:c>
      <x:c r="V74" s="389" t="n">
        <x:f>IF(OR(NOT(ISNUMBER(U74)),NOT(ISNUMBER($O$1)),$O$1&lt;=0),"",IF(Q74="seconds",U74/$O$1,IF(Q74="reps/leg",2*U74,IF(Q74="reps",U74,""))))</x:f>
        <x:v>3.3333333333333335</x:v>
      </x:c>
      <x:c r="W74" s="361" t="str">
        <x:f>IF(OR(COUNTIFS(Strategy!$B$36:$B$90,P74)&lt;&gt;1,COUNTIFS(Strategy!$B$36:$B$90,P74,Strategy!$D$36:$D$90,"&lt;&gt;")&lt;&gt;1),"",INDEX(Strategy!$D$36:$D$90,MATCH(P74,Strategy!$B$36:$B$90,0)))</x:f>
        <x:v>seconds</x:v>
      </x:c>
      <x:c r="X74" s="370" t="n">
        <x:f>IF(OR(COUNT(T74:V74)&lt;&gt;3,Q74&lt;&gt;W74,T74&lt;0,T74&gt;10),"",T74*V74)</x:f>
        <x:v>3.3333333333333335</x:v>
      </x:c>
      <x:c r="Y74" s="374" t="str"/>
    </x:row>
    <x:row r="75" ht="15" hidden="0" customHeight="1">
      <x:c r="A75" s="326" t="n">
        <x:f>Daily!A23</x:f>
        <x:v>46356.5</x:v>
      </x:c>
      <x:c r="B75" s="318" t="str">
        <x:f>Daily!D23</x:f>
        <x:v>Skill A + interval circuit</x:v>
      </x:c>
      <x:c r="C75" s="318" t="str">
        <x:v>C · Light-counterweight pistol</x:v>
      </x:c>
      <x:c r="D75" s="318" t="str">
        <x:v>reps/leg</x:v>
      </x:c>
      <x:c r="E75" s="320" t="b">
        <x:v>1</x:v>
      </x:c>
      <x:c r="F75" s="328" t="n">
        <x:v>12</x:v>
      </x:c>
      <x:c r="G75" s="329" t="str">
        <x:f>IF(AND(OR(Daily!T23=TRUE,Daily!AB23=TRUE),COUNT(Daily!U23,Daily!V23,Daily!W23)&gt;0),SUM(Daily!U23,Daily!V23,Daily!W23),"")</x:f>
      </x:c>
      <x:c r="H75" s="329" t="n">
        <x:f>IF(AND(E75=TRUE,ISNUMBER(F75),F75&gt;0),100,"")</x:f>
        <x:v>100</x:v>
      </x:c>
      <x:c r="I75" s="329" t="str">
        <x:f>IF(AND(ISNUMBER(H75),ISNUMBER(G75)),IF(J75="lower",IF(G75&gt;0,100*F75/G75,""),100*G75/F75),"")</x:f>
      </x:c>
      <x:c r="J75" s="321" t="str">
        <x:v>higher</x:v>
      </x:c>
      <x:c r="N75" s="363" t="n">
        <x:f>Daily!A17</x:f>
        <x:v>46345.5</x:v>
      </x:c>
      <x:c r="O75" s="359" t="str">
        <x:f>Daily!D17</x:f>
        <x:v>Skill B + interval circuit</x:v>
      </x:c>
      <x:c r="P75" s="371" t="str">
        <x:v>Easy wall handstand</x:v>
      </x:c>
      <x:c r="Q75" s="360" t="str">
        <x:v>seconds</x:v>
      </x:c>
      <x:c r="R75" s="365" t="n">
        <x:v>1</x:v>
      </x:c>
      <x:c r="S75" s="365" t="n">
        <x:v>15</x:v>
      </x:c>
      <x:c r="T75" s="366" t="n">
        <x:f>IF(OR(COUNTIFS(Strategy!$B$36:$B$90,P75)&lt;&gt;1,COUNTIFS(Strategy!$B$36:$B$90,P75,Strategy!$C$36:$C$90,"&lt;&gt;")&lt;&gt;1),"",INDEX(Strategy!$C$36:$C$90,MATCH(P75,Strategy!$B$36:$B$90,0)))</x:f>
        <x:v>1</x:v>
      </x:c>
      <x:c r="U75" s="366" t="n">
        <x:f>IF(OR(COUNT(R75:S75)&lt;&gt;2,R75&lt;0,R75&lt;&gt;INT(R75),S75&lt;=0),"",R75*S75)</x:f>
        <x:v>15</x:v>
      </x:c>
      <x:c r="V75" s="388" t="n">
        <x:f>IF(OR(NOT(ISNUMBER(U75)),NOT(ISNUMBER($O$1)),$O$1&lt;=0),"",IF(Q75="seconds",U75/$O$1,IF(Q75="reps/leg",2*U75,IF(Q75="reps",U75,""))))</x:f>
        <x:v>5</x:v>
      </x:c>
      <x:c r="W75" s="359" t="str">
        <x:f>IF(OR(COUNTIFS(Strategy!$B$36:$B$90,P75)&lt;&gt;1,COUNTIFS(Strategy!$B$36:$B$90,P75,Strategy!$D$36:$D$90,"&lt;&gt;")&lt;&gt;1),"",INDEX(Strategy!$D$36:$D$90,MATCH(P75,Strategy!$B$36:$B$90,0)))</x:f>
        <x:v>seconds</x:v>
      </x:c>
      <x:c r="X75" s="369" t="n">
        <x:f>IF(OR(COUNT(T75:V75)&lt;&gt;3,Q75&lt;&gt;W75,T75&lt;0,T75&gt;10),"",T75*V75)</x:f>
        <x:v>5</x:v>
      </x:c>
      <x:c r="Y75" s="373" t="str"/>
    </x:row>
    <x:row r="76" ht="15" hidden="0" customHeight="1">
      <x:c r="A76" s="327" t="n">
        <x:f>Daily!A23</x:f>
        <x:v>46356.5</x:v>
      </x:c>
      <x:c r="B76" s="322" t="str">
        <x:f>Daily!D23</x:f>
        <x:v>Skill A + interval circuit</x:v>
      </x:c>
      <x:c r="C76" s="322" t="str">
        <x:v>Core</x:v>
      </x:c>
      <x:c r="D76" s="322" t="str">
        <x:v>rounds</x:v>
      </x:c>
      <x:c r="E76" s="324" t="b">
        <x:v>1</x:v>
      </x:c>
      <x:c r="F76" s="330" t="n">
        <x:v>5</x:v>
      </x:c>
      <x:c r="G76" s="331" t="str">
        <x:f>IF(AND(OR(Daily!Z23=TRUE,Daily!AB23=TRUE),COUNT(Daily!AA23)&gt;0),SUM(Daily!AA23),"")</x:f>
      </x:c>
      <x:c r="H76" s="331" t="n">
        <x:f>IF(AND(E76=TRUE,ISNUMBER(F76),F76&gt;0),100,"")</x:f>
        <x:v>100</x:v>
      </x:c>
      <x:c r="I76" s="331" t="str">
        <x:f>IF(AND(ISNUMBER(H76),ISNUMBER(G76)),IF(J76="lower",IF(G76&gt;0,100*F76/G76,""),100*G76/F76),"")</x:f>
      </x:c>
      <x:c r="J76" s="325" t="str">
        <x:v>higher</x:v>
      </x:c>
      <x:c r="N76" s="364" t="n">
        <x:f>Daily!A17</x:f>
        <x:v>46345.5</x:v>
      </x:c>
      <x:c r="O76" s="361" t="str">
        <x:f>Daily!D17</x:f>
        <x:v>Skill B + interval circuit</x:v>
      </x:c>
      <x:c r="P76" s="372" t="str">
        <x:v>Gentle wrist/shoulder mobility</x:v>
      </x:c>
      <x:c r="Q76" s="362" t="str">
        <x:v>seconds</x:v>
      </x:c>
      <x:c r="R76" s="367" t="n">
        <x:v>1</x:v>
      </x:c>
      <x:c r="S76" s="367" t="n">
        <x:v>120</x:v>
      </x:c>
      <x:c r="T76" s="368" t="n">
        <x:f>IF(OR(COUNTIFS(Strategy!$B$36:$B$90,P76)&lt;&gt;1,COUNTIFS(Strategy!$B$36:$B$90,P76,Strategy!$C$36:$C$90,"&lt;&gt;")&lt;&gt;1),"",INDEX(Strategy!$C$36:$C$90,MATCH(P76,Strategy!$B$36:$B$90,0)))</x:f>
        <x:v>1</x:v>
      </x:c>
      <x:c r="U76" s="368" t="n">
        <x:f>IF(OR(COUNT(R76:S76)&lt;&gt;2,R76&lt;0,R76&lt;&gt;INT(R76),S76&lt;=0),"",R76*S76)</x:f>
        <x:v>120</x:v>
      </x:c>
      <x:c r="V76" s="389" t="n">
        <x:f>IF(OR(NOT(ISNUMBER(U76)),NOT(ISNUMBER($O$1)),$O$1&lt;=0),"",IF(Q76="seconds",U76/$O$1,IF(Q76="reps/leg",2*U76,IF(Q76="reps",U76,""))))</x:f>
        <x:v>40</x:v>
      </x:c>
      <x:c r="W76" s="361" t="str">
        <x:f>IF(OR(COUNTIFS(Strategy!$B$36:$B$90,P76)&lt;&gt;1,COUNTIFS(Strategy!$B$36:$B$90,P76,Strategy!$D$36:$D$90,"&lt;&gt;")&lt;&gt;1),"",INDEX(Strategy!$D$36:$D$90,MATCH(P76,Strategy!$B$36:$B$90,0)))</x:f>
        <x:v>seconds</x:v>
      </x:c>
      <x:c r="X76" s="370" t="n">
        <x:f>IF(OR(COUNT(T76:V76)&lt;&gt;3,Q76&lt;&gt;W76,T76&lt;0,T76&gt;10),"",T76*V76)</x:f>
        <x:v>40</x:v>
      </x:c>
      <x:c r="Y76" s="374" t="str"/>
    </x:row>
    <x:row r="77" ht="15" hidden="0" customHeight="1">
      <x:c r="A77" s="326" t="n">
        <x:f>Daily!A24</x:f>
        <x:v>46357.5</x:v>
      </x:c>
      <x:c r="B77" s="318" t="str">
        <x:f>Daily!D24</x:f>
        <x:v>Handstand technique</x:v>
      </x:c>
      <x:c r="C77" s="318" t="str">
        <x:v>A · Wrist/shoulder mobility</x:v>
      </x:c>
      <x:c r="D77" s="318" t="str">
        <x:v>seconds</x:v>
      </x:c>
      <x:c r="E77" s="320" t="b">
        <x:v>1</x:v>
      </x:c>
      <x:c r="F77" s="328" t="n">
        <x:v>120</x:v>
      </x:c>
      <x:c r="G77" s="329" t="str">
        <x:f>IF(AND(OR(Daily!H24=TRUE,Daily!AB24=TRUE),COUNT(Daily!I24)&gt;0),SUM(Daily!I24)*86400,"")</x:f>
      </x:c>
      <x:c r="H77" s="329" t="n">
        <x:f>IF(AND(E77=TRUE,ISNUMBER(F77),F77&gt;0),100,"")</x:f>
        <x:v>100</x:v>
      </x:c>
      <x:c r="I77" s="329" t="str">
        <x:f>IF(AND(ISNUMBER(H77),ISNUMBER(G77)),IF(J77="lower",IF(G77&gt;0,100*F77/G77,""),100*G77/F77),"")</x:f>
      </x:c>
      <x:c r="J77" s="321" t="str">
        <x:v>higher</x:v>
      </x:c>
      <x:c r="N77" s="363" t="n">
        <x:f>Daily!A17</x:f>
        <x:v>46345.5</x:v>
      </x:c>
      <x:c r="O77" s="359" t="str">
        <x:f>Daily!D17</x:f>
        <x:v>Skill B + interval circuit</x:v>
      </x:c>
      <x:c r="P77" s="371" t="str">
        <x:v>Assisted pistol</x:v>
      </x:c>
      <x:c r="Q77" s="360" t="str">
        <x:v>reps/leg</x:v>
      </x:c>
      <x:c r="R77" s="365" t="n">
        <x:v>1</x:v>
      </x:c>
      <x:c r="S77" s="365" t="n">
        <x:v>3</x:v>
      </x:c>
      <x:c r="T77" s="366" t="n">
        <x:f>IF(OR(COUNTIFS(Strategy!$B$36:$B$90,P77)&lt;&gt;1,COUNTIFS(Strategy!$B$36:$B$90,P77,Strategy!$C$36:$C$90,"&lt;&gt;")&lt;&gt;1),"",INDEX(Strategy!$C$36:$C$90,MATCH(P77,Strategy!$B$36:$B$90,0)))</x:f>
        <x:v>2</x:v>
      </x:c>
      <x:c r="U77" s="366" t="n">
        <x:f>IF(OR(COUNT(R77:S77)&lt;&gt;2,R77&lt;0,R77&lt;&gt;INT(R77),S77&lt;=0),"",R77*S77)</x:f>
        <x:v>3</x:v>
      </x:c>
      <x:c r="V77" s="388" t="n">
        <x:f>IF(OR(NOT(ISNUMBER(U77)),NOT(ISNUMBER($O$1)),$O$1&lt;=0),"",IF(Q77="seconds",U77/$O$1,IF(Q77="reps/leg",2*U77,IF(Q77="reps",U77,""))))</x:f>
        <x:v>6</x:v>
      </x:c>
      <x:c r="W77" s="359" t="str">
        <x:f>IF(OR(COUNTIFS(Strategy!$B$36:$B$90,P77)&lt;&gt;1,COUNTIFS(Strategy!$B$36:$B$90,P77,Strategy!$D$36:$D$90,"&lt;&gt;")&lt;&gt;1),"",INDEX(Strategy!$D$36:$D$90,MATCH(P77,Strategy!$B$36:$B$90,0)))</x:f>
        <x:v>reps/leg</x:v>
      </x:c>
      <x:c r="X77" s="369" t="n">
        <x:f>IF(OR(COUNT(T77:V77)&lt;&gt;3,Q77&lt;&gt;W77,T77&lt;0,T77&gt;10),"",T77*V77)</x:f>
        <x:v>12</x:v>
      </x:c>
      <x:c r="Y77" s="373" t="str"/>
    </x:row>
    <x:row r="78" ht="15" hidden="0" customHeight="1">
      <x:c r="A78" s="327" t="n">
        <x:f>Daily!A24</x:f>
        <x:v>46357.5</x:v>
      </x:c>
      <x:c r="B78" s="322" t="str">
        <x:f>Daily!D24</x:f>
        <x:v>Handstand technique</x:v>
      </x:c>
      <x:c r="C78" s="322" t="str">
        <x:v>B · Easy chest-to-wall hold</x:v>
      </x:c>
      <x:c r="D78" s="322" t="str">
        <x:v>seconds</x:v>
      </x:c>
      <x:c r="E78" s="324" t="b">
        <x:v>1</x:v>
      </x:c>
      <x:c r="F78" s="330" t="n">
        <x:v>45</x:v>
      </x:c>
      <x:c r="G78" s="331" t="str">
        <x:f>IF(AND(OR(Daily!N24=TRUE,Daily!AB24=TRUE),COUNT(Daily!O24,Daily!P24,Daily!Q24)&gt;0),SUM(Daily!O24,Daily!P24,Daily!Q24)*86400,"")</x:f>
      </x:c>
      <x:c r="H78" s="331" t="n">
        <x:f>IF(AND(E78=TRUE,ISNUMBER(F78),F78&gt;0),100,"")</x:f>
        <x:v>100</x:v>
      </x:c>
      <x:c r="I78" s="331" t="str">
        <x:f>IF(AND(ISNUMBER(H78),ISNUMBER(G78)),IF(J78="lower",IF(G78&gt;0,100*F78/G78,""),100*G78/F78),"")</x:f>
      </x:c>
      <x:c r="J78" s="325" t="str">
        <x:v>higher</x:v>
      </x:c>
      <x:c r="N78" s="364" t="n">
        <x:f>Daily!A17</x:f>
        <x:v>46345.5</x:v>
      </x:c>
      <x:c r="O78" s="361" t="str">
        <x:f>Daily!D17</x:f>
        <x:v>Skill B + interval circuit</x:v>
      </x:c>
      <x:c r="P78" s="372" t="str">
        <x:v>Pull-up</x:v>
      </x:c>
      <x:c r="Q78" s="362" t="str">
        <x:v>seconds</x:v>
      </x:c>
      <x:c r="R78" s="367" t="n">
        <x:v>3</x:v>
      </x:c>
      <x:c r="S78" s="367" t="n">
        <x:v>30</x:v>
      </x:c>
      <x:c r="T78" s="368" t="n">
        <x:f>IF(OR(COUNTIFS(Strategy!$B$36:$B$90,P78)&lt;&gt;1,COUNTIFS(Strategy!$B$36:$B$90,P78,Strategy!$C$36:$C$90,"&lt;&gt;")&lt;&gt;1),"",INDEX(Strategy!$C$36:$C$90,MATCH(P78,Strategy!$B$36:$B$90,0)))</x:f>
        <x:v>6</x:v>
      </x:c>
      <x:c r="U78" s="368" t="n">
        <x:f>IF(OR(COUNT(R78:S78)&lt;&gt;2,R78&lt;0,R78&lt;&gt;INT(R78),S78&lt;=0),"",R78*S78)</x:f>
        <x:v>90</x:v>
      </x:c>
      <x:c r="V78" s="389" t="n">
        <x:f>IF(OR(NOT(ISNUMBER(U78)),NOT(ISNUMBER($O$1)),$O$1&lt;=0),"",IF(Q78="seconds",U78/$O$1,IF(Q78="reps/leg",2*U78,IF(Q78="reps",U78,""))))</x:f>
        <x:v>30</x:v>
      </x:c>
      <x:c r="W78" s="361" t="str">
        <x:f>IF(OR(COUNTIFS(Strategy!$B$36:$B$90,P78)&lt;&gt;1,COUNTIFS(Strategy!$B$36:$B$90,P78,Strategy!$D$36:$D$90,"&lt;&gt;")&lt;&gt;1),"",INDEX(Strategy!$D$36:$D$90,MATCH(P78,Strategy!$B$36:$B$90,0)))</x:f>
        <x:v>seconds</x:v>
      </x:c>
      <x:c r="X78" s="370" t="n">
        <x:f>IF(OR(COUNT(T78:V78)&lt;&gt;3,Q78&lt;&gt;W78,T78&lt;0,T78&gt;10),"",T78*V78)</x:f>
        <x:v>180</x:v>
      </x:c>
      <x:c r="Y78" s="374" t="str">
        <x:v>Core: one 30-second work interval per round; rest excluded.</x:v>
      </x:c>
    </x:row>
    <x:row r="79" ht="15" hidden="0" customHeight="1">
      <x:c r="A79" s="326" t="n">
        <x:f>Daily!A24</x:f>
        <x:v>46357.5</x:v>
      </x:c>
      <x:c r="B79" s="318" t="str">
        <x:f>Daily!D24</x:f>
        <x:v>Handstand technique</x:v>
      </x:c>
      <x:c r="C79" s="318" t="str">
        <x:v>C · Wall handstand line drill</x:v>
      </x:c>
      <x:c r="D79" s="318" t="str">
        <x:v>seconds</x:v>
      </x:c>
      <x:c r="E79" s="320" t="b">
        <x:v>1</x:v>
      </x:c>
      <x:c r="F79" s="328" t="n">
        <x:v>30</x:v>
      </x:c>
      <x:c r="G79" s="329" t="str">
        <x:f>IF(AND(OR(Daily!T24=TRUE,Daily!AB24=TRUE),COUNT(Daily!U24,Daily!V24)&gt;0),SUM(Daily!U24,Daily!V24)*86400,"")</x:f>
      </x:c>
      <x:c r="H79" s="329" t="n">
        <x:f>IF(AND(E79=TRUE,ISNUMBER(F79),F79&gt;0),100,"")</x:f>
        <x:v>100</x:v>
      </x:c>
      <x:c r="I79" s="329" t="str">
        <x:f>IF(AND(ISNUMBER(H79),ISNUMBER(G79)),IF(J79="lower",IF(G79&gt;0,100*F79/G79,""),100*G79/F79),"")</x:f>
      </x:c>
      <x:c r="J79" s="321" t="str">
        <x:v>higher</x:v>
      </x:c>
      <x:c r="N79" s="363" t="n">
        <x:f>Daily!A17</x:f>
        <x:v>46345.5</x:v>
      </x:c>
      <x:c r="O79" s="359" t="str">
        <x:f>Daily!D17</x:f>
        <x:v>Skill B + interval circuit</x:v>
      </x:c>
      <x:c r="P79" s="371" t="str">
        <x:v>Push-up</x:v>
      </x:c>
      <x:c r="Q79" s="360" t="str">
        <x:v>seconds</x:v>
      </x:c>
      <x:c r="R79" s="365" t="n">
        <x:v>3</x:v>
      </x:c>
      <x:c r="S79" s="365" t="n">
        <x:v>30</x:v>
      </x:c>
      <x:c r="T79" s="366" t="n">
        <x:f>IF(OR(COUNTIFS(Strategy!$B$36:$B$90,P79)&lt;&gt;1,COUNTIFS(Strategy!$B$36:$B$90,P79,Strategy!$C$36:$C$90,"&lt;&gt;")&lt;&gt;1),"",INDEX(Strategy!$C$36:$C$90,MATCH(P79,Strategy!$B$36:$B$90,0)))</x:f>
        <x:v>4</x:v>
      </x:c>
      <x:c r="U79" s="366" t="n">
        <x:f>IF(OR(COUNT(R79:S79)&lt;&gt;2,R79&lt;0,R79&lt;&gt;INT(R79),S79&lt;=0),"",R79*S79)</x:f>
        <x:v>90</x:v>
      </x:c>
      <x:c r="V79" s="388" t="n">
        <x:f>IF(OR(NOT(ISNUMBER(U79)),NOT(ISNUMBER($O$1)),$O$1&lt;=0),"",IF(Q79="seconds",U79/$O$1,IF(Q79="reps/leg",2*U79,IF(Q79="reps",U79,""))))</x:f>
        <x:v>30</x:v>
      </x:c>
      <x:c r="W79" s="359" t="str">
        <x:f>IF(OR(COUNTIFS(Strategy!$B$36:$B$90,P79)&lt;&gt;1,COUNTIFS(Strategy!$B$36:$B$90,P79,Strategy!$D$36:$D$90,"&lt;&gt;")&lt;&gt;1),"",INDEX(Strategy!$D$36:$D$90,MATCH(P79,Strategy!$B$36:$B$90,0)))</x:f>
        <x:v>seconds</x:v>
      </x:c>
      <x:c r="X79" s="369" t="n">
        <x:f>IF(OR(COUNT(T79:V79)&lt;&gt;3,Q79&lt;&gt;W79,T79&lt;0,T79&gt;10),"",T79*V79)</x:f>
        <x:v>120</x:v>
      </x:c>
      <x:c r="Y79" s="373" t="str">
        <x:v>Core: one 30-second work interval per round; rest excluded.</x:v>
      </x:c>
    </x:row>
    <x:row r="80" ht="15" hidden="0" customHeight="1">
      <x:c r="A80" s="327" t="n">
        <x:f>Daily!A25</x:f>
        <x:v>46359.5</x:v>
      </x:c>
      <x:c r="B80" s="322" t="str">
        <x:f>Daily!D25</x:f>
        <x:v>Skill B + circuit</x:v>
      </x:c>
      <x:c r="C80" s="322" t="str">
        <x:v>A · Partial wall HSPU</x:v>
      </x:c>
      <x:c r="D80" s="322" t="str">
        <x:v>reps</x:v>
      </x:c>
      <x:c r="E80" s="324" t="b">
        <x:v>1</x:v>
      </x:c>
      <x:c r="F80" s="330" t="n">
        <x:v>9</x:v>
      </x:c>
      <x:c r="G80" s="331" t="str">
        <x:f>IF(AND(OR(Daily!H25=TRUE,Daily!AB25=TRUE),COUNT(Daily!I25,Daily!J25,Daily!K25)&gt;0),SUM(Daily!I25,Daily!J25,Daily!K25),"")</x:f>
      </x:c>
      <x:c r="H80" s="331" t="n">
        <x:f>IF(AND(E80=TRUE,ISNUMBER(F80),F80&gt;0),100,"")</x:f>
        <x:v>100</x:v>
      </x:c>
      <x:c r="I80" s="331" t="str">
        <x:f>IF(AND(ISNUMBER(H80),ISNUMBER(G80)),IF(J80="lower",IF(G80&gt;0,100*F80/G80,""),100*G80/F80),"")</x:f>
      </x:c>
      <x:c r="J80" s="325" t="str">
        <x:v>higher</x:v>
      </x:c>
      <x:c r="N80" s="364" t="n">
        <x:f>Daily!A17</x:f>
        <x:v>46345.5</x:v>
      </x:c>
      <x:c r="O80" s="361" t="str">
        <x:f>Daily!D17</x:f>
        <x:v>Skill B + interval circuit</x:v>
      </x:c>
      <x:c r="P80" s="372" t="str">
        <x:v>Weighted squat</x:v>
      </x:c>
      <x:c r="Q80" s="362" t="str">
        <x:v>seconds</x:v>
      </x:c>
      <x:c r="R80" s="367" t="n">
        <x:v>3</x:v>
      </x:c>
      <x:c r="S80" s="367" t="n">
        <x:v>30</x:v>
      </x:c>
      <x:c r="T80" s="368" t="n">
        <x:f>IF(OR(COUNTIFS(Strategy!$B$36:$B$90,P80)&lt;&gt;1,COUNTIFS(Strategy!$B$36:$B$90,P80,Strategy!$C$36:$C$90,"&lt;&gt;")&lt;&gt;1),"",INDEX(Strategy!$C$36:$C$90,MATCH(P80,Strategy!$B$36:$B$90,0)))</x:f>
        <x:v>5</x:v>
      </x:c>
      <x:c r="U80" s="368" t="n">
        <x:f>IF(OR(COUNT(R80:S80)&lt;&gt;2,R80&lt;0,R80&lt;&gt;INT(R80),S80&lt;=0),"",R80*S80)</x:f>
        <x:v>90</x:v>
      </x:c>
      <x:c r="V80" s="389" t="n">
        <x:f>IF(OR(NOT(ISNUMBER(U80)),NOT(ISNUMBER($O$1)),$O$1&lt;=0),"",IF(Q80="seconds",U80/$O$1,IF(Q80="reps/leg",2*U80,IF(Q80="reps",U80,""))))</x:f>
        <x:v>30</x:v>
      </x:c>
      <x:c r="W80" s="361" t="str">
        <x:f>IF(OR(COUNTIFS(Strategy!$B$36:$B$90,P80)&lt;&gt;1,COUNTIFS(Strategy!$B$36:$B$90,P80,Strategy!$D$36:$D$90,"&lt;&gt;")&lt;&gt;1),"",INDEX(Strategy!$D$36:$D$90,MATCH(P80,Strategy!$B$36:$B$90,0)))</x:f>
        <x:v>seconds</x:v>
      </x:c>
      <x:c r="X80" s="370" t="n">
        <x:f>IF(OR(COUNT(T80:V80)&lt;&gt;3,Q80&lt;&gt;W80,T80&lt;0,T80&gt;10),"",T80*V80)</x:f>
        <x:v>150</x:v>
      </x:c>
      <x:c r="Y80" s="374" t="str">
        <x:v>Core: one 30-second work interval per round; rest excluded.</x:v>
      </x:c>
    </x:row>
    <x:row r="81" ht="15" hidden="0" customHeight="1">
      <x:c r="A81" s="326" t="n">
        <x:f>Daily!A25</x:f>
        <x:v>46359.5</x:v>
      </x:c>
      <x:c r="B81" s="318" t="str">
        <x:f>Daily!D25</x:f>
        <x:v>Skill B + circuit</x:v>
      </x:c>
      <x:c r="C81" s="318" t="str">
        <x:v>C · Light-counterweight pistol</x:v>
      </x:c>
      <x:c r="D81" s="318" t="str">
        <x:v>reps/leg</x:v>
      </x:c>
      <x:c r="E81" s="320" t="b">
        <x:v>1</x:v>
      </x:c>
      <x:c r="F81" s="328" t="n">
        <x:v>12</x:v>
      </x:c>
      <x:c r="G81" s="329" t="str">
        <x:f>IF(AND(OR(Daily!T25=TRUE,Daily!AB25=TRUE),COUNT(Daily!U25,Daily!V25,Daily!W25)&gt;0),SUM(Daily!U25,Daily!V25,Daily!W25),"")</x:f>
      </x:c>
      <x:c r="H81" s="329" t="n">
        <x:f>IF(AND(E81=TRUE,ISNUMBER(F81),F81&gt;0),100,"")</x:f>
        <x:v>100</x:v>
      </x:c>
      <x:c r="I81" s="329" t="str">
        <x:f>IF(AND(ISNUMBER(H81),ISNUMBER(G81)),IF(J81="lower",IF(G81&gt;0,100*F81/G81,""),100*G81/F81),"")</x:f>
      </x:c>
      <x:c r="J81" s="321" t="str">
        <x:v>higher</x:v>
      </x:c>
      <x:c r="N81" s="363" t="n">
        <x:f>Daily!A17</x:f>
        <x:v>46345.5</x:v>
      </x:c>
      <x:c r="O81" s="359" t="str">
        <x:f>Daily!D17</x:f>
        <x:v>Skill B + interval circuit</x:v>
      </x:c>
      <x:c r="P81" s="371" t="str">
        <x:v>Upside-down hanging shoulder/ab work</x:v>
      </x:c>
      <x:c r="Q81" s="360" t="str">
        <x:v>seconds</x:v>
      </x:c>
      <x:c r="R81" s="365" t="n">
        <x:v>3</x:v>
      </x:c>
      <x:c r="S81" s="365" t="n">
        <x:v>30</x:v>
      </x:c>
      <x:c r="T81" s="366" t="n">
        <x:f>IF(OR(COUNTIFS(Strategy!$B$36:$B$90,P81)&lt;&gt;1,COUNTIFS(Strategy!$B$36:$B$90,P81,Strategy!$C$36:$C$90,"&lt;&gt;")&lt;&gt;1),"",INDEX(Strategy!$C$36:$C$90,MATCH(P81,Strategy!$B$36:$B$90,0)))</x:f>
        <x:v>5</x:v>
      </x:c>
      <x:c r="U81" s="366" t="n">
        <x:f>IF(OR(COUNT(R81:S81)&lt;&gt;2,R81&lt;0,R81&lt;&gt;INT(R81),S81&lt;=0),"",R81*S81)</x:f>
        <x:v>90</x:v>
      </x:c>
      <x:c r="V81" s="388" t="n">
        <x:f>IF(OR(NOT(ISNUMBER(U81)),NOT(ISNUMBER($O$1)),$O$1&lt;=0),"",IF(Q81="seconds",U81/$O$1,IF(Q81="reps/leg",2*U81,IF(Q81="reps",U81,""))))</x:f>
        <x:v>30</x:v>
      </x:c>
      <x:c r="W81" s="359" t="str">
        <x:f>IF(OR(COUNTIFS(Strategy!$B$36:$B$90,P81)&lt;&gt;1,COUNTIFS(Strategy!$B$36:$B$90,P81,Strategy!$D$36:$D$90,"&lt;&gt;")&lt;&gt;1),"",INDEX(Strategy!$D$36:$D$90,MATCH(P81,Strategy!$B$36:$B$90,0)))</x:f>
        <x:v>seconds</x:v>
      </x:c>
      <x:c r="X81" s="369" t="n">
        <x:f>IF(OR(COUNT(T81:V81)&lt;&gt;3,Q81&lt;&gt;W81,T81&lt;0,T81&gt;10),"",T81*V81)</x:f>
        <x:v>150</x:v>
      </x:c>
      <x:c r="Y81" s="373" t="str">
        <x:v>Core: one 30-second work interval per round; rest excluded.</x:v>
      </x:c>
    </x:row>
    <x:row r="82" ht="15" hidden="0" customHeight="1">
      <x:c r="A82" s="327" t="n">
        <x:f>Daily!A25</x:f>
        <x:v>46359.5</x:v>
      </x:c>
      <x:c r="B82" s="322" t="str">
        <x:f>Daily!D25</x:f>
        <x:v>Skill B + circuit</x:v>
      </x:c>
      <x:c r="C82" s="322" t="str">
        <x:v>Core</x:v>
      </x:c>
      <x:c r="D82" s="322" t="str">
        <x:v>rounds</x:v>
      </x:c>
      <x:c r="E82" s="324" t="b">
        <x:v>1</x:v>
      </x:c>
      <x:c r="F82" s="330" t="n">
        <x:v>5</x:v>
      </x:c>
      <x:c r="G82" s="331" t="str">
        <x:f>IF(AND(OR(Daily!Z25=TRUE,Daily!AB25=TRUE),COUNT(Daily!AA25)&gt;0),SUM(Daily!AA25),"")</x:f>
      </x:c>
      <x:c r="H82" s="331" t="n">
        <x:f>IF(AND(E82=TRUE,ISNUMBER(F82),F82&gt;0),100,"")</x:f>
        <x:v>100</x:v>
      </x:c>
      <x:c r="I82" s="331" t="str">
        <x:f>IF(AND(ISNUMBER(H82),ISNUMBER(G82)),IF(J82="lower",IF(G82&gt;0,100*F82/G82,""),100*G82/F82),"")</x:f>
      </x:c>
      <x:c r="J82" s="325" t="str">
        <x:v>higher</x:v>
      </x:c>
      <x:c r="N82" s="364" t="n">
        <x:f>Daily!A18</x:f>
        <x:v>46347.5</x:v>
      </x:c>
      <x:c r="O82" s="361" t="str">
        <x:f>Daily!D18</x:f>
        <x:v>Skill micro-session</x:v>
      </x:c>
      <x:c r="P82" s="372" t="str">
        <x:v>Wrist/shoulder mobility</x:v>
      </x:c>
      <x:c r="Q82" s="362" t="str">
        <x:v>seconds</x:v>
      </x:c>
      <x:c r="R82" s="367" t="n">
        <x:v>1</x:v>
      </x:c>
      <x:c r="S82" s="367" t="n">
        <x:v>60</x:v>
      </x:c>
      <x:c r="T82" s="368" t="n">
        <x:f>IF(OR(COUNTIFS(Strategy!$B$36:$B$90,P82)&lt;&gt;1,COUNTIFS(Strategy!$B$36:$B$90,P82,Strategy!$C$36:$C$90,"&lt;&gt;")&lt;&gt;1),"",INDEX(Strategy!$C$36:$C$90,MATCH(P82,Strategy!$B$36:$B$90,0)))</x:f>
        <x:v>1</x:v>
      </x:c>
      <x:c r="U82" s="368" t="n">
        <x:f>IF(OR(COUNT(R82:S82)&lt;&gt;2,R82&lt;0,R82&lt;&gt;INT(R82),S82&lt;=0),"",R82*S82)</x:f>
        <x:v>60</x:v>
      </x:c>
      <x:c r="V82" s="389" t="n">
        <x:f>IF(OR(NOT(ISNUMBER(U82)),NOT(ISNUMBER($O$1)),$O$1&lt;=0),"",IF(Q82="seconds",U82/$O$1,IF(Q82="reps/leg",2*U82,IF(Q82="reps",U82,""))))</x:f>
        <x:v>20</x:v>
      </x:c>
      <x:c r="W82" s="361" t="str">
        <x:f>IF(OR(COUNTIFS(Strategy!$B$36:$B$90,P82)&lt;&gt;1,COUNTIFS(Strategy!$B$36:$B$90,P82,Strategy!$D$36:$D$90,"&lt;&gt;")&lt;&gt;1),"",INDEX(Strategy!$D$36:$D$90,MATCH(P82,Strategy!$B$36:$B$90,0)))</x:f>
        <x:v>seconds</x:v>
      </x:c>
      <x:c r="X82" s="370" t="n">
        <x:f>IF(OR(COUNT(T82:V82)&lt;&gt;3,Q82&lt;&gt;W82,T82&lt;0,T82&gt;10),"",T82*V82)</x:f>
        <x:v>20</x:v>
      </x:c>
      <x:c r="Y82" s="374" t="str"/>
    </x:row>
    <x:row r="83" ht="15" hidden="0" customHeight="1">
      <x:c r="A83" s="326" t="n">
        <x:f>Daily!A26</x:f>
        <x:v>46361.5</x:v>
      </x:c>
      <x:c r="B83" s="318" t="str">
        <x:f>Daily!D26</x:f>
        <x:v>Skill micro-session</x:v>
      </x:c>
      <x:c r="C83" s="318" t="str">
        <x:v>A · Wrist/shoulder mobility</x:v>
      </x:c>
      <x:c r="D83" s="318" t="str">
        <x:v>seconds</x:v>
      </x:c>
      <x:c r="E83" s="320" t="b">
        <x:v>1</x:v>
      </x:c>
      <x:c r="F83" s="328" t="n">
        <x:v>120</x:v>
      </x:c>
      <x:c r="G83" s="329" t="str">
        <x:f>IF(AND(OR(Daily!H26=TRUE,Daily!AB26=TRUE),COUNT(Daily!I26)&gt;0),SUM(Daily!I26)*86400,"")</x:f>
      </x:c>
      <x:c r="H83" s="329" t="n">
        <x:f>IF(AND(E83=TRUE,ISNUMBER(F83),F83&gt;0),100,"")</x:f>
        <x:v>100</x:v>
      </x:c>
      <x:c r="I83" s="329" t="str">
        <x:f>IF(AND(ISNUMBER(H83),ISNUMBER(G83)),IF(J83="lower",IF(G83&gt;0,100*F83/G83,""),100*G83/F83),"")</x:f>
      </x:c>
      <x:c r="J83" s="321" t="str">
        <x:v>higher</x:v>
      </x:c>
      <x:c r="N83" s="363" t="n">
        <x:f>Daily!A18</x:f>
        <x:v>46347.5</x:v>
      </x:c>
      <x:c r="O83" s="359" t="str">
        <x:f>Daily!D18</x:f>
        <x:v>Skill micro-session</x:v>
      </x:c>
      <x:c r="P83" s="371" t="str">
        <x:v>Easy chest-to-wall hold</x:v>
      </x:c>
      <x:c r="Q83" s="360" t="str">
        <x:v>seconds</x:v>
      </x:c>
      <x:c r="R83" s="365" t="n">
        <x:v>2</x:v>
      </x:c>
      <x:c r="S83" s="365" t="n">
        <x:v>10</x:v>
      </x:c>
      <x:c r="T83" s="366" t="n">
        <x:f>IF(OR(COUNTIFS(Strategy!$B$36:$B$90,P83)&lt;&gt;1,COUNTIFS(Strategy!$B$36:$B$90,P83,Strategy!$C$36:$C$90,"&lt;&gt;")&lt;&gt;1),"",INDEX(Strategy!$C$36:$C$90,MATCH(P83,Strategy!$B$36:$B$90,0)))</x:f>
        <x:v>1</x:v>
      </x:c>
      <x:c r="U83" s="366" t="n">
        <x:f>IF(OR(COUNT(R83:S83)&lt;&gt;2,R83&lt;0,R83&lt;&gt;INT(R83),S83&lt;=0),"",R83*S83)</x:f>
        <x:v>20</x:v>
      </x:c>
      <x:c r="V83" s="388" t="n">
        <x:f>IF(OR(NOT(ISNUMBER(U83)),NOT(ISNUMBER($O$1)),$O$1&lt;=0),"",IF(Q83="seconds",U83/$O$1,IF(Q83="reps/leg",2*U83,IF(Q83="reps",U83,""))))</x:f>
        <x:v>6.666666666666667</x:v>
      </x:c>
      <x:c r="W83" s="359" t="str">
        <x:f>IF(OR(COUNTIFS(Strategy!$B$36:$B$90,P83)&lt;&gt;1,COUNTIFS(Strategy!$B$36:$B$90,P83,Strategy!$D$36:$D$90,"&lt;&gt;")&lt;&gt;1),"",INDEX(Strategy!$D$36:$D$90,MATCH(P83,Strategy!$B$36:$B$90,0)))</x:f>
        <x:v>seconds</x:v>
      </x:c>
      <x:c r="X83" s="369" t="n">
        <x:f>IF(OR(COUNT(T83:V83)&lt;&gt;3,Q83&lt;&gt;W83,T83&lt;0,T83&gt;10),"",T83*V83)</x:f>
        <x:v>6.666666666666667</x:v>
      </x:c>
      <x:c r="Y83" s="373" t="str"/>
    </x:row>
    <x:row r="84" ht="15" hidden="0" customHeight="1">
      <x:c r="A84" s="327" t="n">
        <x:f>Daily!A26</x:f>
        <x:v>46361.5</x:v>
      </x:c>
      <x:c r="B84" s="322" t="str">
        <x:f>Daily!D26</x:f>
        <x:v>Skill micro-session</x:v>
      </x:c>
      <x:c r="C84" s="322" t="str">
        <x:v>B · Easy chest-to-wall hold</x:v>
      </x:c>
      <x:c r="D84" s="322" t="str">
        <x:v>seconds</x:v>
      </x:c>
      <x:c r="E84" s="324" t="b">
        <x:v>1</x:v>
      </x:c>
      <x:c r="F84" s="330" t="n">
        <x:v>45</x:v>
      </x:c>
      <x:c r="G84" s="331" t="str">
        <x:f>IF(AND(OR(Daily!N26=TRUE,Daily!AB26=TRUE),COUNT(Daily!O26,Daily!P26,Daily!Q26)&gt;0),SUM(Daily!O26,Daily!P26,Daily!Q26)*86400,"")</x:f>
      </x:c>
      <x:c r="H84" s="331" t="n">
        <x:f>IF(AND(E84=TRUE,ISNUMBER(F84),F84&gt;0),100,"")</x:f>
        <x:v>100</x:v>
      </x:c>
      <x:c r="I84" s="331" t="str">
        <x:f>IF(AND(ISNUMBER(H84),ISNUMBER(G84)),IF(J84="lower",IF(G84&gt;0,100*F84/G84,""),100*G84/F84),"")</x:f>
      </x:c>
      <x:c r="J84" s="325" t="str">
        <x:v>higher</x:v>
      </x:c>
      <x:c r="N84" s="364" t="n">
        <x:f>Daily!A18</x:f>
        <x:v>46347.5</x:v>
      </x:c>
      <x:c r="O84" s="361" t="str">
        <x:f>Daily!D18</x:f>
        <x:v>Skill micro-session</x:v>
      </x:c>
      <x:c r="P84" s="372" t="str">
        <x:v>Wall handstand line drill</x:v>
      </x:c>
      <x:c r="Q84" s="362" t="str">
        <x:v>seconds</x:v>
      </x:c>
      <x:c r="R84" s="367" t="n">
        <x:v>1</x:v>
      </x:c>
      <x:c r="S84" s="367" t="n">
        <x:v>10</x:v>
      </x:c>
      <x:c r="T84" s="368" t="n">
        <x:f>IF(OR(COUNTIFS(Strategy!$B$36:$B$90,P84)&lt;&gt;1,COUNTIFS(Strategy!$B$36:$B$90,P84,Strategy!$C$36:$C$90,"&lt;&gt;")&lt;&gt;1),"",INDEX(Strategy!$C$36:$C$90,MATCH(P84,Strategy!$B$36:$B$90,0)))</x:f>
        <x:v>1</x:v>
      </x:c>
      <x:c r="U84" s="368" t="n">
        <x:f>IF(OR(COUNT(R84:S84)&lt;&gt;2,R84&lt;0,R84&lt;&gt;INT(R84),S84&lt;=0),"",R84*S84)</x:f>
        <x:v>10</x:v>
      </x:c>
      <x:c r="V84" s="389" t="n">
        <x:f>IF(OR(NOT(ISNUMBER(U84)),NOT(ISNUMBER($O$1)),$O$1&lt;=0),"",IF(Q84="seconds",U84/$O$1,IF(Q84="reps/leg",2*U84,IF(Q84="reps",U84,""))))</x:f>
        <x:v>3.3333333333333335</x:v>
      </x:c>
      <x:c r="W84" s="361" t="str">
        <x:f>IF(OR(COUNTIFS(Strategy!$B$36:$B$90,P84)&lt;&gt;1,COUNTIFS(Strategy!$B$36:$B$90,P84,Strategy!$D$36:$D$90,"&lt;&gt;")&lt;&gt;1),"",INDEX(Strategy!$D$36:$D$90,MATCH(P84,Strategy!$B$36:$B$90,0)))</x:f>
        <x:v>seconds</x:v>
      </x:c>
      <x:c r="X84" s="370" t="n">
        <x:f>IF(OR(COUNT(T84:V84)&lt;&gt;3,Q84&lt;&gt;W84,T84&lt;0,T84&gt;10),"",T84*V84)</x:f>
        <x:v>3.3333333333333335</x:v>
      </x:c>
      <x:c r="Y84" s="374" t="str"/>
    </x:row>
    <x:row r="85" ht="15" hidden="0" customHeight="1">
      <x:c r="A85" s="326" t="n">
        <x:f>Daily!A26</x:f>
        <x:v>46361.5</x:v>
      </x:c>
      <x:c r="B85" s="318" t="str">
        <x:f>Daily!D26</x:f>
        <x:v>Skill micro-session</x:v>
      </x:c>
      <x:c r="C85" s="318" t="str">
        <x:v>C · Wall handstand line drill</x:v>
      </x:c>
      <x:c r="D85" s="318" t="str">
        <x:v>seconds</x:v>
      </x:c>
      <x:c r="E85" s="320" t="b">
        <x:v>1</x:v>
      </x:c>
      <x:c r="F85" s="328" t="n">
        <x:v>45</x:v>
      </x:c>
      <x:c r="G85" s="329" t="str">
        <x:f>IF(AND(OR(Daily!T26=TRUE,Daily!AB26=TRUE),COUNT(Daily!U26,Daily!V26,Daily!W26)&gt;0),SUM(Daily!U26,Daily!V26,Daily!W26)*86400,"")</x:f>
      </x:c>
      <x:c r="H85" s="329" t="n">
        <x:f>IF(AND(E85=TRUE,ISNUMBER(F85),F85&gt;0),100,"")</x:f>
        <x:v>100</x:v>
      </x:c>
      <x:c r="I85" s="329" t="str">
        <x:f>IF(AND(ISNUMBER(H85),ISNUMBER(G85)),IF(J85="lower",IF(G85&gt;0,100*F85/G85,""),100*G85/F85),"")</x:f>
      </x:c>
      <x:c r="J85" s="321" t="str">
        <x:v>higher</x:v>
      </x:c>
      <x:c r="N85" s="363" t="n">
        <x:f>Daily!A19</x:f>
        <x:v>46349.5</x:v>
      </x:c>
      <x:c r="O85" s="359" t="str">
        <x:f>Daily!D19</x:f>
        <x:v>Skill A + interval circuit</x:v>
      </x:c>
      <x:c r="P85" s="371" t="str">
        <x:v>Chest-to-bar pull-up</x:v>
      </x:c>
      <x:c r="Q85" s="360" t="str">
        <x:v>reps</x:v>
      </x:c>
      <x:c r="R85" s="365" t="n">
        <x:v>3</x:v>
      </x:c>
      <x:c r="S85" s="365" t="n">
        <x:v>3</x:v>
      </x:c>
      <x:c r="T85" s="366" t="n">
        <x:f>IF(OR(COUNTIFS(Strategy!$B$36:$B$90,P85)&lt;&gt;1,COUNTIFS(Strategy!$B$36:$B$90,P85,Strategy!$C$36:$C$90,"&lt;&gt;")&lt;&gt;1),"",INDEX(Strategy!$C$36:$C$90,MATCH(P85,Strategy!$B$36:$B$90,0)))</x:f>
        <x:v>6</x:v>
      </x:c>
      <x:c r="U85" s="366" t="n">
        <x:f>IF(OR(COUNT(R85:S85)&lt;&gt;2,R85&lt;0,R85&lt;&gt;INT(R85),S85&lt;=0),"",R85*S85)</x:f>
        <x:v>9</x:v>
      </x:c>
      <x:c r="V85" s="388" t="n">
        <x:f>IF(OR(NOT(ISNUMBER(U85)),NOT(ISNUMBER($O$1)),$O$1&lt;=0),"",IF(Q85="seconds",U85/$O$1,IF(Q85="reps/leg",2*U85,IF(Q85="reps",U85,""))))</x:f>
        <x:v>9</x:v>
      </x:c>
      <x:c r="W85" s="359" t="str">
        <x:f>IF(OR(COUNTIFS(Strategy!$B$36:$B$90,P85)&lt;&gt;1,COUNTIFS(Strategy!$B$36:$B$90,P85,Strategy!$D$36:$D$90,"&lt;&gt;")&lt;&gt;1),"",INDEX(Strategy!$D$36:$D$90,MATCH(P85,Strategy!$B$36:$B$90,0)))</x:f>
        <x:v>reps</x:v>
      </x:c>
      <x:c r="X85" s="369" t="n">
        <x:f>IF(OR(COUNT(T85:V85)&lt;&gt;3,Q85&lt;&gt;W85,T85&lt;0,T85&gt;10),"",T85*V85)</x:f>
        <x:v>54</x:v>
      </x:c>
      <x:c r="Y85" s="373" t="str"/>
    </x:row>
    <x:row r="86" ht="15" hidden="0" customHeight="1">
      <x:c r="A86" s="327" t="n">
        <x:f>Daily!A27</x:f>
        <x:v>46363.5</x:v>
      </x:c>
      <x:c r="B86" s="322" t="str">
        <x:f>Daily!D27</x:f>
        <x:v>Skill A + interval circuit</x:v>
      </x:c>
      <x:c r="C86" s="322" t="str">
        <x:v>A · Light-band muscle-up</x:v>
      </x:c>
      <x:c r="D86" s="322" t="str">
        <x:v>reps</x:v>
      </x:c>
      <x:c r="E86" s="324" t="b">
        <x:v>1</x:v>
      </x:c>
      <x:c r="F86" s="330" t="n">
        <x:v>4</x:v>
      </x:c>
      <x:c r="G86" s="331" t="str">
        <x:f>IF(AND(OR(Daily!H27=TRUE,Daily!AB27=TRUE),COUNT(Daily!I27,Daily!J27,Daily!K27,Daily!L27)&gt;0),SUM(Daily!I27,Daily!J27,Daily!K27,Daily!L27),"")</x:f>
      </x:c>
      <x:c r="H86" s="331" t="n">
        <x:f>IF(AND(E86=TRUE,ISNUMBER(F86),F86&gt;0),100,"")</x:f>
        <x:v>100</x:v>
      </x:c>
      <x:c r="I86" s="331" t="str">
        <x:f>IF(AND(ISNUMBER(H86),ISNUMBER(G86)),IF(J86="lower",IF(G86&gt;0,100*F86/G86,""),100*G86/F86),"")</x:f>
      </x:c>
      <x:c r="J86" s="325" t="str">
        <x:v>higher</x:v>
      </x:c>
      <x:c r="N86" s="364" t="n">
        <x:f>Daily!A19</x:f>
        <x:v>46349.5</x:v>
      </x:c>
      <x:c r="O86" s="361" t="str">
        <x:f>Daily!D19</x:f>
        <x:v>Skill A + interval circuit</x:v>
      </x:c>
      <x:c r="P86" s="372" t="str">
        <x:v>Band-assisted muscle-up</x:v>
      </x:c>
      <x:c r="Q86" s="362" t="str">
        <x:v>reps</x:v>
      </x:c>
      <x:c r="R86" s="367" t="n">
        <x:v>4</x:v>
      </x:c>
      <x:c r="S86" s="367" t="n">
        <x:v>1</x:v>
      </x:c>
      <x:c r="T86" s="368" t="n">
        <x:f>IF(OR(COUNTIFS(Strategy!$B$36:$B$90,P86)&lt;&gt;1,COUNTIFS(Strategy!$B$36:$B$90,P86,Strategy!$C$36:$C$90,"&lt;&gt;")&lt;&gt;1),"",INDEX(Strategy!$C$36:$C$90,MATCH(P86,Strategy!$B$36:$B$90,0)))</x:f>
        <x:v>6</x:v>
      </x:c>
      <x:c r="U86" s="368" t="n">
        <x:f>IF(OR(COUNT(R86:S86)&lt;&gt;2,R86&lt;0,R86&lt;&gt;INT(R86),S86&lt;=0),"",R86*S86)</x:f>
        <x:v>4</x:v>
      </x:c>
      <x:c r="V86" s="389" t="n">
        <x:f>IF(OR(NOT(ISNUMBER(U86)),NOT(ISNUMBER($O$1)),$O$1&lt;=0),"",IF(Q86="seconds",U86/$O$1,IF(Q86="reps/leg",2*U86,IF(Q86="reps",U86,""))))</x:f>
        <x:v>4</x:v>
      </x:c>
      <x:c r="W86" s="361" t="str">
        <x:f>IF(OR(COUNTIFS(Strategy!$B$36:$B$90,P86)&lt;&gt;1,COUNTIFS(Strategy!$B$36:$B$90,P86,Strategy!$D$36:$D$90,"&lt;&gt;")&lt;&gt;1),"",INDEX(Strategy!$D$36:$D$90,MATCH(P86,Strategy!$B$36:$B$90,0)))</x:f>
        <x:v>reps</x:v>
      </x:c>
      <x:c r="X86" s="370" t="n">
        <x:f>IF(OR(COUNT(T86:V86)&lt;&gt;3,Q86&lt;&gt;W86,T86&lt;0,T86&gt;10),"",T86*V86)</x:f>
        <x:v>24</x:v>
      </x:c>
      <x:c r="Y86" s="374" t="str"/>
    </x:row>
    <x:row r="87" ht="15" hidden="0" customHeight="1">
      <x:c r="A87" s="326" t="n">
        <x:f>Daily!A27</x:f>
        <x:v>46363.5</x:v>
      </x:c>
      <x:c r="B87" s="318" t="str">
        <x:f>Daily!D27</x:f>
        <x:v>Skill A + interval circuit</x:v>
      </x:c>
      <x:c r="C87" s="318" t="str">
        <x:v>B · Band-assisted transition</x:v>
      </x:c>
      <x:c r="D87" s="318" t="str">
        <x:v>reps</x:v>
      </x:c>
      <x:c r="E87" s="320" t="b">
        <x:v>1</x:v>
      </x:c>
      <x:c r="F87" s="328" t="n">
        <x:v>6</x:v>
      </x:c>
      <x:c r="G87" s="329" t="str">
        <x:f>IF(AND(OR(Daily!N27=TRUE,Daily!AB27=TRUE),COUNT(Daily!O27,Daily!P27,Daily!Q27)&gt;0),SUM(Daily!O27,Daily!P27,Daily!Q27),"")</x:f>
      </x:c>
      <x:c r="H87" s="329" t="n">
        <x:f>IF(AND(E87=TRUE,ISNUMBER(F87),F87&gt;0),100,"")</x:f>
        <x:v>100</x:v>
      </x:c>
      <x:c r="I87" s="329" t="str">
        <x:f>IF(AND(ISNUMBER(H87),ISNUMBER(G87)),IF(J87="lower",IF(G87&gt;0,100*F87/G87,""),100*G87/F87),"")</x:f>
      </x:c>
      <x:c r="J87" s="321" t="str">
        <x:v>higher</x:v>
      </x:c>
      <x:c r="N87" s="363" t="n">
        <x:f>Daily!A19</x:f>
        <x:v>46349.5</x:v>
      </x:c>
      <x:c r="O87" s="359" t="str">
        <x:f>Daily!D19</x:f>
        <x:v>Skill A + interval circuit</x:v>
      </x:c>
      <x:c r="P87" s="371" t="str">
        <x:v>Counterweight pistol</x:v>
      </x:c>
      <x:c r="Q87" s="360" t="str">
        <x:v>reps/leg</x:v>
      </x:c>
      <x:c r="R87" s="365" t="n">
        <x:v>3</x:v>
      </x:c>
      <x:c r="S87" s="365" t="n">
        <x:v>4</x:v>
      </x:c>
      <x:c r="T87" s="366" t="n">
        <x:f>IF(OR(COUNTIFS(Strategy!$B$36:$B$90,P87)&lt;&gt;1,COUNTIFS(Strategy!$B$36:$B$90,P87,Strategy!$C$36:$C$90,"&lt;&gt;")&lt;&gt;1),"",INDEX(Strategy!$C$36:$C$90,MATCH(P87,Strategy!$B$36:$B$90,0)))</x:f>
        <x:v>4</x:v>
      </x:c>
      <x:c r="U87" s="366" t="n">
        <x:f>IF(OR(COUNT(R87:S87)&lt;&gt;2,R87&lt;0,R87&lt;&gt;INT(R87),S87&lt;=0),"",R87*S87)</x:f>
        <x:v>12</x:v>
      </x:c>
      <x:c r="V87" s="388" t="n">
        <x:f>IF(OR(NOT(ISNUMBER(U87)),NOT(ISNUMBER($O$1)),$O$1&lt;=0),"",IF(Q87="seconds",U87/$O$1,IF(Q87="reps/leg",2*U87,IF(Q87="reps",U87,""))))</x:f>
        <x:v>24</x:v>
      </x:c>
      <x:c r="W87" s="359" t="str">
        <x:f>IF(OR(COUNTIFS(Strategy!$B$36:$B$90,P87)&lt;&gt;1,COUNTIFS(Strategy!$B$36:$B$90,P87,Strategy!$D$36:$D$90,"&lt;&gt;")&lt;&gt;1),"",INDEX(Strategy!$D$36:$D$90,MATCH(P87,Strategy!$B$36:$B$90,0)))</x:f>
        <x:v>reps/leg</x:v>
      </x:c>
      <x:c r="X87" s="369" t="n">
        <x:f>IF(OR(COUNT(T87:V87)&lt;&gt;3,Q87&lt;&gt;W87,T87&lt;0,T87&gt;10),"",T87*V87)</x:f>
        <x:v>96</x:v>
      </x:c>
      <x:c r="Y87" s="373" t="str"/>
    </x:row>
    <x:row r="88" ht="15" hidden="0" customHeight="1">
      <x:c r="A88" s="327" t="n">
        <x:f>Daily!A27</x:f>
        <x:v>46363.5</x:v>
      </x:c>
      <x:c r="B88" s="322" t="str">
        <x:f>Daily!D27</x:f>
        <x:v>Skill A + interval circuit</x:v>
      </x:c>
      <x:c r="C88" s="322" t="str">
        <x:v>C · Unassisted pistol to target</x:v>
      </x:c>
      <x:c r="D88" s="322" t="str">
        <x:v>reps/leg</x:v>
      </x:c>
      <x:c r="E88" s="324" t="b">
        <x:v>1</x:v>
      </x:c>
      <x:c r="F88" s="330" t="n">
        <x:v>3</x:v>
      </x:c>
      <x:c r="G88" s="331" t="str">
        <x:f>IF(AND(OR(Daily!T27=TRUE,Daily!AB27=TRUE),COUNT(Daily!U27,Daily!V27,Daily!W27)&gt;0),SUM(Daily!U27,Daily!V27,Daily!W27),"")</x:f>
      </x:c>
      <x:c r="H88" s="331" t="n">
        <x:f>IF(AND(E88=TRUE,ISNUMBER(F88),F88&gt;0),100,"")</x:f>
        <x:v>100</x:v>
      </x:c>
      <x:c r="I88" s="331" t="str">
        <x:f>IF(AND(ISNUMBER(H88),ISNUMBER(G88)),IF(J88="lower",IF(G88&gt;0,100*F88/G88,""),100*G88/F88),"")</x:f>
      </x:c>
      <x:c r="J88" s="325" t="str">
        <x:v>higher</x:v>
      </x:c>
      <x:c r="N88" s="364" t="n">
        <x:f>Daily!A19</x:f>
        <x:v>46349.5</x:v>
      </x:c>
      <x:c r="O88" s="361" t="str">
        <x:f>Daily!D19</x:f>
        <x:v>Skill A + interval circuit</x:v>
      </x:c>
      <x:c r="P88" s="372" t="str">
        <x:v>Pull-up</x:v>
      </x:c>
      <x:c r="Q88" s="362" t="str">
        <x:v>seconds</x:v>
      </x:c>
      <x:c r="R88" s="367" t="n">
        <x:v>5</x:v>
      </x:c>
      <x:c r="S88" s="367" t="n">
        <x:v>30</x:v>
      </x:c>
      <x:c r="T88" s="368" t="n">
        <x:f>IF(OR(COUNTIFS(Strategy!$B$36:$B$90,P88)&lt;&gt;1,COUNTIFS(Strategy!$B$36:$B$90,P88,Strategy!$C$36:$C$90,"&lt;&gt;")&lt;&gt;1),"",INDEX(Strategy!$C$36:$C$90,MATCH(P88,Strategy!$B$36:$B$90,0)))</x:f>
        <x:v>6</x:v>
      </x:c>
      <x:c r="U88" s="368" t="n">
        <x:f>IF(OR(COUNT(R88:S88)&lt;&gt;2,R88&lt;0,R88&lt;&gt;INT(R88),S88&lt;=0),"",R88*S88)</x:f>
        <x:v>150</x:v>
      </x:c>
      <x:c r="V88" s="389" t="n">
        <x:f>IF(OR(NOT(ISNUMBER(U88)),NOT(ISNUMBER($O$1)),$O$1&lt;=0),"",IF(Q88="seconds",U88/$O$1,IF(Q88="reps/leg",2*U88,IF(Q88="reps",U88,""))))</x:f>
        <x:v>50</x:v>
      </x:c>
      <x:c r="W88" s="361" t="str">
        <x:f>IF(OR(COUNTIFS(Strategy!$B$36:$B$90,P88)&lt;&gt;1,COUNTIFS(Strategy!$B$36:$B$90,P88,Strategy!$D$36:$D$90,"&lt;&gt;")&lt;&gt;1),"",INDEX(Strategy!$D$36:$D$90,MATCH(P88,Strategy!$B$36:$B$90,0)))</x:f>
        <x:v>seconds</x:v>
      </x:c>
      <x:c r="X88" s="370" t="n">
        <x:f>IF(OR(COUNT(T88:V88)&lt;&gt;3,Q88&lt;&gt;W88,T88&lt;0,T88&gt;10),"",T88*V88)</x:f>
        <x:v>300</x:v>
      </x:c>
      <x:c r="Y88" s="374" t="str">
        <x:v>Core: one 30-second work interval per round; rest excluded.</x:v>
      </x:c>
    </x:row>
    <x:row r="89" ht="15" hidden="0" customHeight="1">
      <x:c r="A89" s="326" t="n">
        <x:f>Daily!A27</x:f>
        <x:v>46363.5</x:v>
      </x:c>
      <x:c r="B89" s="318" t="str">
        <x:f>Daily!D27</x:f>
        <x:v>Skill A + interval circuit</x:v>
      </x:c>
      <x:c r="C89" s="318" t="str">
        <x:v>Core</x:v>
      </x:c>
      <x:c r="D89" s="318" t="str">
        <x:v>rounds</x:v>
      </x:c>
      <x:c r="E89" s="320" t="b">
        <x:v>1</x:v>
      </x:c>
      <x:c r="F89" s="328" t="n">
        <x:v>5</x:v>
      </x:c>
      <x:c r="G89" s="329" t="str">
        <x:f>IF(AND(OR(Daily!Z27=TRUE,Daily!AB27=TRUE),COUNT(Daily!AA27)&gt;0),SUM(Daily!AA27),"")</x:f>
      </x:c>
      <x:c r="H89" s="329" t="n">
        <x:f>IF(AND(E89=TRUE,ISNUMBER(F89),F89&gt;0),100,"")</x:f>
        <x:v>100</x:v>
      </x:c>
      <x:c r="I89" s="329" t="str">
        <x:f>IF(AND(ISNUMBER(H89),ISNUMBER(G89)),IF(J89="lower",IF(G89&gt;0,100*F89/G89,""),100*G89/F89),"")</x:f>
      </x:c>
      <x:c r="J89" s="321" t="str">
        <x:v>higher</x:v>
      </x:c>
      <x:c r="N89" s="363" t="n">
        <x:f>Daily!A19</x:f>
        <x:v>46349.5</x:v>
      </x:c>
      <x:c r="O89" s="359" t="str">
        <x:f>Daily!D19</x:f>
        <x:v>Skill A + interval circuit</x:v>
      </x:c>
      <x:c r="P89" s="371" t="str">
        <x:v>Push-up</x:v>
      </x:c>
      <x:c r="Q89" s="360" t="str">
        <x:v>seconds</x:v>
      </x:c>
      <x:c r="R89" s="365" t="n">
        <x:v>5</x:v>
      </x:c>
      <x:c r="S89" s="365" t="n">
        <x:v>30</x:v>
      </x:c>
      <x:c r="T89" s="366" t="n">
        <x:f>IF(OR(COUNTIFS(Strategy!$B$36:$B$90,P89)&lt;&gt;1,COUNTIFS(Strategy!$B$36:$B$90,P89,Strategy!$C$36:$C$90,"&lt;&gt;")&lt;&gt;1),"",INDEX(Strategy!$C$36:$C$90,MATCH(P89,Strategy!$B$36:$B$90,0)))</x:f>
        <x:v>4</x:v>
      </x:c>
      <x:c r="U89" s="366" t="n">
        <x:f>IF(OR(COUNT(R89:S89)&lt;&gt;2,R89&lt;0,R89&lt;&gt;INT(R89),S89&lt;=0),"",R89*S89)</x:f>
        <x:v>150</x:v>
      </x:c>
      <x:c r="V89" s="388" t="n">
        <x:f>IF(OR(NOT(ISNUMBER(U89)),NOT(ISNUMBER($O$1)),$O$1&lt;=0),"",IF(Q89="seconds",U89/$O$1,IF(Q89="reps/leg",2*U89,IF(Q89="reps",U89,""))))</x:f>
        <x:v>50</x:v>
      </x:c>
      <x:c r="W89" s="359" t="str">
        <x:f>IF(OR(COUNTIFS(Strategy!$B$36:$B$90,P89)&lt;&gt;1,COUNTIFS(Strategy!$B$36:$B$90,P89,Strategy!$D$36:$D$90,"&lt;&gt;")&lt;&gt;1),"",INDEX(Strategy!$D$36:$D$90,MATCH(P89,Strategy!$B$36:$B$90,0)))</x:f>
        <x:v>seconds</x:v>
      </x:c>
      <x:c r="X89" s="369" t="n">
        <x:f>IF(OR(COUNT(T89:V89)&lt;&gt;3,Q89&lt;&gt;W89,T89&lt;0,T89&gt;10),"",T89*V89)</x:f>
        <x:v>200</x:v>
      </x:c>
      <x:c r="Y89" s="373" t="str">
        <x:v>Core: one 30-second work interval per round; rest excluded.</x:v>
      </x:c>
    </x:row>
    <x:row r="90" ht="15" hidden="0" customHeight="1">
      <x:c r="A90" s="327" t="n">
        <x:f>Daily!A28</x:f>
        <x:v>46364.5</x:v>
      </x:c>
      <x:c r="B90" s="322" t="str">
        <x:f>Daily!D28</x:f>
        <x:v>Handstand technique</x:v>
      </x:c>
      <x:c r="C90" s="322" t="str">
        <x:v>A · Wrist/shoulder mobility</x:v>
      </x:c>
      <x:c r="D90" s="322" t="str">
        <x:v>seconds</x:v>
      </x:c>
      <x:c r="E90" s="324" t="b">
        <x:v>1</x:v>
      </x:c>
      <x:c r="F90" s="330" t="n">
        <x:v>120</x:v>
      </x:c>
      <x:c r="G90" s="331" t="str">
        <x:f>IF(AND(OR(Daily!H28=TRUE,Daily!AB28=TRUE),COUNT(Daily!I28)&gt;0),SUM(Daily!I28)*86400,"")</x:f>
      </x:c>
      <x:c r="H90" s="331" t="n">
        <x:f>IF(AND(E90=TRUE,ISNUMBER(F90),F90&gt;0),100,"")</x:f>
        <x:v>100</x:v>
      </x:c>
      <x:c r="I90" s="331" t="str">
        <x:f>IF(AND(ISNUMBER(H90),ISNUMBER(G90)),IF(J90="lower",IF(G90&gt;0,100*F90/G90,""),100*G90/F90),"")</x:f>
      </x:c>
      <x:c r="J90" s="325" t="str">
        <x:v>higher</x:v>
      </x:c>
      <x:c r="N90" s="364" t="n">
        <x:f>Daily!A19</x:f>
        <x:v>46349.5</x:v>
      </x:c>
      <x:c r="O90" s="361" t="str">
        <x:f>Daily!D19</x:f>
        <x:v>Skill A + interval circuit</x:v>
      </x:c>
      <x:c r="P90" s="372" t="str">
        <x:v>Weighted squat</x:v>
      </x:c>
      <x:c r="Q90" s="362" t="str">
        <x:v>seconds</x:v>
      </x:c>
      <x:c r="R90" s="367" t="n">
        <x:v>5</x:v>
      </x:c>
      <x:c r="S90" s="367" t="n">
        <x:v>30</x:v>
      </x:c>
      <x:c r="T90" s="368" t="n">
        <x:f>IF(OR(COUNTIFS(Strategy!$B$36:$B$90,P90)&lt;&gt;1,COUNTIFS(Strategy!$B$36:$B$90,P90,Strategy!$C$36:$C$90,"&lt;&gt;")&lt;&gt;1),"",INDEX(Strategy!$C$36:$C$90,MATCH(P90,Strategy!$B$36:$B$90,0)))</x:f>
        <x:v>5</x:v>
      </x:c>
      <x:c r="U90" s="368" t="n">
        <x:f>IF(OR(COUNT(R90:S90)&lt;&gt;2,R90&lt;0,R90&lt;&gt;INT(R90),S90&lt;=0),"",R90*S90)</x:f>
        <x:v>150</x:v>
      </x:c>
      <x:c r="V90" s="389" t="n">
        <x:f>IF(OR(NOT(ISNUMBER(U90)),NOT(ISNUMBER($O$1)),$O$1&lt;=0),"",IF(Q90="seconds",U90/$O$1,IF(Q90="reps/leg",2*U90,IF(Q90="reps",U90,""))))</x:f>
        <x:v>50</x:v>
      </x:c>
      <x:c r="W90" s="361" t="str">
        <x:f>IF(OR(COUNTIFS(Strategy!$B$36:$B$90,P90)&lt;&gt;1,COUNTIFS(Strategy!$B$36:$B$90,P90,Strategy!$D$36:$D$90,"&lt;&gt;")&lt;&gt;1),"",INDEX(Strategy!$D$36:$D$90,MATCH(P90,Strategy!$B$36:$B$90,0)))</x:f>
        <x:v>seconds</x:v>
      </x:c>
      <x:c r="X90" s="370" t="n">
        <x:f>IF(OR(COUNT(T90:V90)&lt;&gt;3,Q90&lt;&gt;W90,T90&lt;0,T90&gt;10),"",T90*V90)</x:f>
        <x:v>250</x:v>
      </x:c>
      <x:c r="Y90" s="374" t="str">
        <x:v>Core: one 30-second work interval per round; rest excluded.</x:v>
      </x:c>
    </x:row>
    <x:row r="91" ht="15" hidden="0" customHeight="1">
      <x:c r="A91" s="326" t="n">
        <x:f>Daily!A28</x:f>
        <x:v>46364.5</x:v>
      </x:c>
      <x:c r="B91" s="318" t="str">
        <x:f>Daily!D28</x:f>
        <x:v>Handstand technique</x:v>
      </x:c>
      <x:c r="C91" s="318" t="str">
        <x:v>B · Easy chest-to-wall hold</x:v>
      </x:c>
      <x:c r="D91" s="318" t="str">
        <x:v>seconds</x:v>
      </x:c>
      <x:c r="E91" s="320" t="b">
        <x:v>1</x:v>
      </x:c>
      <x:c r="F91" s="328" t="n">
        <x:v>45</x:v>
      </x:c>
      <x:c r="G91" s="329" t="str">
        <x:f>IF(AND(OR(Daily!N28=TRUE,Daily!AB28=TRUE),COUNT(Daily!O28,Daily!P28,Daily!Q28)&gt;0),SUM(Daily!O28,Daily!P28,Daily!Q28)*86400,"")</x:f>
      </x:c>
      <x:c r="H91" s="329" t="n">
        <x:f>IF(AND(E91=TRUE,ISNUMBER(F91),F91&gt;0),100,"")</x:f>
        <x:v>100</x:v>
      </x:c>
      <x:c r="I91" s="329" t="str">
        <x:f>IF(AND(ISNUMBER(H91),ISNUMBER(G91)),IF(J91="lower",IF(G91&gt;0,100*F91/G91,""),100*G91/F91),"")</x:f>
      </x:c>
      <x:c r="J91" s="321" t="str">
        <x:v>higher</x:v>
      </x:c>
      <x:c r="N91" s="363" t="n">
        <x:f>Daily!A19</x:f>
        <x:v>46349.5</x:v>
      </x:c>
      <x:c r="O91" s="359" t="str">
        <x:f>Daily!D19</x:f>
        <x:v>Skill A + interval circuit</x:v>
      </x:c>
      <x:c r="P91" s="371" t="str">
        <x:v>Upside-down hanging shoulder/ab work</x:v>
      </x:c>
      <x:c r="Q91" s="360" t="str">
        <x:v>seconds</x:v>
      </x:c>
      <x:c r="R91" s="365" t="n">
        <x:v>5</x:v>
      </x:c>
      <x:c r="S91" s="365" t="n">
        <x:v>30</x:v>
      </x:c>
      <x:c r="T91" s="366" t="n">
        <x:f>IF(OR(COUNTIFS(Strategy!$B$36:$B$90,P91)&lt;&gt;1,COUNTIFS(Strategy!$B$36:$B$90,P91,Strategy!$C$36:$C$90,"&lt;&gt;")&lt;&gt;1),"",INDEX(Strategy!$C$36:$C$90,MATCH(P91,Strategy!$B$36:$B$90,0)))</x:f>
        <x:v>5</x:v>
      </x:c>
      <x:c r="U91" s="366" t="n">
        <x:f>IF(OR(COUNT(R91:S91)&lt;&gt;2,R91&lt;0,R91&lt;&gt;INT(R91),S91&lt;=0),"",R91*S91)</x:f>
        <x:v>150</x:v>
      </x:c>
      <x:c r="V91" s="388" t="n">
        <x:f>IF(OR(NOT(ISNUMBER(U91)),NOT(ISNUMBER($O$1)),$O$1&lt;=0),"",IF(Q91="seconds",U91/$O$1,IF(Q91="reps/leg",2*U91,IF(Q91="reps",U91,""))))</x:f>
        <x:v>50</x:v>
      </x:c>
      <x:c r="W91" s="359" t="str">
        <x:f>IF(OR(COUNTIFS(Strategy!$B$36:$B$90,P91)&lt;&gt;1,COUNTIFS(Strategy!$B$36:$B$90,P91,Strategy!$D$36:$D$90,"&lt;&gt;")&lt;&gt;1),"",INDEX(Strategy!$D$36:$D$90,MATCH(P91,Strategy!$B$36:$B$90,0)))</x:f>
        <x:v>seconds</x:v>
      </x:c>
      <x:c r="X91" s="369" t="n">
        <x:f>IF(OR(COUNT(T91:V91)&lt;&gt;3,Q91&lt;&gt;W91,T91&lt;0,T91&gt;10),"",T91*V91)</x:f>
        <x:v>250</x:v>
      </x:c>
      <x:c r="Y91" s="373" t="str">
        <x:v>Core: one 30-second work interval per round; rest excluded.</x:v>
      </x:c>
    </x:row>
    <x:row r="92" ht="15" hidden="0" customHeight="1">
      <x:c r="A92" s="327" t="n">
        <x:f>Daily!A28</x:f>
        <x:v>46364.5</x:v>
      </x:c>
      <x:c r="B92" s="322" t="str">
        <x:f>Daily!D28</x:f>
        <x:v>Handstand technique</x:v>
      </x:c>
      <x:c r="C92" s="322" t="str">
        <x:v>C · Wall handstand line drill</x:v>
      </x:c>
      <x:c r="D92" s="322" t="str">
        <x:v>seconds</x:v>
      </x:c>
      <x:c r="E92" s="324" t="b">
        <x:v>1</x:v>
      </x:c>
      <x:c r="F92" s="330" t="n">
        <x:v>30</x:v>
      </x:c>
      <x:c r="G92" s="331" t="str">
        <x:f>IF(AND(OR(Daily!T28=TRUE,Daily!AB28=TRUE),COUNT(Daily!U28,Daily!V28)&gt;0),SUM(Daily!U28,Daily!V28)*86400,"")</x:f>
      </x:c>
      <x:c r="H92" s="331" t="n">
        <x:f>IF(AND(E92=TRUE,ISNUMBER(F92),F92&gt;0),100,"")</x:f>
        <x:v>100</x:v>
      </x:c>
      <x:c r="I92" s="331" t="str">
        <x:f>IF(AND(ISNUMBER(H92),ISNUMBER(G92)),IF(J92="lower",IF(G92&gt;0,100*F92/G92,""),100*G92/F92),"")</x:f>
      </x:c>
      <x:c r="J92" s="325" t="str">
        <x:v>higher</x:v>
      </x:c>
      <x:c r="N92" s="364" t="n">
        <x:f>Daily!A20</x:f>
        <x:v>46350.5</x:v>
      </x:c>
      <x:c r="O92" s="361" t="str">
        <x:f>Daily!D20</x:f>
        <x:v>Handstand technique</x:v>
      </x:c>
      <x:c r="P92" s="372" t="str">
        <x:v>Wrist/shoulder mobility</x:v>
      </x:c>
      <x:c r="Q92" s="362" t="str">
        <x:v>seconds</x:v>
      </x:c>
      <x:c r="R92" s="367" t="n">
        <x:v>1</x:v>
      </x:c>
      <x:c r="S92" s="367" t="n">
        <x:v>120</x:v>
      </x:c>
      <x:c r="T92" s="368" t="n">
        <x:f>IF(OR(COUNTIFS(Strategy!$B$36:$B$90,P92)&lt;&gt;1,COUNTIFS(Strategy!$B$36:$B$90,P92,Strategy!$C$36:$C$90,"&lt;&gt;")&lt;&gt;1),"",INDEX(Strategy!$C$36:$C$90,MATCH(P92,Strategy!$B$36:$B$90,0)))</x:f>
        <x:v>1</x:v>
      </x:c>
      <x:c r="U92" s="368" t="n">
        <x:f>IF(OR(COUNT(R92:S92)&lt;&gt;2,R92&lt;0,R92&lt;&gt;INT(R92),S92&lt;=0),"",R92*S92)</x:f>
        <x:v>120</x:v>
      </x:c>
      <x:c r="V92" s="389" t="n">
        <x:f>IF(OR(NOT(ISNUMBER(U92)),NOT(ISNUMBER($O$1)),$O$1&lt;=0),"",IF(Q92="seconds",U92/$O$1,IF(Q92="reps/leg",2*U92,IF(Q92="reps",U92,""))))</x:f>
        <x:v>40</x:v>
      </x:c>
      <x:c r="W92" s="361" t="str">
        <x:f>IF(OR(COUNTIFS(Strategy!$B$36:$B$90,P92)&lt;&gt;1,COUNTIFS(Strategy!$B$36:$B$90,P92,Strategy!$D$36:$D$90,"&lt;&gt;")&lt;&gt;1),"",INDEX(Strategy!$D$36:$D$90,MATCH(P92,Strategy!$B$36:$B$90,0)))</x:f>
        <x:v>seconds</x:v>
      </x:c>
      <x:c r="X92" s="370" t="n">
        <x:f>IF(OR(COUNT(T92:V92)&lt;&gt;3,Q92&lt;&gt;W92,T92&lt;0,T92&gt;10),"",T92*V92)</x:f>
        <x:v>40</x:v>
      </x:c>
      <x:c r="Y92" s="374" t="str"/>
    </x:row>
    <x:row r="93" ht="15" hidden="0" customHeight="1">
      <x:c r="A93" s="326" t="n">
        <x:f>Daily!A29</x:f>
        <x:v>46366.5</x:v>
      </x:c>
      <x:c r="B93" s="318" t="str">
        <x:f>Daily!D29</x:f>
        <x:v>Skill B + circuit</x:v>
      </x:c>
      <x:c r="C93" s="318" t="str">
        <x:v>A · Deeper wall HSPU</x:v>
      </x:c>
      <x:c r="D93" s="318" t="str">
        <x:v>reps</x:v>
      </x:c>
      <x:c r="E93" s="320" t="b">
        <x:v>1</x:v>
      </x:c>
      <x:c r="F93" s="328" t="n">
        <x:v>6</x:v>
      </x:c>
      <x:c r="G93" s="329" t="str">
        <x:f>IF(AND(OR(Daily!H29=TRUE,Daily!AB29=TRUE),COUNT(Daily!I29,Daily!J29,Daily!K29)&gt;0),SUM(Daily!I29,Daily!J29,Daily!K29),"")</x:f>
      </x:c>
      <x:c r="H93" s="329" t="n">
        <x:f>IF(AND(E93=TRUE,ISNUMBER(F93),F93&gt;0),100,"")</x:f>
        <x:v>100</x:v>
      </x:c>
      <x:c r="I93" s="329" t="str">
        <x:f>IF(AND(ISNUMBER(H93),ISNUMBER(G93)),IF(J93="lower",IF(G93&gt;0,100*F93/G93,""),100*G93/F93),"")</x:f>
      </x:c>
      <x:c r="J93" s="321" t="str">
        <x:v>higher</x:v>
      </x:c>
      <x:c r="N93" s="363" t="n">
        <x:f>Daily!A20</x:f>
        <x:v>46350.5</x:v>
      </x:c>
      <x:c r="O93" s="359" t="str">
        <x:f>Daily!D20</x:f>
        <x:v>Handstand technique</x:v>
      </x:c>
      <x:c r="P93" s="371" t="str">
        <x:v>Easy chest-to-wall hold</x:v>
      </x:c>
      <x:c r="Q93" s="360" t="str">
        <x:v>seconds</x:v>
      </x:c>
      <x:c r="R93" s="365" t="n">
        <x:v>3</x:v>
      </x:c>
      <x:c r="S93" s="365" t="n">
        <x:v>15</x:v>
      </x:c>
      <x:c r="T93" s="366" t="n">
        <x:f>IF(OR(COUNTIFS(Strategy!$B$36:$B$90,P93)&lt;&gt;1,COUNTIFS(Strategy!$B$36:$B$90,P93,Strategy!$C$36:$C$90,"&lt;&gt;")&lt;&gt;1),"",INDEX(Strategy!$C$36:$C$90,MATCH(P93,Strategy!$B$36:$B$90,0)))</x:f>
        <x:v>1</x:v>
      </x:c>
      <x:c r="U93" s="366" t="n">
        <x:f>IF(OR(COUNT(R93:S93)&lt;&gt;2,R93&lt;0,R93&lt;&gt;INT(R93),S93&lt;=0),"",R93*S93)</x:f>
        <x:v>45</x:v>
      </x:c>
      <x:c r="V93" s="388" t="n">
        <x:f>IF(OR(NOT(ISNUMBER(U93)),NOT(ISNUMBER($O$1)),$O$1&lt;=0),"",IF(Q93="seconds",U93/$O$1,IF(Q93="reps/leg",2*U93,IF(Q93="reps",U93,""))))</x:f>
        <x:v>15</x:v>
      </x:c>
      <x:c r="W93" s="359" t="str">
        <x:f>IF(OR(COUNTIFS(Strategy!$B$36:$B$90,P93)&lt;&gt;1,COUNTIFS(Strategy!$B$36:$B$90,P93,Strategy!$D$36:$D$90,"&lt;&gt;")&lt;&gt;1),"",INDEX(Strategy!$D$36:$D$90,MATCH(P93,Strategy!$B$36:$B$90,0)))</x:f>
        <x:v>seconds</x:v>
      </x:c>
      <x:c r="X93" s="369" t="n">
        <x:f>IF(OR(COUNT(T93:V93)&lt;&gt;3,Q93&lt;&gt;W93,T93&lt;0,T93&gt;10),"",T93*V93)</x:f>
        <x:v>15</x:v>
      </x:c>
      <x:c r="Y93" s="373" t="str"/>
    </x:row>
    <x:row r="94" ht="15" hidden="0" customHeight="1">
      <x:c r="A94" s="327" t="n">
        <x:f>Daily!A29</x:f>
        <x:v>46366.5</x:v>
      </x:c>
      <x:c r="B94" s="322" t="str">
        <x:f>Daily!D29</x:f>
        <x:v>Skill B + circuit</x:v>
      </x:c>
      <x:c r="C94" s="322" t="str">
        <x:v>B · Easy wall handstand</x:v>
      </x:c>
      <x:c r="D94" s="322" t="str">
        <x:v>seconds</x:v>
      </x:c>
      <x:c r="E94" s="324" t="b">
        <x:v>1</x:v>
      </x:c>
      <x:c r="F94" s="330" t="n">
        <x:v>40</x:v>
      </x:c>
      <x:c r="G94" s="331" t="str">
        <x:f>IF(AND(OR(Daily!N29=TRUE,Daily!AB29=TRUE),COUNT(Daily!O29,Daily!P29)&gt;0),SUM(Daily!O29,Daily!P29)*86400,"")</x:f>
      </x:c>
      <x:c r="H94" s="331" t="n">
        <x:f>IF(AND(E94=TRUE,ISNUMBER(F94),F94&gt;0),100,"")</x:f>
        <x:v>100</x:v>
      </x:c>
      <x:c r="I94" s="331" t="str">
        <x:f>IF(AND(ISNUMBER(H94),ISNUMBER(G94)),IF(J94="lower",IF(G94&gt;0,100*F94/G94,""),100*G94/F94),"")</x:f>
      </x:c>
      <x:c r="J94" s="325" t="str">
        <x:v>higher</x:v>
      </x:c>
      <x:c r="N94" s="364" t="n">
        <x:f>Daily!A20</x:f>
        <x:v>46350.5</x:v>
      </x:c>
      <x:c r="O94" s="361" t="str">
        <x:f>Daily!D20</x:f>
        <x:v>Handstand technique</x:v>
      </x:c>
      <x:c r="P94" s="372" t="str">
        <x:v>Wall handstand line drill</x:v>
      </x:c>
      <x:c r="Q94" s="362" t="str">
        <x:v>seconds</x:v>
      </x:c>
      <x:c r="R94" s="367" t="n">
        <x:v>2</x:v>
      </x:c>
      <x:c r="S94" s="367" t="n">
        <x:v>15</x:v>
      </x:c>
      <x:c r="T94" s="368" t="n">
        <x:f>IF(OR(COUNTIFS(Strategy!$B$36:$B$90,P94)&lt;&gt;1,COUNTIFS(Strategy!$B$36:$B$90,P94,Strategy!$C$36:$C$90,"&lt;&gt;")&lt;&gt;1),"",INDEX(Strategy!$C$36:$C$90,MATCH(P94,Strategy!$B$36:$B$90,0)))</x:f>
        <x:v>1</x:v>
      </x:c>
      <x:c r="U94" s="368" t="n">
        <x:f>IF(OR(COUNT(R94:S94)&lt;&gt;2,R94&lt;0,R94&lt;&gt;INT(R94),S94&lt;=0),"",R94*S94)</x:f>
        <x:v>30</x:v>
      </x:c>
      <x:c r="V94" s="389" t="n">
        <x:f>IF(OR(NOT(ISNUMBER(U94)),NOT(ISNUMBER($O$1)),$O$1&lt;=0),"",IF(Q94="seconds",U94/$O$1,IF(Q94="reps/leg",2*U94,IF(Q94="reps",U94,""))))</x:f>
        <x:v>10</x:v>
      </x:c>
      <x:c r="W94" s="361" t="str">
        <x:f>IF(OR(COUNTIFS(Strategy!$B$36:$B$90,P94)&lt;&gt;1,COUNTIFS(Strategy!$B$36:$B$90,P94,Strategy!$D$36:$D$90,"&lt;&gt;")&lt;&gt;1),"",INDEX(Strategy!$D$36:$D$90,MATCH(P94,Strategy!$B$36:$B$90,0)))</x:f>
        <x:v>seconds</x:v>
      </x:c>
      <x:c r="X94" s="370" t="n">
        <x:f>IF(OR(COUNT(T94:V94)&lt;&gt;3,Q94&lt;&gt;W94,T94&lt;0,T94&gt;10),"",T94*V94)</x:f>
        <x:v>10</x:v>
      </x:c>
      <x:c r="Y94" s="374" t="str"/>
    </x:row>
    <x:row r="95" ht="15" hidden="0" customHeight="1">
      <x:c r="A95" s="326" t="n">
        <x:f>Daily!A29</x:f>
        <x:v>46366.5</x:v>
      </x:c>
      <x:c r="B95" s="318" t="str">
        <x:f>Daily!D29</x:f>
        <x:v>Skill B + circuit</x:v>
      </x:c>
      <x:c r="C95" s="318" t="str">
        <x:v>C · Unassisted pistol to target</x:v>
      </x:c>
      <x:c r="D95" s="318" t="str">
        <x:v>reps/leg</x:v>
      </x:c>
      <x:c r="E95" s="320" t="b">
        <x:v>1</x:v>
      </x:c>
      <x:c r="F95" s="328" t="n">
        <x:v>3</x:v>
      </x:c>
      <x:c r="G95" s="329" t="str">
        <x:f>IF(AND(OR(Daily!T29=TRUE,Daily!AB29=TRUE),COUNT(Daily!U29,Daily!V29,Daily!W29)&gt;0),SUM(Daily!U29,Daily!V29,Daily!W29),"")</x:f>
      </x:c>
      <x:c r="H95" s="329" t="n">
        <x:f>IF(AND(E95=TRUE,ISNUMBER(F95),F95&gt;0),100,"")</x:f>
        <x:v>100</x:v>
      </x:c>
      <x:c r="I95" s="329" t="str">
        <x:f>IF(AND(ISNUMBER(H95),ISNUMBER(G95)),IF(J95="lower",IF(G95&gt;0,100*F95/G95,""),100*G95/F95),"")</x:f>
      </x:c>
      <x:c r="J95" s="321" t="str">
        <x:v>higher</x:v>
      </x:c>
      <x:c r="N95" s="363" t="n">
        <x:f>Daily!A21</x:f>
        <x:v>46352.5</x:v>
      </x:c>
      <x:c r="O95" s="359" t="str">
        <x:f>Daily!D21</x:f>
        <x:v>Skill B + circuit</x:v>
      </x:c>
      <x:c r="P95" s="371" t="str">
        <x:v>Deficit pike push-up</x:v>
      </x:c>
      <x:c r="Q95" s="360" t="str">
        <x:v>reps</x:v>
      </x:c>
      <x:c r="R95" s="365" t="n">
        <x:v>3</x:v>
      </x:c>
      <x:c r="S95" s="365" t="n">
        <x:v>4</x:v>
      </x:c>
      <x:c r="T95" s="366" t="n">
        <x:f>IF(OR(COUNTIFS(Strategy!$B$36:$B$90,P95)&lt;&gt;1,COUNTIFS(Strategy!$B$36:$B$90,P95,Strategy!$C$36:$C$90,"&lt;&gt;")&lt;&gt;1),"",INDEX(Strategy!$C$36:$C$90,MATCH(P95,Strategy!$B$36:$B$90,0)))</x:f>
        <x:v>6</x:v>
      </x:c>
      <x:c r="U95" s="366" t="n">
        <x:f>IF(OR(COUNT(R95:S95)&lt;&gt;2,R95&lt;0,R95&lt;&gt;INT(R95),S95&lt;=0),"",R95*S95)</x:f>
        <x:v>12</x:v>
      </x:c>
      <x:c r="V95" s="388" t="n">
        <x:f>IF(OR(NOT(ISNUMBER(U95)),NOT(ISNUMBER($O$1)),$O$1&lt;=0),"",IF(Q95="seconds",U95/$O$1,IF(Q95="reps/leg",2*U95,IF(Q95="reps",U95,""))))</x:f>
        <x:v>12</x:v>
      </x:c>
      <x:c r="W95" s="359" t="str">
        <x:f>IF(OR(COUNTIFS(Strategy!$B$36:$B$90,P95)&lt;&gt;1,COUNTIFS(Strategy!$B$36:$B$90,P95,Strategy!$D$36:$D$90,"&lt;&gt;")&lt;&gt;1),"",INDEX(Strategy!$D$36:$D$90,MATCH(P95,Strategy!$B$36:$B$90,0)))</x:f>
        <x:v>reps</x:v>
      </x:c>
      <x:c r="X95" s="369" t="n">
        <x:f>IF(OR(COUNT(T95:V95)&lt;&gt;3,Q95&lt;&gt;W95,T95&lt;0,T95&gt;10),"",T95*V95)</x:f>
        <x:v>72</x:v>
      </x:c>
      <x:c r="Y95" s="373" t="str"/>
    </x:row>
    <x:row r="96" ht="15" hidden="0" customHeight="1">
      <x:c r="A96" s="327" t="n">
        <x:f>Daily!A29</x:f>
        <x:v>46366.5</x:v>
      </x:c>
      <x:c r="B96" s="322" t="str">
        <x:f>Daily!D29</x:f>
        <x:v>Skill B + circuit</x:v>
      </x:c>
      <x:c r="C96" s="322" t="str">
        <x:v>Core</x:v>
      </x:c>
      <x:c r="D96" s="322" t="str">
        <x:v>rounds</x:v>
      </x:c>
      <x:c r="E96" s="324" t="b">
        <x:v>1</x:v>
      </x:c>
      <x:c r="F96" s="330" t="n">
        <x:v>5</x:v>
      </x:c>
      <x:c r="G96" s="331" t="str">
        <x:f>IF(AND(OR(Daily!Z29=TRUE,Daily!AB29=TRUE),COUNT(Daily!AA29)&gt;0),SUM(Daily!AA29),"")</x:f>
      </x:c>
      <x:c r="H96" s="331" t="n">
        <x:f>IF(AND(E96=TRUE,ISNUMBER(F96),F96&gt;0),100,"")</x:f>
        <x:v>100</x:v>
      </x:c>
      <x:c r="I96" s="331" t="str">
        <x:f>IF(AND(ISNUMBER(H96),ISNUMBER(G96)),IF(J96="lower",IF(G96&gt;0,100*F96/G96,""),100*G96/F96),"")</x:f>
      </x:c>
      <x:c r="J96" s="325" t="str">
        <x:v>higher</x:v>
      </x:c>
      <x:c r="N96" s="364" t="n">
        <x:f>Daily!A21</x:f>
        <x:v>46352.5</x:v>
      </x:c>
      <x:c r="O96" s="361" t="str">
        <x:f>Daily!D21</x:f>
        <x:v>Skill B + circuit</x:v>
      </x:c>
      <x:c r="P96" s="372" t="str">
        <x:v>Wall HSPU negative</x:v>
      </x:c>
      <x:c r="Q96" s="362" t="str">
        <x:v>reps</x:v>
      </x:c>
      <x:c r="R96" s="367" t="n">
        <x:v>3</x:v>
      </x:c>
      <x:c r="S96" s="367" t="n">
        <x:v>2</x:v>
      </x:c>
      <x:c r="T96" s="368" t="n">
        <x:f>IF(OR(COUNTIFS(Strategy!$B$36:$B$90,P96)&lt;&gt;1,COUNTIFS(Strategy!$B$36:$B$90,P96,Strategy!$C$36:$C$90,"&lt;&gt;")&lt;&gt;1),"",INDEX(Strategy!$C$36:$C$90,MATCH(P96,Strategy!$B$36:$B$90,0)))</x:f>
        <x:v>7</x:v>
      </x:c>
      <x:c r="U96" s="368" t="n">
        <x:f>IF(OR(COUNT(R96:S96)&lt;&gt;2,R96&lt;0,R96&lt;&gt;INT(R96),S96&lt;=0),"",R96*S96)</x:f>
        <x:v>6</x:v>
      </x:c>
      <x:c r="V96" s="389" t="n">
        <x:f>IF(OR(NOT(ISNUMBER(U96)),NOT(ISNUMBER($O$1)),$O$1&lt;=0),"",IF(Q96="seconds",U96/$O$1,IF(Q96="reps/leg",2*U96,IF(Q96="reps",U96,""))))</x:f>
        <x:v>6</x:v>
      </x:c>
      <x:c r="W96" s="361" t="str">
        <x:f>IF(OR(COUNTIFS(Strategy!$B$36:$B$90,P96)&lt;&gt;1,COUNTIFS(Strategy!$B$36:$B$90,P96,Strategy!$D$36:$D$90,"&lt;&gt;")&lt;&gt;1),"",INDEX(Strategy!$D$36:$D$90,MATCH(P96,Strategy!$B$36:$B$90,0)))</x:f>
        <x:v>reps</x:v>
      </x:c>
      <x:c r="X96" s="370" t="n">
        <x:f>IF(OR(COUNT(T96:V96)&lt;&gt;3,Q96&lt;&gt;W96,T96&lt;0,T96&gt;10),"",T96*V96)</x:f>
        <x:v>42</x:v>
      </x:c>
      <x:c r="Y96" s="374" t="str">
        <x:v>Count reps; the 3-second lowering tempo is not added as hold time.</x:v>
      </x:c>
    </x:row>
    <x:row r="97" ht="15" hidden="0" customHeight="1">
      <x:c r="A97" s="326" t="n">
        <x:f>Daily!A30</x:f>
        <x:v>46368.5</x:v>
      </x:c>
      <x:c r="B97" s="318" t="str">
        <x:f>Daily!D30</x:f>
        <x:v>Skill micro-session</x:v>
      </x:c>
      <x:c r="C97" s="318" t="str">
        <x:v>A · Wrist/shoulder mobility</x:v>
      </x:c>
      <x:c r="D97" s="318" t="str">
        <x:v>seconds</x:v>
      </x:c>
      <x:c r="E97" s="320" t="b">
        <x:v>1</x:v>
      </x:c>
      <x:c r="F97" s="328" t="n">
        <x:v>120</x:v>
      </x:c>
      <x:c r="G97" s="329" t="str">
        <x:f>IF(AND(OR(Daily!H30=TRUE,Daily!AB30=TRUE),COUNT(Daily!I30)&gt;0),SUM(Daily!I30)*86400,"")</x:f>
      </x:c>
      <x:c r="H97" s="329" t="n">
        <x:f>IF(AND(E97=TRUE,ISNUMBER(F97),F97&gt;0),100,"")</x:f>
        <x:v>100</x:v>
      </x:c>
      <x:c r="I97" s="329" t="str">
        <x:f>IF(AND(ISNUMBER(H97),ISNUMBER(G97)),IF(J97="lower",IF(G97&gt;0,100*F97/G97,""),100*G97/F97),"")</x:f>
      </x:c>
      <x:c r="J97" s="321" t="str">
        <x:v>higher</x:v>
      </x:c>
      <x:c r="N97" s="363" t="n">
        <x:f>Daily!A21</x:f>
        <x:v>46352.5</x:v>
      </x:c>
      <x:c r="O97" s="359" t="str">
        <x:f>Daily!D21</x:f>
        <x:v>Skill B + circuit</x:v>
      </x:c>
      <x:c r="P97" s="371" t="str">
        <x:v>Counterweight pistol</x:v>
      </x:c>
      <x:c r="Q97" s="360" t="str">
        <x:v>reps/leg</x:v>
      </x:c>
      <x:c r="R97" s="365" t="n">
        <x:v>3</x:v>
      </x:c>
      <x:c r="S97" s="365" t="n">
        <x:v>4</x:v>
      </x:c>
      <x:c r="T97" s="366" t="n">
        <x:f>IF(OR(COUNTIFS(Strategy!$B$36:$B$90,P97)&lt;&gt;1,COUNTIFS(Strategy!$B$36:$B$90,P97,Strategy!$C$36:$C$90,"&lt;&gt;")&lt;&gt;1),"",INDEX(Strategy!$C$36:$C$90,MATCH(P97,Strategy!$B$36:$B$90,0)))</x:f>
        <x:v>4</x:v>
      </x:c>
      <x:c r="U97" s="366" t="n">
        <x:f>IF(OR(COUNT(R97:S97)&lt;&gt;2,R97&lt;0,R97&lt;&gt;INT(R97),S97&lt;=0),"",R97*S97)</x:f>
        <x:v>12</x:v>
      </x:c>
      <x:c r="V97" s="388" t="n">
        <x:f>IF(OR(NOT(ISNUMBER(U97)),NOT(ISNUMBER($O$1)),$O$1&lt;=0),"",IF(Q97="seconds",U97/$O$1,IF(Q97="reps/leg",2*U97,IF(Q97="reps",U97,""))))</x:f>
        <x:v>24</x:v>
      </x:c>
      <x:c r="W97" s="359" t="str">
        <x:f>IF(OR(COUNTIFS(Strategy!$B$36:$B$90,P97)&lt;&gt;1,COUNTIFS(Strategy!$B$36:$B$90,P97,Strategy!$D$36:$D$90,"&lt;&gt;")&lt;&gt;1),"",INDEX(Strategy!$D$36:$D$90,MATCH(P97,Strategy!$B$36:$B$90,0)))</x:f>
        <x:v>reps/leg</x:v>
      </x:c>
      <x:c r="X97" s="369" t="n">
        <x:f>IF(OR(COUNT(T97:V97)&lt;&gt;3,Q97&lt;&gt;W97,T97&lt;0,T97&gt;10),"",T97*V97)</x:f>
        <x:v>96</x:v>
      </x:c>
      <x:c r="Y97" s="373" t="str"/>
    </x:row>
    <x:row r="98" ht="15" hidden="0" customHeight="1">
      <x:c r="A98" s="327" t="n">
        <x:f>Daily!A30</x:f>
        <x:v>46368.5</x:v>
      </x:c>
      <x:c r="B98" s="322" t="str">
        <x:f>Daily!D30</x:f>
        <x:v>Skill micro-session</x:v>
      </x:c>
      <x:c r="C98" s="322" t="str">
        <x:v>B · Easy chest-to-wall hold</x:v>
      </x:c>
      <x:c r="D98" s="322" t="str">
        <x:v>seconds</x:v>
      </x:c>
      <x:c r="E98" s="324" t="b">
        <x:v>1</x:v>
      </x:c>
      <x:c r="F98" s="330" t="n">
        <x:v>45</x:v>
      </x:c>
      <x:c r="G98" s="331" t="str">
        <x:f>IF(AND(OR(Daily!N30=TRUE,Daily!AB30=TRUE),COUNT(Daily!O30,Daily!P30,Daily!Q30)&gt;0),SUM(Daily!O30,Daily!P30,Daily!Q30)*86400,"")</x:f>
      </x:c>
      <x:c r="H98" s="331" t="n">
        <x:f>IF(AND(E98=TRUE,ISNUMBER(F98),F98&gt;0),100,"")</x:f>
        <x:v>100</x:v>
      </x:c>
      <x:c r="I98" s="331" t="str">
        <x:f>IF(AND(ISNUMBER(H98),ISNUMBER(G98)),IF(J98="lower",IF(G98&gt;0,100*F98/G98,""),100*G98/F98),"")</x:f>
      </x:c>
      <x:c r="J98" s="325" t="str">
        <x:v>higher</x:v>
      </x:c>
      <x:c r="N98" s="364" t="n">
        <x:f>Daily!A21</x:f>
        <x:v>46352.5</x:v>
      </x:c>
      <x:c r="O98" s="361" t="str">
        <x:f>Daily!D21</x:f>
        <x:v>Skill B + circuit</x:v>
      </x:c>
      <x:c r="P98" s="372" t="str">
        <x:v>Pull-up</x:v>
      </x:c>
      <x:c r="Q98" s="362" t="str">
        <x:v>seconds</x:v>
      </x:c>
      <x:c r="R98" s="367" t="n">
        <x:v>5</x:v>
      </x:c>
      <x:c r="S98" s="367" t="n">
        <x:v>30</x:v>
      </x:c>
      <x:c r="T98" s="368" t="n">
        <x:f>IF(OR(COUNTIFS(Strategy!$B$36:$B$90,P98)&lt;&gt;1,COUNTIFS(Strategy!$B$36:$B$90,P98,Strategy!$C$36:$C$90,"&lt;&gt;")&lt;&gt;1),"",INDEX(Strategy!$C$36:$C$90,MATCH(P98,Strategy!$B$36:$B$90,0)))</x:f>
        <x:v>6</x:v>
      </x:c>
      <x:c r="U98" s="368" t="n">
        <x:f>IF(OR(COUNT(R98:S98)&lt;&gt;2,R98&lt;0,R98&lt;&gt;INT(R98),S98&lt;=0),"",R98*S98)</x:f>
        <x:v>150</x:v>
      </x:c>
      <x:c r="V98" s="389" t="n">
        <x:f>IF(OR(NOT(ISNUMBER(U98)),NOT(ISNUMBER($O$1)),$O$1&lt;=0),"",IF(Q98="seconds",U98/$O$1,IF(Q98="reps/leg",2*U98,IF(Q98="reps",U98,""))))</x:f>
        <x:v>50</x:v>
      </x:c>
      <x:c r="W98" s="361" t="str">
        <x:f>IF(OR(COUNTIFS(Strategy!$B$36:$B$90,P98)&lt;&gt;1,COUNTIFS(Strategy!$B$36:$B$90,P98,Strategy!$D$36:$D$90,"&lt;&gt;")&lt;&gt;1),"",INDEX(Strategy!$D$36:$D$90,MATCH(P98,Strategy!$B$36:$B$90,0)))</x:f>
        <x:v>seconds</x:v>
      </x:c>
      <x:c r="X98" s="370" t="n">
        <x:f>IF(OR(COUNT(T98:V98)&lt;&gt;3,Q98&lt;&gt;W98,T98&lt;0,T98&gt;10),"",T98*V98)</x:f>
        <x:v>300</x:v>
      </x:c>
      <x:c r="Y98" s="374" t="str">
        <x:v>Core: one 30-second work interval per round; rest excluded.</x:v>
      </x:c>
    </x:row>
    <x:row r="99" ht="15" hidden="0" customHeight="1">
      <x:c r="A99" s="326" t="n">
        <x:f>Daily!A30</x:f>
        <x:v>46368.5</x:v>
      </x:c>
      <x:c r="B99" s="318" t="str">
        <x:f>Daily!D30</x:f>
        <x:v>Skill micro-session</x:v>
      </x:c>
      <x:c r="C99" s="318" t="str">
        <x:v>C · Wall handstand line drill</x:v>
      </x:c>
      <x:c r="D99" s="318" t="str">
        <x:v>seconds</x:v>
      </x:c>
      <x:c r="E99" s="320" t="b">
        <x:v>1</x:v>
      </x:c>
      <x:c r="F99" s="328" t="n">
        <x:v>45</x:v>
      </x:c>
      <x:c r="G99" s="329" t="str">
        <x:f>IF(AND(OR(Daily!T30=TRUE,Daily!AB30=TRUE),COUNT(Daily!U30,Daily!V30,Daily!W30)&gt;0),SUM(Daily!U30,Daily!V30,Daily!W30)*86400,"")</x:f>
      </x:c>
      <x:c r="H99" s="329" t="n">
        <x:f>IF(AND(E99=TRUE,ISNUMBER(F99),F99&gt;0),100,"")</x:f>
        <x:v>100</x:v>
      </x:c>
      <x:c r="I99" s="329" t="str">
        <x:f>IF(AND(ISNUMBER(H99),ISNUMBER(G99)),IF(J99="lower",IF(G99&gt;0,100*F99/G99,""),100*G99/F99),"")</x:f>
      </x:c>
      <x:c r="J99" s="321" t="str">
        <x:v>higher</x:v>
      </x:c>
      <x:c r="N99" s="363" t="n">
        <x:f>Daily!A21</x:f>
        <x:v>46352.5</x:v>
      </x:c>
      <x:c r="O99" s="359" t="str">
        <x:f>Daily!D21</x:f>
        <x:v>Skill B + circuit</x:v>
      </x:c>
      <x:c r="P99" s="371" t="str">
        <x:v>Push-up</x:v>
      </x:c>
      <x:c r="Q99" s="360" t="str">
        <x:v>seconds</x:v>
      </x:c>
      <x:c r="R99" s="365" t="n">
        <x:v>5</x:v>
      </x:c>
      <x:c r="S99" s="365" t="n">
        <x:v>30</x:v>
      </x:c>
      <x:c r="T99" s="366" t="n">
        <x:f>IF(OR(COUNTIFS(Strategy!$B$36:$B$90,P99)&lt;&gt;1,COUNTIFS(Strategy!$B$36:$B$90,P99,Strategy!$C$36:$C$90,"&lt;&gt;")&lt;&gt;1),"",INDEX(Strategy!$C$36:$C$90,MATCH(P99,Strategy!$B$36:$B$90,0)))</x:f>
        <x:v>4</x:v>
      </x:c>
      <x:c r="U99" s="366" t="n">
        <x:f>IF(OR(COUNT(R99:S99)&lt;&gt;2,R99&lt;0,R99&lt;&gt;INT(R99),S99&lt;=0),"",R99*S99)</x:f>
        <x:v>150</x:v>
      </x:c>
      <x:c r="V99" s="388" t="n">
        <x:f>IF(OR(NOT(ISNUMBER(U99)),NOT(ISNUMBER($O$1)),$O$1&lt;=0),"",IF(Q99="seconds",U99/$O$1,IF(Q99="reps/leg",2*U99,IF(Q99="reps",U99,""))))</x:f>
        <x:v>50</x:v>
      </x:c>
      <x:c r="W99" s="359" t="str">
        <x:f>IF(OR(COUNTIFS(Strategy!$B$36:$B$90,P99)&lt;&gt;1,COUNTIFS(Strategy!$B$36:$B$90,P99,Strategy!$D$36:$D$90,"&lt;&gt;")&lt;&gt;1),"",INDEX(Strategy!$D$36:$D$90,MATCH(P99,Strategy!$B$36:$B$90,0)))</x:f>
        <x:v>seconds</x:v>
      </x:c>
      <x:c r="X99" s="369" t="n">
        <x:f>IF(OR(COUNT(T99:V99)&lt;&gt;3,Q99&lt;&gt;W99,T99&lt;0,T99&gt;10),"",T99*V99)</x:f>
        <x:v>200</x:v>
      </x:c>
      <x:c r="Y99" s="373" t="str">
        <x:v>Core: one 30-second work interval per round; rest excluded.</x:v>
      </x:c>
    </x:row>
    <x:row r="100" ht="15" hidden="0" customHeight="1">
      <x:c r="A100" s="327" t="n">
        <x:f>Daily!A31</x:f>
        <x:v>46370.5</x:v>
      </x:c>
      <x:c r="B100" s="322" t="str">
        <x:f>Daily!D31</x:f>
        <x:v>Skill A + interval circuit</x:v>
      </x:c>
      <x:c r="C100" s="322" t="str">
        <x:v>A · Easy high pull</x:v>
      </x:c>
      <x:c r="D100" s="322" t="str">
        <x:v>reps</x:v>
      </x:c>
      <x:c r="E100" s="324" t="b">
        <x:v>1</x:v>
      </x:c>
      <x:c r="F100" s="330" t="n">
        <x:v>3</x:v>
      </x:c>
      <x:c r="G100" s="331" t="str">
        <x:f>IF(AND(OR(Daily!H31=TRUE,Daily!AB31=TRUE),COUNT(Daily!I31)&gt;0),SUM(Daily!I31),"")</x:f>
      </x:c>
      <x:c r="H100" s="331" t="n">
        <x:f>IF(AND(E100=TRUE,ISNUMBER(F100),F100&gt;0),100,"")</x:f>
        <x:v>100</x:v>
      </x:c>
      <x:c r="I100" s="331" t="str">
        <x:f>IF(AND(ISNUMBER(H100),ISNUMBER(G100)),IF(J100="lower",IF(G100&gt;0,100*F100/G100,""),100*G100/F100),"")</x:f>
      </x:c>
      <x:c r="J100" s="325" t="str">
        <x:v>higher</x:v>
      </x:c>
      <x:c r="N100" s="364" t="n">
        <x:f>Daily!A21</x:f>
        <x:v>46352.5</x:v>
      </x:c>
      <x:c r="O100" s="361" t="str">
        <x:f>Daily!D21</x:f>
        <x:v>Skill B + circuit</x:v>
      </x:c>
      <x:c r="P100" s="372" t="str">
        <x:v>Weighted squat</x:v>
      </x:c>
      <x:c r="Q100" s="362" t="str">
        <x:v>seconds</x:v>
      </x:c>
      <x:c r="R100" s="367" t="n">
        <x:v>5</x:v>
      </x:c>
      <x:c r="S100" s="367" t="n">
        <x:v>30</x:v>
      </x:c>
      <x:c r="T100" s="368" t="n">
        <x:f>IF(OR(COUNTIFS(Strategy!$B$36:$B$90,P100)&lt;&gt;1,COUNTIFS(Strategy!$B$36:$B$90,P100,Strategy!$C$36:$C$90,"&lt;&gt;")&lt;&gt;1),"",INDEX(Strategy!$C$36:$C$90,MATCH(P100,Strategy!$B$36:$B$90,0)))</x:f>
        <x:v>5</x:v>
      </x:c>
      <x:c r="U100" s="368" t="n">
        <x:f>IF(OR(COUNT(R100:S100)&lt;&gt;2,R100&lt;0,R100&lt;&gt;INT(R100),S100&lt;=0),"",R100*S100)</x:f>
        <x:v>150</x:v>
      </x:c>
      <x:c r="V100" s="389" t="n">
        <x:f>IF(OR(NOT(ISNUMBER(U100)),NOT(ISNUMBER($O$1)),$O$1&lt;=0),"",IF(Q100="seconds",U100/$O$1,IF(Q100="reps/leg",2*U100,IF(Q100="reps",U100,""))))</x:f>
        <x:v>50</x:v>
      </x:c>
      <x:c r="W100" s="361" t="str">
        <x:f>IF(OR(COUNTIFS(Strategy!$B$36:$B$90,P100)&lt;&gt;1,COUNTIFS(Strategy!$B$36:$B$90,P100,Strategy!$D$36:$D$90,"&lt;&gt;")&lt;&gt;1),"",INDEX(Strategy!$D$36:$D$90,MATCH(P100,Strategy!$B$36:$B$90,0)))</x:f>
        <x:v>seconds</x:v>
      </x:c>
      <x:c r="X100" s="370" t="n">
        <x:f>IF(OR(COUNT(T100:V100)&lt;&gt;3,Q100&lt;&gt;W100,T100&lt;0,T100&gt;10),"",T100*V100)</x:f>
        <x:v>250</x:v>
      </x:c>
      <x:c r="Y100" s="374" t="str">
        <x:v>Core: one 30-second work interval per round; rest excluded.</x:v>
      </x:c>
    </x:row>
    <x:row r="101" ht="15" hidden="0" customHeight="1">
      <x:c r="A101" s="326" t="n">
        <x:f>Daily!A31</x:f>
        <x:v>46370.5</x:v>
      </x:c>
      <x:c r="B101" s="318" t="str">
        <x:f>Daily!D31</x:f>
        <x:v>Skill A + interval circuit</x:v>
      </x:c>
      <x:c r="C101" s="318" t="str">
        <x:v>B · Easy low-bar transition</x:v>
      </x:c>
      <x:c r="D101" s="318" t="str">
        <x:v>reps</x:v>
      </x:c>
      <x:c r="E101" s="320" t="b">
        <x:v>1</x:v>
      </x:c>
      <x:c r="F101" s="328" t="n">
        <x:v>3</x:v>
      </x:c>
      <x:c r="G101" s="329" t="str">
        <x:f>IF(AND(OR(Daily!N31=TRUE,Daily!AB31=TRUE),COUNT(Daily!O31)&gt;0),SUM(Daily!O31),"")</x:f>
      </x:c>
      <x:c r="H101" s="329" t="n">
        <x:f>IF(AND(E101=TRUE,ISNUMBER(F101),F101&gt;0),100,"")</x:f>
        <x:v>100</x:v>
      </x:c>
      <x:c r="I101" s="329" t="str">
        <x:f>IF(AND(ISNUMBER(H101),ISNUMBER(G101)),IF(J101="lower",IF(G101&gt;0,100*F101/G101,""),100*G101/F101),"")</x:f>
      </x:c>
      <x:c r="J101" s="321" t="str">
        <x:v>higher</x:v>
      </x:c>
      <x:c r="N101" s="363" t="n">
        <x:f>Daily!A21</x:f>
        <x:v>46352.5</x:v>
      </x:c>
      <x:c r="O101" s="359" t="str">
        <x:f>Daily!D21</x:f>
        <x:v>Skill B + circuit</x:v>
      </x:c>
      <x:c r="P101" s="371" t="str">
        <x:v>Upside-down hanging shoulder/ab work</x:v>
      </x:c>
      <x:c r="Q101" s="360" t="str">
        <x:v>seconds</x:v>
      </x:c>
      <x:c r="R101" s="365" t="n">
        <x:v>5</x:v>
      </x:c>
      <x:c r="S101" s="365" t="n">
        <x:v>30</x:v>
      </x:c>
      <x:c r="T101" s="366" t="n">
        <x:f>IF(OR(COUNTIFS(Strategy!$B$36:$B$90,P101)&lt;&gt;1,COUNTIFS(Strategy!$B$36:$B$90,P101,Strategy!$C$36:$C$90,"&lt;&gt;")&lt;&gt;1),"",INDEX(Strategy!$C$36:$C$90,MATCH(P101,Strategy!$B$36:$B$90,0)))</x:f>
        <x:v>5</x:v>
      </x:c>
      <x:c r="U101" s="366" t="n">
        <x:f>IF(OR(COUNT(R101:S101)&lt;&gt;2,R101&lt;0,R101&lt;&gt;INT(R101),S101&lt;=0),"",R101*S101)</x:f>
        <x:v>150</x:v>
      </x:c>
      <x:c r="V101" s="388" t="n">
        <x:f>IF(OR(NOT(ISNUMBER(U101)),NOT(ISNUMBER($O$1)),$O$1&lt;=0),"",IF(Q101="seconds",U101/$O$1,IF(Q101="reps/leg",2*U101,IF(Q101="reps",U101,""))))</x:f>
        <x:v>50</x:v>
      </x:c>
      <x:c r="W101" s="359" t="str">
        <x:f>IF(OR(COUNTIFS(Strategy!$B$36:$B$90,P101)&lt;&gt;1,COUNTIFS(Strategy!$B$36:$B$90,P101,Strategy!$D$36:$D$90,"&lt;&gt;")&lt;&gt;1),"",INDEX(Strategy!$D$36:$D$90,MATCH(P101,Strategy!$B$36:$B$90,0)))</x:f>
        <x:v>seconds</x:v>
      </x:c>
      <x:c r="X101" s="369" t="n">
        <x:f>IF(OR(COUNT(T101:V101)&lt;&gt;3,Q101&lt;&gt;W101,T101&lt;0,T101&gt;10),"",T101*V101)</x:f>
        <x:v>250</x:v>
      </x:c>
      <x:c r="Y101" s="373" t="str">
        <x:v>Core: one 30-second work interval per round; rest excluded.</x:v>
      </x:c>
    </x:row>
    <x:row r="102" ht="15" hidden="0" customHeight="1">
      <x:c r="A102" s="327" t="n">
        <x:f>Daily!A31</x:f>
        <x:v>46370.5</x:v>
      </x:c>
      <x:c r="B102" s="322" t="str">
        <x:f>Daily!D31</x:f>
        <x:v>Skill A + interval circuit</x:v>
      </x:c>
      <x:c r="C102" s="322" t="str">
        <x:v>C · Assisted smooth pistol</x:v>
      </x:c>
      <x:c r="D102" s="322" t="str">
        <x:v>reps/leg</x:v>
      </x:c>
      <x:c r="E102" s="324" t="b">
        <x:v>1</x:v>
      </x:c>
      <x:c r="F102" s="330" t="n">
        <x:v>3</x:v>
      </x:c>
      <x:c r="G102" s="331" t="str">
        <x:f>IF(AND(OR(Daily!T31=TRUE,Daily!AB31=TRUE),COUNT(Daily!U31)&gt;0),SUM(Daily!U31),"")</x:f>
      </x:c>
      <x:c r="H102" s="331" t="n">
        <x:f>IF(AND(E102=TRUE,ISNUMBER(F102),F102&gt;0),100,"")</x:f>
        <x:v>100</x:v>
      </x:c>
      <x:c r="I102" s="331" t="str">
        <x:f>IF(AND(ISNUMBER(H102),ISNUMBER(G102)),IF(J102="lower",IF(G102&gt;0,100*F102/G102,""),100*G102/F102),"")</x:f>
      </x:c>
      <x:c r="J102" s="325" t="str">
        <x:v>higher</x:v>
      </x:c>
      <x:c r="N102" s="364" t="n">
        <x:f>Daily!A22</x:f>
        <x:v>46354.5</x:v>
      </x:c>
      <x:c r="O102" s="361" t="str">
        <x:f>Daily!D22</x:f>
        <x:v>Skill micro-session</x:v>
      </x:c>
      <x:c r="P102" s="372" t="str">
        <x:v>Wrist/shoulder mobility</x:v>
      </x:c>
      <x:c r="Q102" s="362" t="str">
        <x:v>seconds</x:v>
      </x:c>
      <x:c r="R102" s="367" t="n">
        <x:v>1</x:v>
      </x:c>
      <x:c r="S102" s="367" t="n">
        <x:v>120</x:v>
      </x:c>
      <x:c r="T102" s="368" t="n">
        <x:f>IF(OR(COUNTIFS(Strategy!$B$36:$B$90,P102)&lt;&gt;1,COUNTIFS(Strategy!$B$36:$B$90,P102,Strategy!$C$36:$C$90,"&lt;&gt;")&lt;&gt;1),"",INDEX(Strategy!$C$36:$C$90,MATCH(P102,Strategy!$B$36:$B$90,0)))</x:f>
        <x:v>1</x:v>
      </x:c>
      <x:c r="U102" s="368" t="n">
        <x:f>IF(OR(COUNT(R102:S102)&lt;&gt;2,R102&lt;0,R102&lt;&gt;INT(R102),S102&lt;=0),"",R102*S102)</x:f>
        <x:v>120</x:v>
      </x:c>
      <x:c r="V102" s="389" t="n">
        <x:f>IF(OR(NOT(ISNUMBER(U102)),NOT(ISNUMBER($O$1)),$O$1&lt;=0),"",IF(Q102="seconds",U102/$O$1,IF(Q102="reps/leg",2*U102,IF(Q102="reps",U102,""))))</x:f>
        <x:v>40</x:v>
      </x:c>
      <x:c r="W102" s="361" t="str">
        <x:f>IF(OR(COUNTIFS(Strategy!$B$36:$B$90,P102)&lt;&gt;1,COUNTIFS(Strategy!$B$36:$B$90,P102,Strategy!$D$36:$D$90,"&lt;&gt;")&lt;&gt;1),"",INDEX(Strategy!$D$36:$D$90,MATCH(P102,Strategy!$B$36:$B$90,0)))</x:f>
        <x:v>seconds</x:v>
      </x:c>
      <x:c r="X102" s="370" t="n">
        <x:f>IF(OR(COUNT(T102:V102)&lt;&gt;3,Q102&lt;&gt;W102,T102&lt;0,T102&gt;10),"",T102*V102)</x:f>
        <x:v>40</x:v>
      </x:c>
      <x:c r="Y102" s="374" t="str"/>
    </x:row>
    <x:row r="103" ht="15" hidden="0" customHeight="1">
      <x:c r="A103" s="326" t="n">
        <x:f>Daily!A31</x:f>
        <x:v>46370.5</x:v>
      </x:c>
      <x:c r="B103" s="318" t="str">
        <x:f>Daily!D31</x:f>
        <x:v>Skill A + interval circuit</x:v>
      </x:c>
      <x:c r="C103" s="318" t="str">
        <x:v>Core</x:v>
      </x:c>
      <x:c r="D103" s="318" t="str">
        <x:v>rounds</x:v>
      </x:c>
      <x:c r="E103" s="320" t="b">
        <x:v>1</x:v>
      </x:c>
      <x:c r="F103" s="328" t="n">
        <x:v>3</x:v>
      </x:c>
      <x:c r="G103" s="329" t="str">
        <x:f>IF(AND(OR(Daily!Z31=TRUE,Daily!AB31=TRUE),COUNT(Daily!AA31)&gt;0),SUM(Daily!AA31),"")</x:f>
      </x:c>
      <x:c r="H103" s="329" t="n">
        <x:f>IF(AND(E103=TRUE,ISNUMBER(F103),F103&gt;0),100,"")</x:f>
        <x:v>100</x:v>
      </x:c>
      <x:c r="I103" s="329" t="str">
        <x:f>IF(AND(ISNUMBER(H103),ISNUMBER(G103)),IF(J103="lower",IF(G103&gt;0,100*F103/G103,""),100*G103/F103),"")</x:f>
      </x:c>
      <x:c r="J103" s="321" t="str">
        <x:v>higher</x:v>
      </x:c>
      <x:c r="N103" s="363" t="n">
        <x:f>Daily!A22</x:f>
        <x:v>46354.5</x:v>
      </x:c>
      <x:c r="O103" s="359" t="str">
        <x:f>Daily!D22</x:f>
        <x:v>Skill micro-session</x:v>
      </x:c>
      <x:c r="P103" s="371" t="str">
        <x:v>Easy chest-to-wall hold</x:v>
      </x:c>
      <x:c r="Q103" s="360" t="str">
        <x:v>seconds</x:v>
      </x:c>
      <x:c r="R103" s="365" t="n">
        <x:v>3</x:v>
      </x:c>
      <x:c r="S103" s="365" t="n">
        <x:v>15</x:v>
      </x:c>
      <x:c r="T103" s="366" t="n">
        <x:f>IF(OR(COUNTIFS(Strategy!$B$36:$B$90,P103)&lt;&gt;1,COUNTIFS(Strategy!$B$36:$B$90,P103,Strategy!$C$36:$C$90,"&lt;&gt;")&lt;&gt;1),"",INDEX(Strategy!$C$36:$C$90,MATCH(P103,Strategy!$B$36:$B$90,0)))</x:f>
        <x:v>1</x:v>
      </x:c>
      <x:c r="U103" s="366" t="n">
        <x:f>IF(OR(COUNT(R103:S103)&lt;&gt;2,R103&lt;0,R103&lt;&gt;INT(R103),S103&lt;=0),"",R103*S103)</x:f>
        <x:v>45</x:v>
      </x:c>
      <x:c r="V103" s="388" t="n">
        <x:f>IF(OR(NOT(ISNUMBER(U103)),NOT(ISNUMBER($O$1)),$O$1&lt;=0),"",IF(Q103="seconds",U103/$O$1,IF(Q103="reps/leg",2*U103,IF(Q103="reps",U103,""))))</x:f>
        <x:v>15</x:v>
      </x:c>
      <x:c r="W103" s="359" t="str">
        <x:f>IF(OR(COUNTIFS(Strategy!$B$36:$B$90,P103)&lt;&gt;1,COUNTIFS(Strategy!$B$36:$B$90,P103,Strategy!$D$36:$D$90,"&lt;&gt;")&lt;&gt;1),"",INDEX(Strategy!$D$36:$D$90,MATCH(P103,Strategy!$B$36:$B$90,0)))</x:f>
        <x:v>seconds</x:v>
      </x:c>
      <x:c r="X103" s="369" t="n">
        <x:f>IF(OR(COUNT(T103:V103)&lt;&gt;3,Q103&lt;&gt;W103,T103&lt;0,T103&gt;10),"",T103*V103)</x:f>
        <x:v>15</x:v>
      </x:c>
      <x:c r="Y103" s="373" t="str"/>
    </x:row>
    <x:row r="104" ht="15" hidden="0" customHeight="1">
      <x:c r="A104" s="327" t="n">
        <x:f>Daily!A32</x:f>
        <x:v>46371.5</x:v>
      </x:c>
      <x:c r="B104" s="322" t="str">
        <x:f>Daily!D32</x:f>
        <x:v>Handstand technique</x:v>
      </x:c>
      <x:c r="C104" s="322" t="str">
        <x:v>A · Wrist/shoulder mobility</x:v>
      </x:c>
      <x:c r="D104" s="322" t="str">
        <x:v>seconds</x:v>
      </x:c>
      <x:c r="E104" s="324" t="b">
        <x:v>1</x:v>
      </x:c>
      <x:c r="F104" s="330" t="n">
        <x:v>60</x:v>
      </x:c>
      <x:c r="G104" s="331" t="str">
        <x:f>IF(AND(OR(Daily!H32=TRUE,Daily!AB32=TRUE),COUNT(Daily!I32)&gt;0),SUM(Daily!I32)*86400,"")</x:f>
      </x:c>
      <x:c r="H104" s="331" t="n">
        <x:f>IF(AND(E104=TRUE,ISNUMBER(F104),F104&gt;0),100,"")</x:f>
        <x:v>100</x:v>
      </x:c>
      <x:c r="I104" s="331" t="str">
        <x:f>IF(AND(ISNUMBER(H104),ISNUMBER(G104)),IF(J104="lower",IF(G104&gt;0,100*F104/G104,""),100*G104/F104),"")</x:f>
      </x:c>
      <x:c r="J104" s="325" t="str">
        <x:v>higher</x:v>
      </x:c>
      <x:c r="N104" s="364" t="n">
        <x:f>Daily!A22</x:f>
        <x:v>46354.5</x:v>
      </x:c>
      <x:c r="O104" s="361" t="str">
        <x:f>Daily!D22</x:f>
        <x:v>Skill micro-session</x:v>
      </x:c>
      <x:c r="P104" s="372" t="str">
        <x:v>Wall handstand line drill</x:v>
      </x:c>
      <x:c r="Q104" s="362" t="str">
        <x:v>seconds</x:v>
      </x:c>
      <x:c r="R104" s="367" t="n">
        <x:v>3</x:v>
      </x:c>
      <x:c r="S104" s="367" t="n">
        <x:v>15</x:v>
      </x:c>
      <x:c r="T104" s="368" t="n">
        <x:f>IF(OR(COUNTIFS(Strategy!$B$36:$B$90,P104)&lt;&gt;1,COUNTIFS(Strategy!$B$36:$B$90,P104,Strategy!$C$36:$C$90,"&lt;&gt;")&lt;&gt;1),"",INDEX(Strategy!$C$36:$C$90,MATCH(P104,Strategy!$B$36:$B$90,0)))</x:f>
        <x:v>1</x:v>
      </x:c>
      <x:c r="U104" s="368" t="n">
        <x:f>IF(OR(COUNT(R104:S104)&lt;&gt;2,R104&lt;0,R104&lt;&gt;INT(R104),S104&lt;=0),"",R104*S104)</x:f>
        <x:v>45</x:v>
      </x:c>
      <x:c r="V104" s="389" t="n">
        <x:f>IF(OR(NOT(ISNUMBER(U104)),NOT(ISNUMBER($O$1)),$O$1&lt;=0),"",IF(Q104="seconds",U104/$O$1,IF(Q104="reps/leg",2*U104,IF(Q104="reps",U104,""))))</x:f>
        <x:v>15</x:v>
      </x:c>
      <x:c r="W104" s="361" t="str">
        <x:f>IF(OR(COUNTIFS(Strategy!$B$36:$B$90,P104)&lt;&gt;1,COUNTIFS(Strategy!$B$36:$B$90,P104,Strategy!$D$36:$D$90,"&lt;&gt;")&lt;&gt;1),"",INDEX(Strategy!$D$36:$D$90,MATCH(P104,Strategy!$B$36:$B$90,0)))</x:f>
        <x:v>seconds</x:v>
      </x:c>
      <x:c r="X104" s="370" t="n">
        <x:f>IF(OR(COUNT(T104:V104)&lt;&gt;3,Q104&lt;&gt;W104,T104&lt;0,T104&gt;10),"",T104*V104)</x:f>
        <x:v>15</x:v>
      </x:c>
      <x:c r="Y104" s="374" t="str"/>
    </x:row>
    <x:row r="105" ht="15" hidden="0" customHeight="1">
      <x:c r="A105" s="326" t="n">
        <x:f>Daily!A32</x:f>
        <x:v>46371.5</x:v>
      </x:c>
      <x:c r="B105" s="318" t="str">
        <x:f>Daily!D32</x:f>
        <x:v>Handstand technique</x:v>
      </x:c>
      <x:c r="C105" s="318" t="str">
        <x:v>B · Easy chest-to-wall hold</x:v>
      </x:c>
      <x:c r="D105" s="318" t="str">
        <x:v>seconds</x:v>
      </x:c>
      <x:c r="E105" s="320" t="b">
        <x:v>1</x:v>
      </x:c>
      <x:c r="F105" s="328" t="n">
        <x:v>20</x:v>
      </x:c>
      <x:c r="G105" s="329" t="str">
        <x:f>IF(AND(OR(Daily!N32=TRUE,Daily!AB32=TRUE),COUNT(Daily!O32,Daily!P32)&gt;0),SUM(Daily!O32,Daily!P32)*86400,"")</x:f>
      </x:c>
      <x:c r="H105" s="329" t="n">
        <x:f>IF(AND(E105=TRUE,ISNUMBER(F105),F105&gt;0),100,"")</x:f>
        <x:v>100</x:v>
      </x:c>
      <x:c r="I105" s="329" t="str">
        <x:f>IF(AND(ISNUMBER(H105),ISNUMBER(G105)),IF(J105="lower",IF(G105&gt;0,100*F105/G105,""),100*G105/F105),"")</x:f>
      </x:c>
      <x:c r="J105" s="321" t="str">
        <x:v>higher</x:v>
      </x:c>
      <x:c r="N105" s="363" t="n">
        <x:f>Daily!A23</x:f>
        <x:v>46356.5</x:v>
      </x:c>
      <x:c r="O105" s="359" t="str">
        <x:f>Daily!D23</x:f>
        <x:v>Skill A + interval circuit</x:v>
      </x:c>
      <x:c r="P105" s="371" t="str">
        <x:v>Jumping muscle-up</x:v>
      </x:c>
      <x:c r="Q105" s="360" t="str">
        <x:v>reps</x:v>
      </x:c>
      <x:c r="R105" s="365" t="n">
        <x:v>3</x:v>
      </x:c>
      <x:c r="S105" s="365" t="n">
        <x:v>3</x:v>
      </x:c>
      <x:c r="T105" s="366" t="n">
        <x:f>IF(OR(COUNTIFS(Strategy!$B$36:$B$90,P105)&lt;&gt;1,COUNTIFS(Strategy!$B$36:$B$90,P105,Strategy!$C$36:$C$90,"&lt;&gt;")&lt;&gt;1),"",INDEX(Strategy!$C$36:$C$90,MATCH(P105,Strategy!$B$36:$B$90,0)))</x:f>
        <x:v>4</x:v>
      </x:c>
      <x:c r="U105" s="366" t="n">
        <x:f>IF(OR(COUNT(R105:S105)&lt;&gt;2,R105&lt;0,R105&lt;&gt;INT(R105),S105&lt;=0),"",R105*S105)</x:f>
        <x:v>9</x:v>
      </x:c>
      <x:c r="V105" s="388" t="n">
        <x:f>IF(OR(NOT(ISNUMBER(U105)),NOT(ISNUMBER($O$1)),$O$1&lt;=0),"",IF(Q105="seconds",U105/$O$1,IF(Q105="reps/leg",2*U105,IF(Q105="reps",U105,""))))</x:f>
        <x:v>9</x:v>
      </x:c>
      <x:c r="W105" s="359" t="str">
        <x:f>IF(OR(COUNTIFS(Strategy!$B$36:$B$90,P105)&lt;&gt;1,COUNTIFS(Strategy!$B$36:$B$90,P105,Strategy!$D$36:$D$90,"&lt;&gt;")&lt;&gt;1),"",INDEX(Strategy!$D$36:$D$90,MATCH(P105,Strategy!$B$36:$B$90,0)))</x:f>
        <x:v>reps</x:v>
      </x:c>
      <x:c r="X105" s="369" t="n">
        <x:f>IF(OR(COUNT(T105:V105)&lt;&gt;3,Q105&lt;&gt;W105,T105&lt;0,T105&gt;10),"",T105*V105)</x:f>
        <x:v>36</x:v>
      </x:c>
      <x:c r="Y105" s="373" t="str"/>
    </x:row>
    <x:row r="106" ht="15" hidden="0" customHeight="1">
      <x:c r="A106" s="327" t="n">
        <x:f>Daily!A32</x:f>
        <x:v>46371.5</x:v>
      </x:c>
      <x:c r="B106" s="322" t="str">
        <x:f>Daily!D32</x:f>
        <x:v>Handstand technique</x:v>
      </x:c>
      <x:c r="C106" s="322" t="str">
        <x:v>C · Wall handstand line drill</x:v>
      </x:c>
      <x:c r="D106" s="322" t="str">
        <x:v>seconds</x:v>
      </x:c>
      <x:c r="E106" s="324" t="b">
        <x:v>1</x:v>
      </x:c>
      <x:c r="F106" s="330" t="n">
        <x:v>10</x:v>
      </x:c>
      <x:c r="G106" s="331" t="str">
        <x:f>IF(AND(OR(Daily!T32=TRUE,Daily!AB32=TRUE),COUNT(Daily!U32)&gt;0),SUM(Daily!U32)*86400,"")</x:f>
      </x:c>
      <x:c r="H106" s="331" t="n">
        <x:f>IF(AND(E106=TRUE,ISNUMBER(F106),F106&gt;0),100,"")</x:f>
        <x:v>100</x:v>
      </x:c>
      <x:c r="I106" s="331" t="str">
        <x:f>IF(AND(ISNUMBER(H106),ISNUMBER(G106)),IF(J106="lower",IF(G106&gt;0,100*F106/G106,""),100*G106/F106),"")</x:f>
      </x:c>
      <x:c r="J106" s="325" t="str">
        <x:v>higher</x:v>
      </x:c>
      <x:c r="N106" s="364" t="n">
        <x:f>Daily!A23</x:f>
        <x:v>46356.5</x:v>
      </x:c>
      <x:c r="O106" s="361" t="str">
        <x:f>Daily!D23</x:f>
        <x:v>Skill A + interval circuit</x:v>
      </x:c>
      <x:c r="P106" s="372" t="str">
        <x:v>Low-bar slow transition</x:v>
      </x:c>
      <x:c r="Q106" s="362" t="str">
        <x:v>reps</x:v>
      </x:c>
      <x:c r="R106" s="367" t="n">
        <x:v>3</x:v>
      </x:c>
      <x:c r="S106" s="367" t="n">
        <x:v>3</x:v>
      </x:c>
      <x:c r="T106" s="368" t="n">
        <x:f>IF(OR(COUNTIFS(Strategy!$B$36:$B$90,P106)&lt;&gt;1,COUNTIFS(Strategy!$B$36:$B$90,P106,Strategy!$C$36:$C$90,"&lt;&gt;")&lt;&gt;1),"",INDEX(Strategy!$C$36:$C$90,MATCH(P106,Strategy!$B$36:$B$90,0)))</x:f>
        <x:v>4</x:v>
      </x:c>
      <x:c r="U106" s="368" t="n">
        <x:f>IF(OR(COUNT(R106:S106)&lt;&gt;2,R106&lt;0,R106&lt;&gt;INT(R106),S106&lt;=0),"",R106*S106)</x:f>
        <x:v>9</x:v>
      </x:c>
      <x:c r="V106" s="389" t="n">
        <x:f>IF(OR(NOT(ISNUMBER(U106)),NOT(ISNUMBER($O$1)),$O$1&lt;=0),"",IF(Q106="seconds",U106/$O$1,IF(Q106="reps/leg",2*U106,IF(Q106="reps",U106,""))))</x:f>
        <x:v>9</x:v>
      </x:c>
      <x:c r="W106" s="361" t="str">
        <x:f>IF(OR(COUNTIFS(Strategy!$B$36:$B$90,P106)&lt;&gt;1,COUNTIFS(Strategy!$B$36:$B$90,P106,Strategy!$D$36:$D$90,"&lt;&gt;")&lt;&gt;1),"",INDEX(Strategy!$D$36:$D$90,MATCH(P106,Strategy!$B$36:$B$90,0)))</x:f>
        <x:v>reps</x:v>
      </x:c>
      <x:c r="X106" s="370" t="n">
        <x:f>IF(OR(COUNT(T106:V106)&lt;&gt;3,Q106&lt;&gt;W106,T106&lt;0,T106&gt;10),"",T106*V106)</x:f>
        <x:v>36</x:v>
      </x:c>
      <x:c r="Y106" s="374" t="str"/>
    </x:row>
    <x:row r="107" ht="15" hidden="0" customHeight="1">
      <x:c r="A107" s="326" t="n">
        <x:f>Daily!A33</x:f>
        <x:v>46373.5</x:v>
      </x:c>
      <x:c r="B107" s="318" t="str">
        <x:f>Daily!D33</x:f>
        <x:v>Skill B + interval circuit</x:v>
      </x:c>
      <x:c r="C107" s="318" t="str">
        <x:v>A · Easy wall handstand</x:v>
      </x:c>
      <x:c r="D107" s="318" t="str">
        <x:v>seconds</x:v>
      </x:c>
      <x:c r="E107" s="320" t="b">
        <x:v>1</x:v>
      </x:c>
      <x:c r="F107" s="328" t="n">
        <x:v>15</x:v>
      </x:c>
      <x:c r="G107" s="329" t="str">
        <x:f>IF(AND(OR(Daily!H33=TRUE,Daily!AB33=TRUE),COUNT(Daily!I33)&gt;0),SUM(Daily!I33)*86400,"")</x:f>
      </x:c>
      <x:c r="H107" s="329" t="n">
        <x:f>IF(AND(E107=TRUE,ISNUMBER(F107),F107&gt;0),100,"")</x:f>
        <x:v>100</x:v>
      </x:c>
      <x:c r="I107" s="329" t="str">
        <x:f>IF(AND(ISNUMBER(H107),ISNUMBER(G107)),IF(J107="lower",IF(G107&gt;0,100*F107/G107,""),100*G107/F107),"")</x:f>
      </x:c>
      <x:c r="J107" s="321" t="str">
        <x:v>higher</x:v>
      </x:c>
      <x:c r="N107" s="363" t="n">
        <x:f>Daily!A23</x:f>
        <x:v>46356.5</x:v>
      </x:c>
      <x:c r="O107" s="359" t="str">
        <x:f>Daily!D23</x:f>
        <x:v>Skill A + interval circuit</x:v>
      </x:c>
      <x:c r="P107" s="371" t="str">
        <x:v>Light-counterweight pistol</x:v>
      </x:c>
      <x:c r="Q107" s="360" t="str">
        <x:v>reps/leg</x:v>
      </x:c>
      <x:c r="R107" s="365" t="n">
        <x:v>3</x:v>
      </x:c>
      <x:c r="S107" s="365" t="n">
        <x:v>4</x:v>
      </x:c>
      <x:c r="T107" s="366" t="n">
        <x:f>IF(OR(COUNTIFS(Strategy!$B$36:$B$90,P107)&lt;&gt;1,COUNTIFS(Strategy!$B$36:$B$90,P107,Strategy!$C$36:$C$90,"&lt;&gt;")&lt;&gt;1),"",INDEX(Strategy!$C$36:$C$90,MATCH(P107,Strategy!$B$36:$B$90,0)))</x:f>
        <x:v>4</x:v>
      </x:c>
      <x:c r="U107" s="366" t="n">
        <x:f>IF(OR(COUNT(R107:S107)&lt;&gt;2,R107&lt;0,R107&lt;&gt;INT(R107),S107&lt;=0),"",R107*S107)</x:f>
        <x:v>12</x:v>
      </x:c>
      <x:c r="V107" s="388" t="n">
        <x:f>IF(OR(NOT(ISNUMBER(U107)),NOT(ISNUMBER($O$1)),$O$1&lt;=0),"",IF(Q107="seconds",U107/$O$1,IF(Q107="reps/leg",2*U107,IF(Q107="reps",U107,""))))</x:f>
        <x:v>24</x:v>
      </x:c>
      <x:c r="W107" s="359" t="str">
        <x:f>IF(OR(COUNTIFS(Strategy!$B$36:$B$90,P107)&lt;&gt;1,COUNTIFS(Strategy!$B$36:$B$90,P107,Strategy!$D$36:$D$90,"&lt;&gt;")&lt;&gt;1),"",INDEX(Strategy!$D$36:$D$90,MATCH(P107,Strategy!$B$36:$B$90,0)))</x:f>
        <x:v>reps/leg</x:v>
      </x:c>
      <x:c r="X107" s="369" t="n">
        <x:f>IF(OR(COUNT(T107:V107)&lt;&gt;3,Q107&lt;&gt;W107,T107&lt;0,T107&gt;10),"",T107*V107)</x:f>
        <x:v>96</x:v>
      </x:c>
      <x:c r="Y107" s="373" t="str"/>
    </x:row>
    <x:row r="108" ht="15" hidden="0" customHeight="1">
      <x:c r="A108" s="327" t="n">
        <x:f>Daily!A33</x:f>
        <x:v>46373.5</x:v>
      </x:c>
      <x:c r="B108" s="322" t="str">
        <x:f>Daily!D33</x:f>
        <x:v>Skill B + interval circuit</x:v>
      </x:c>
      <x:c r="C108" s="322" t="str">
        <x:v>B · Easy pike push-up</x:v>
      </x:c>
      <x:c r="D108" s="322" t="str">
        <x:v>reps</x:v>
      </x:c>
      <x:c r="E108" s="324" t="b">
        <x:v>1</x:v>
      </x:c>
      <x:c r="F108" s="330" t="n">
        <x:v>4</x:v>
      </x:c>
      <x:c r="G108" s="331" t="str">
        <x:f>IF(AND(OR(Daily!N33=TRUE,Daily!AB33=TRUE),COUNT(Daily!O33)&gt;0),SUM(Daily!O33),"")</x:f>
      </x:c>
      <x:c r="H108" s="331" t="n">
        <x:f>IF(AND(E108=TRUE,ISNUMBER(F108),F108&gt;0),100,"")</x:f>
        <x:v>100</x:v>
      </x:c>
      <x:c r="I108" s="331" t="str">
        <x:f>IF(AND(ISNUMBER(H108),ISNUMBER(G108)),IF(J108="lower",IF(G108&gt;0,100*F108/G108,""),100*G108/F108),"")</x:f>
      </x:c>
      <x:c r="J108" s="325" t="str">
        <x:v>higher</x:v>
      </x:c>
      <x:c r="N108" s="364" t="n">
        <x:f>Daily!A23</x:f>
        <x:v>46356.5</x:v>
      </x:c>
      <x:c r="O108" s="361" t="str">
        <x:f>Daily!D23</x:f>
        <x:v>Skill A + interval circuit</x:v>
      </x:c>
      <x:c r="P108" s="372" t="str">
        <x:v>Pull-up</x:v>
      </x:c>
      <x:c r="Q108" s="362" t="str">
        <x:v>seconds</x:v>
      </x:c>
      <x:c r="R108" s="367" t="n">
        <x:v>5</x:v>
      </x:c>
      <x:c r="S108" s="367" t="n">
        <x:v>30</x:v>
      </x:c>
      <x:c r="T108" s="368" t="n">
        <x:f>IF(OR(COUNTIFS(Strategy!$B$36:$B$90,P108)&lt;&gt;1,COUNTIFS(Strategy!$B$36:$B$90,P108,Strategy!$C$36:$C$90,"&lt;&gt;")&lt;&gt;1),"",INDEX(Strategy!$C$36:$C$90,MATCH(P108,Strategy!$B$36:$B$90,0)))</x:f>
        <x:v>6</x:v>
      </x:c>
      <x:c r="U108" s="368" t="n">
        <x:f>IF(OR(COUNT(R108:S108)&lt;&gt;2,R108&lt;0,R108&lt;&gt;INT(R108),S108&lt;=0),"",R108*S108)</x:f>
        <x:v>150</x:v>
      </x:c>
      <x:c r="V108" s="389" t="n">
        <x:f>IF(OR(NOT(ISNUMBER(U108)),NOT(ISNUMBER($O$1)),$O$1&lt;=0),"",IF(Q108="seconds",U108/$O$1,IF(Q108="reps/leg",2*U108,IF(Q108="reps",U108,""))))</x:f>
        <x:v>50</x:v>
      </x:c>
      <x:c r="W108" s="361" t="str">
        <x:f>IF(OR(COUNTIFS(Strategy!$B$36:$B$90,P108)&lt;&gt;1,COUNTIFS(Strategy!$B$36:$B$90,P108,Strategy!$D$36:$D$90,"&lt;&gt;")&lt;&gt;1),"",INDEX(Strategy!$D$36:$D$90,MATCH(P108,Strategy!$B$36:$B$90,0)))</x:f>
        <x:v>seconds</x:v>
      </x:c>
      <x:c r="X108" s="370" t="n">
        <x:f>IF(OR(COUNT(T108:V108)&lt;&gt;3,Q108&lt;&gt;W108,T108&lt;0,T108&gt;10),"",T108*V108)</x:f>
        <x:v>300</x:v>
      </x:c>
      <x:c r="Y108" s="374" t="str">
        <x:v>Core: one 30-second work interval per round; rest excluded.</x:v>
      </x:c>
    </x:row>
    <x:row r="109" ht="15" hidden="0" customHeight="1">
      <x:c r="A109" s="326" t="n">
        <x:f>Daily!A33</x:f>
        <x:v>46373.5</x:v>
      </x:c>
      <x:c r="B109" s="318" t="str">
        <x:f>Daily!D33</x:f>
        <x:v>Skill B + interval circuit</x:v>
      </x:c>
      <x:c r="C109" s="318" t="str">
        <x:v>C · Assisted smooth pistol</x:v>
      </x:c>
      <x:c r="D109" s="318" t="str">
        <x:v>reps/leg</x:v>
      </x:c>
      <x:c r="E109" s="320" t="b">
        <x:v>1</x:v>
      </x:c>
      <x:c r="F109" s="328" t="n">
        <x:v>3</x:v>
      </x:c>
      <x:c r="G109" s="329" t="str">
        <x:f>IF(AND(OR(Daily!T33=TRUE,Daily!AB33=TRUE),COUNT(Daily!U33)&gt;0),SUM(Daily!U33),"")</x:f>
      </x:c>
      <x:c r="H109" s="329" t="n">
        <x:f>IF(AND(E109=TRUE,ISNUMBER(F109),F109&gt;0),100,"")</x:f>
        <x:v>100</x:v>
      </x:c>
      <x:c r="I109" s="329" t="str">
        <x:f>IF(AND(ISNUMBER(H109),ISNUMBER(G109)),IF(J109="lower",IF(G109&gt;0,100*F109/G109,""),100*G109/F109),"")</x:f>
      </x:c>
      <x:c r="J109" s="321" t="str">
        <x:v>higher</x:v>
      </x:c>
      <x:c r="N109" s="363" t="n">
        <x:f>Daily!A23</x:f>
        <x:v>46356.5</x:v>
      </x:c>
      <x:c r="O109" s="359" t="str">
        <x:f>Daily!D23</x:f>
        <x:v>Skill A + interval circuit</x:v>
      </x:c>
      <x:c r="P109" s="371" t="str">
        <x:v>Push-up</x:v>
      </x:c>
      <x:c r="Q109" s="360" t="str">
        <x:v>seconds</x:v>
      </x:c>
      <x:c r="R109" s="365" t="n">
        <x:v>5</x:v>
      </x:c>
      <x:c r="S109" s="365" t="n">
        <x:v>30</x:v>
      </x:c>
      <x:c r="T109" s="366" t="n">
        <x:f>IF(OR(COUNTIFS(Strategy!$B$36:$B$90,P109)&lt;&gt;1,COUNTIFS(Strategy!$B$36:$B$90,P109,Strategy!$C$36:$C$90,"&lt;&gt;")&lt;&gt;1),"",INDEX(Strategy!$C$36:$C$90,MATCH(P109,Strategy!$B$36:$B$90,0)))</x:f>
        <x:v>4</x:v>
      </x:c>
      <x:c r="U109" s="366" t="n">
        <x:f>IF(OR(COUNT(R109:S109)&lt;&gt;2,R109&lt;0,R109&lt;&gt;INT(R109),S109&lt;=0),"",R109*S109)</x:f>
        <x:v>150</x:v>
      </x:c>
      <x:c r="V109" s="388" t="n">
        <x:f>IF(OR(NOT(ISNUMBER(U109)),NOT(ISNUMBER($O$1)),$O$1&lt;=0),"",IF(Q109="seconds",U109/$O$1,IF(Q109="reps/leg",2*U109,IF(Q109="reps",U109,""))))</x:f>
        <x:v>50</x:v>
      </x:c>
      <x:c r="W109" s="359" t="str">
        <x:f>IF(OR(COUNTIFS(Strategy!$B$36:$B$90,P109)&lt;&gt;1,COUNTIFS(Strategy!$B$36:$B$90,P109,Strategy!$D$36:$D$90,"&lt;&gt;")&lt;&gt;1),"",INDEX(Strategy!$D$36:$D$90,MATCH(P109,Strategy!$B$36:$B$90,0)))</x:f>
        <x:v>seconds</x:v>
      </x:c>
      <x:c r="X109" s="369" t="n">
        <x:f>IF(OR(COUNT(T109:V109)&lt;&gt;3,Q109&lt;&gt;W109,T109&lt;0,T109&gt;10),"",T109*V109)</x:f>
        <x:v>200</x:v>
      </x:c>
      <x:c r="Y109" s="373" t="str">
        <x:v>Core: one 30-second work interval per round; rest excluded.</x:v>
      </x:c>
    </x:row>
    <x:row r="110" ht="15" hidden="0" customHeight="1">
      <x:c r="A110" s="327" t="n">
        <x:f>Daily!A33</x:f>
        <x:v>46373.5</x:v>
      </x:c>
      <x:c r="B110" s="322" t="str">
        <x:f>Daily!D33</x:f>
        <x:v>Skill B + interval circuit</x:v>
      </x:c>
      <x:c r="C110" s="322" t="str">
        <x:v>Core</x:v>
      </x:c>
      <x:c r="D110" s="322" t="str">
        <x:v>rounds</x:v>
      </x:c>
      <x:c r="E110" s="324" t="b">
        <x:v>1</x:v>
      </x:c>
      <x:c r="F110" s="330" t="n">
        <x:v>3</x:v>
      </x:c>
      <x:c r="G110" s="331" t="str">
        <x:f>IF(AND(OR(Daily!Z33=TRUE,Daily!AB33=TRUE),COUNT(Daily!AA33)&gt;0),SUM(Daily!AA33),"")</x:f>
      </x:c>
      <x:c r="H110" s="331" t="n">
        <x:f>IF(AND(E110=TRUE,ISNUMBER(F110),F110&gt;0),100,"")</x:f>
        <x:v>100</x:v>
      </x:c>
      <x:c r="I110" s="331" t="str">
        <x:f>IF(AND(ISNUMBER(H110),ISNUMBER(G110)),IF(J110="lower",IF(G110&gt;0,100*F110/G110,""),100*G110/F110),"")</x:f>
      </x:c>
      <x:c r="J110" s="325" t="str">
        <x:v>higher</x:v>
      </x:c>
      <x:c r="N110" s="364" t="n">
        <x:f>Daily!A23</x:f>
        <x:v>46356.5</x:v>
      </x:c>
      <x:c r="O110" s="361" t="str">
        <x:f>Daily!D23</x:f>
        <x:v>Skill A + interval circuit</x:v>
      </x:c>
      <x:c r="P110" s="372" t="str">
        <x:v>Weighted squat</x:v>
      </x:c>
      <x:c r="Q110" s="362" t="str">
        <x:v>seconds</x:v>
      </x:c>
      <x:c r="R110" s="367" t="n">
        <x:v>5</x:v>
      </x:c>
      <x:c r="S110" s="367" t="n">
        <x:v>30</x:v>
      </x:c>
      <x:c r="T110" s="368" t="n">
        <x:f>IF(OR(COUNTIFS(Strategy!$B$36:$B$90,P110)&lt;&gt;1,COUNTIFS(Strategy!$B$36:$B$90,P110,Strategy!$C$36:$C$90,"&lt;&gt;")&lt;&gt;1),"",INDEX(Strategy!$C$36:$C$90,MATCH(P110,Strategy!$B$36:$B$90,0)))</x:f>
        <x:v>5</x:v>
      </x:c>
      <x:c r="U110" s="368" t="n">
        <x:f>IF(OR(COUNT(R110:S110)&lt;&gt;2,R110&lt;0,R110&lt;&gt;INT(R110),S110&lt;=0),"",R110*S110)</x:f>
        <x:v>150</x:v>
      </x:c>
      <x:c r="V110" s="389" t="n">
        <x:f>IF(OR(NOT(ISNUMBER(U110)),NOT(ISNUMBER($O$1)),$O$1&lt;=0),"",IF(Q110="seconds",U110/$O$1,IF(Q110="reps/leg",2*U110,IF(Q110="reps",U110,""))))</x:f>
        <x:v>50</x:v>
      </x:c>
      <x:c r="W110" s="361" t="str">
        <x:f>IF(OR(COUNTIFS(Strategy!$B$36:$B$90,P110)&lt;&gt;1,COUNTIFS(Strategy!$B$36:$B$90,P110,Strategy!$D$36:$D$90,"&lt;&gt;")&lt;&gt;1),"",INDEX(Strategy!$D$36:$D$90,MATCH(P110,Strategy!$B$36:$B$90,0)))</x:f>
        <x:v>seconds</x:v>
      </x:c>
      <x:c r="X110" s="370" t="n">
        <x:f>IF(OR(COUNT(T110:V110)&lt;&gt;3,Q110&lt;&gt;W110,T110&lt;0,T110&gt;10),"",T110*V110)</x:f>
        <x:v>250</x:v>
      </x:c>
      <x:c r="Y110" s="374" t="str">
        <x:v>Core: one 30-second work interval per round; rest excluded.</x:v>
      </x:c>
    </x:row>
    <x:row r="111" ht="15" hidden="0" customHeight="1">
      <x:c r="A111" s="326" t="n">
        <x:f>Daily!A34</x:f>
        <x:v>46375.5</x:v>
      </x:c>
      <x:c r="B111" s="318" t="str">
        <x:f>Daily!D34</x:f>
        <x:v>Skill micro-session</x:v>
      </x:c>
      <x:c r="C111" s="318" t="str">
        <x:v>A · Wrist/shoulder mobility</x:v>
      </x:c>
      <x:c r="D111" s="318" t="str">
        <x:v>seconds</x:v>
      </x:c>
      <x:c r="E111" s="320" t="b">
        <x:v>1</x:v>
      </x:c>
      <x:c r="F111" s="328" t="n">
        <x:v>60</x:v>
      </x:c>
      <x:c r="G111" s="329" t="str">
        <x:f>IF(AND(OR(Daily!H34=TRUE,Daily!AB34=TRUE),COUNT(Daily!I34)&gt;0),SUM(Daily!I34)*86400,"")</x:f>
      </x:c>
      <x:c r="H111" s="329" t="n">
        <x:f>IF(AND(E111=TRUE,ISNUMBER(F111),F111&gt;0),100,"")</x:f>
        <x:v>100</x:v>
      </x:c>
      <x:c r="I111" s="329" t="str">
        <x:f>IF(AND(ISNUMBER(H111),ISNUMBER(G111)),IF(J111="lower",IF(G111&gt;0,100*F111/G111,""),100*G111/F111),"")</x:f>
      </x:c>
      <x:c r="J111" s="321" t="str">
        <x:v>higher</x:v>
      </x:c>
      <x:c r="N111" s="363" t="n">
        <x:f>Daily!A23</x:f>
        <x:v>46356.5</x:v>
      </x:c>
      <x:c r="O111" s="359" t="str">
        <x:f>Daily!D23</x:f>
        <x:v>Skill A + interval circuit</x:v>
      </x:c>
      <x:c r="P111" s="371" t="str">
        <x:v>Upside-down hanging shoulder/ab work</x:v>
      </x:c>
      <x:c r="Q111" s="360" t="str">
        <x:v>seconds</x:v>
      </x:c>
      <x:c r="R111" s="365" t="n">
        <x:v>5</x:v>
      </x:c>
      <x:c r="S111" s="365" t="n">
        <x:v>30</x:v>
      </x:c>
      <x:c r="T111" s="366" t="n">
        <x:f>IF(OR(COUNTIFS(Strategy!$B$36:$B$90,P111)&lt;&gt;1,COUNTIFS(Strategy!$B$36:$B$90,P111,Strategy!$C$36:$C$90,"&lt;&gt;")&lt;&gt;1),"",INDEX(Strategy!$C$36:$C$90,MATCH(P111,Strategy!$B$36:$B$90,0)))</x:f>
        <x:v>5</x:v>
      </x:c>
      <x:c r="U111" s="366" t="n">
        <x:f>IF(OR(COUNT(R111:S111)&lt;&gt;2,R111&lt;0,R111&lt;&gt;INT(R111),S111&lt;=0),"",R111*S111)</x:f>
        <x:v>150</x:v>
      </x:c>
      <x:c r="V111" s="388" t="n">
        <x:f>IF(OR(NOT(ISNUMBER(U111)),NOT(ISNUMBER($O$1)),$O$1&lt;=0),"",IF(Q111="seconds",U111/$O$1,IF(Q111="reps/leg",2*U111,IF(Q111="reps",U111,""))))</x:f>
        <x:v>50</x:v>
      </x:c>
      <x:c r="W111" s="359" t="str">
        <x:f>IF(OR(COUNTIFS(Strategy!$B$36:$B$90,P111)&lt;&gt;1,COUNTIFS(Strategy!$B$36:$B$90,P111,Strategy!$D$36:$D$90,"&lt;&gt;")&lt;&gt;1),"",INDEX(Strategy!$D$36:$D$90,MATCH(P111,Strategy!$B$36:$B$90,0)))</x:f>
        <x:v>seconds</x:v>
      </x:c>
      <x:c r="X111" s="369" t="n">
        <x:f>IF(OR(COUNT(T111:V111)&lt;&gt;3,Q111&lt;&gt;W111,T111&lt;0,T111&gt;10),"",T111*V111)</x:f>
        <x:v>250</x:v>
      </x:c>
      <x:c r="Y111" s="373" t="str">
        <x:v>Core: one 30-second work interval per round; rest excluded.</x:v>
      </x:c>
    </x:row>
    <x:row r="112" ht="15" hidden="0" customHeight="1">
      <x:c r="A112" s="327" t="n">
        <x:f>Daily!A34</x:f>
        <x:v>46375.5</x:v>
      </x:c>
      <x:c r="B112" s="322" t="str">
        <x:f>Daily!D34</x:f>
        <x:v>Skill micro-session</x:v>
      </x:c>
      <x:c r="C112" s="322" t="str">
        <x:v>B · Easy chest-to-wall hold</x:v>
      </x:c>
      <x:c r="D112" s="322" t="str">
        <x:v>seconds</x:v>
      </x:c>
      <x:c r="E112" s="324" t="b">
        <x:v>1</x:v>
      </x:c>
      <x:c r="F112" s="330" t="n">
        <x:v>20</x:v>
      </x:c>
      <x:c r="G112" s="331" t="str">
        <x:f>IF(AND(OR(Daily!N34=TRUE,Daily!AB34=TRUE),COUNT(Daily!O34,Daily!P34)&gt;0),SUM(Daily!O34,Daily!P34)*86400,"")</x:f>
      </x:c>
      <x:c r="H112" s="331" t="n">
        <x:f>IF(AND(E112=TRUE,ISNUMBER(F112),F112&gt;0),100,"")</x:f>
        <x:v>100</x:v>
      </x:c>
      <x:c r="I112" s="331" t="str">
        <x:f>IF(AND(ISNUMBER(H112),ISNUMBER(G112)),IF(J112="lower",IF(G112&gt;0,100*F112/G112,""),100*G112/F112),"")</x:f>
      </x:c>
      <x:c r="J112" s="325" t="str">
        <x:v>higher</x:v>
      </x:c>
      <x:c r="N112" s="364" t="n">
        <x:f>Daily!A24</x:f>
        <x:v>46357.5</x:v>
      </x:c>
      <x:c r="O112" s="361" t="str">
        <x:f>Daily!D24</x:f>
        <x:v>Handstand technique</x:v>
      </x:c>
      <x:c r="P112" s="372" t="str">
        <x:v>Wrist/shoulder mobility</x:v>
      </x:c>
      <x:c r="Q112" s="362" t="str">
        <x:v>seconds</x:v>
      </x:c>
      <x:c r="R112" s="367" t="n">
        <x:v>1</x:v>
      </x:c>
      <x:c r="S112" s="367" t="n">
        <x:v>120</x:v>
      </x:c>
      <x:c r="T112" s="368" t="n">
        <x:f>IF(OR(COUNTIFS(Strategy!$B$36:$B$90,P112)&lt;&gt;1,COUNTIFS(Strategy!$B$36:$B$90,P112,Strategy!$C$36:$C$90,"&lt;&gt;")&lt;&gt;1),"",INDEX(Strategy!$C$36:$C$90,MATCH(P112,Strategy!$B$36:$B$90,0)))</x:f>
        <x:v>1</x:v>
      </x:c>
      <x:c r="U112" s="368" t="n">
        <x:f>IF(OR(COUNT(R112:S112)&lt;&gt;2,R112&lt;0,R112&lt;&gt;INT(R112),S112&lt;=0),"",R112*S112)</x:f>
        <x:v>120</x:v>
      </x:c>
      <x:c r="V112" s="389" t="n">
        <x:f>IF(OR(NOT(ISNUMBER(U112)),NOT(ISNUMBER($O$1)),$O$1&lt;=0),"",IF(Q112="seconds",U112/$O$1,IF(Q112="reps/leg",2*U112,IF(Q112="reps",U112,""))))</x:f>
        <x:v>40</x:v>
      </x:c>
      <x:c r="W112" s="361" t="str">
        <x:f>IF(OR(COUNTIFS(Strategy!$B$36:$B$90,P112)&lt;&gt;1,COUNTIFS(Strategy!$B$36:$B$90,P112,Strategy!$D$36:$D$90,"&lt;&gt;")&lt;&gt;1),"",INDEX(Strategy!$D$36:$D$90,MATCH(P112,Strategy!$B$36:$B$90,0)))</x:f>
        <x:v>seconds</x:v>
      </x:c>
      <x:c r="X112" s="370" t="n">
        <x:f>IF(OR(COUNT(T112:V112)&lt;&gt;3,Q112&lt;&gt;W112,T112&lt;0,T112&gt;10),"",T112*V112)</x:f>
        <x:v>40</x:v>
      </x:c>
      <x:c r="Y112" s="374" t="str"/>
    </x:row>
    <x:row r="113" ht="15" hidden="0" customHeight="1">
      <x:c r="A113" s="326" t="n">
        <x:f>Daily!A34</x:f>
        <x:v>46375.5</x:v>
      </x:c>
      <x:c r="B113" s="318" t="str">
        <x:f>Daily!D34</x:f>
        <x:v>Skill micro-session</x:v>
      </x:c>
      <x:c r="C113" s="318" t="str">
        <x:v>C · Wall handstand line drill</x:v>
      </x:c>
      <x:c r="D113" s="318" t="str">
        <x:v>seconds</x:v>
      </x:c>
      <x:c r="E113" s="320" t="b">
        <x:v>1</x:v>
      </x:c>
      <x:c r="F113" s="328" t="n">
        <x:v>10</x:v>
      </x:c>
      <x:c r="G113" s="329" t="str">
        <x:f>IF(AND(OR(Daily!T34=TRUE,Daily!AB34=TRUE),COUNT(Daily!U34)&gt;0),SUM(Daily!U34)*86400,"")</x:f>
      </x:c>
      <x:c r="H113" s="329" t="n">
        <x:f>IF(AND(E113=TRUE,ISNUMBER(F113),F113&gt;0),100,"")</x:f>
        <x:v>100</x:v>
      </x:c>
      <x:c r="I113" s="329" t="str">
        <x:f>IF(AND(ISNUMBER(H113),ISNUMBER(G113)),IF(J113="lower",IF(G113&gt;0,100*F113/G113,""),100*G113/F113),"")</x:f>
      </x:c>
      <x:c r="J113" s="321" t="str">
        <x:v>higher</x:v>
      </x:c>
      <x:c r="N113" s="363" t="n">
        <x:f>Daily!A24</x:f>
        <x:v>46357.5</x:v>
      </x:c>
      <x:c r="O113" s="359" t="str">
        <x:f>Daily!D24</x:f>
        <x:v>Handstand technique</x:v>
      </x:c>
      <x:c r="P113" s="371" t="str">
        <x:v>Easy chest-to-wall hold</x:v>
      </x:c>
      <x:c r="Q113" s="360" t="str">
        <x:v>seconds</x:v>
      </x:c>
      <x:c r="R113" s="365" t="n">
        <x:v>3</x:v>
      </x:c>
      <x:c r="S113" s="365" t="n">
        <x:v>15</x:v>
      </x:c>
      <x:c r="T113" s="366" t="n">
        <x:f>IF(OR(COUNTIFS(Strategy!$B$36:$B$90,P113)&lt;&gt;1,COUNTIFS(Strategy!$B$36:$B$90,P113,Strategy!$C$36:$C$90,"&lt;&gt;")&lt;&gt;1),"",INDEX(Strategy!$C$36:$C$90,MATCH(P113,Strategy!$B$36:$B$90,0)))</x:f>
        <x:v>1</x:v>
      </x:c>
      <x:c r="U113" s="366" t="n">
        <x:f>IF(OR(COUNT(R113:S113)&lt;&gt;2,R113&lt;0,R113&lt;&gt;INT(R113),S113&lt;=0),"",R113*S113)</x:f>
        <x:v>45</x:v>
      </x:c>
      <x:c r="V113" s="388" t="n">
        <x:f>IF(OR(NOT(ISNUMBER(U113)),NOT(ISNUMBER($O$1)),$O$1&lt;=0),"",IF(Q113="seconds",U113/$O$1,IF(Q113="reps/leg",2*U113,IF(Q113="reps",U113,""))))</x:f>
        <x:v>15</x:v>
      </x:c>
      <x:c r="W113" s="359" t="str">
        <x:f>IF(OR(COUNTIFS(Strategy!$B$36:$B$90,P113)&lt;&gt;1,COUNTIFS(Strategy!$B$36:$B$90,P113,Strategy!$D$36:$D$90,"&lt;&gt;")&lt;&gt;1),"",INDEX(Strategy!$D$36:$D$90,MATCH(P113,Strategy!$B$36:$B$90,0)))</x:f>
        <x:v>seconds</x:v>
      </x:c>
      <x:c r="X113" s="369" t="n">
        <x:f>IF(OR(COUNT(T113:V113)&lt;&gt;3,Q113&lt;&gt;W113,T113&lt;0,T113&gt;10),"",T113*V113)</x:f>
        <x:v>15</x:v>
      </x:c>
      <x:c r="Y113" s="373" t="str"/>
    </x:row>
    <x:row r="114" ht="15" hidden="0" customHeight="1">
      <x:c r="A114" s="327" t="n">
        <x:f>Daily!A35</x:f>
        <x:v>46377.5</x:v>
      </x:c>
      <x:c r="B114" s="322" t="str">
        <x:f>Daily!D35</x:f>
        <x:v>Skill A + interval circuit</x:v>
      </x:c>
      <x:c r="C114" s="322" t="str">
        <x:v>A · Light-band or strict muscle-up</x:v>
      </x:c>
      <x:c r="D114" s="322" t="str">
        <x:v>reps</x:v>
      </x:c>
      <x:c r="E114" s="324" t="b">
        <x:v>1</x:v>
      </x:c>
      <x:c r="F114" s="330" t="n">
        <x:v>3</x:v>
      </x:c>
      <x:c r="G114" s="331" t="str">
        <x:f>IF(AND(OR(Daily!H35=TRUE,Daily!AB35=TRUE),COUNT(Daily!I35,Daily!J35,Daily!K35)&gt;0),SUM(Daily!I35,Daily!J35,Daily!K35),"")</x:f>
      </x:c>
      <x:c r="H114" s="331" t="n">
        <x:f>IF(AND(E114=TRUE,ISNUMBER(F114),F114&gt;0),100,"")</x:f>
        <x:v>100</x:v>
      </x:c>
      <x:c r="I114" s="331" t="str">
        <x:f>IF(AND(ISNUMBER(H114),ISNUMBER(G114)),IF(J114="lower",IF(G114&gt;0,100*F114/G114,""),100*G114/F114),"")</x:f>
      </x:c>
      <x:c r="J114" s="325" t="str">
        <x:v>higher</x:v>
      </x:c>
      <x:c r="N114" s="364" t="n">
        <x:f>Daily!A24</x:f>
        <x:v>46357.5</x:v>
      </x:c>
      <x:c r="O114" s="361" t="str">
        <x:f>Daily!D24</x:f>
        <x:v>Handstand technique</x:v>
      </x:c>
      <x:c r="P114" s="372" t="str">
        <x:v>Wall handstand line drill</x:v>
      </x:c>
      <x:c r="Q114" s="362" t="str">
        <x:v>seconds</x:v>
      </x:c>
      <x:c r="R114" s="367" t="n">
        <x:v>2</x:v>
      </x:c>
      <x:c r="S114" s="367" t="n">
        <x:v>15</x:v>
      </x:c>
      <x:c r="T114" s="368" t="n">
        <x:f>IF(OR(COUNTIFS(Strategy!$B$36:$B$90,P114)&lt;&gt;1,COUNTIFS(Strategy!$B$36:$B$90,P114,Strategy!$C$36:$C$90,"&lt;&gt;")&lt;&gt;1),"",INDEX(Strategy!$C$36:$C$90,MATCH(P114,Strategy!$B$36:$B$90,0)))</x:f>
        <x:v>1</x:v>
      </x:c>
      <x:c r="U114" s="368" t="n">
        <x:f>IF(OR(COUNT(R114:S114)&lt;&gt;2,R114&lt;0,R114&lt;&gt;INT(R114),S114&lt;=0),"",R114*S114)</x:f>
        <x:v>30</x:v>
      </x:c>
      <x:c r="V114" s="389" t="n">
        <x:f>IF(OR(NOT(ISNUMBER(U114)),NOT(ISNUMBER($O$1)),$O$1&lt;=0),"",IF(Q114="seconds",U114/$O$1,IF(Q114="reps/leg",2*U114,IF(Q114="reps",U114,""))))</x:f>
        <x:v>10</x:v>
      </x:c>
      <x:c r="W114" s="361" t="str">
        <x:f>IF(OR(COUNTIFS(Strategy!$B$36:$B$90,P114)&lt;&gt;1,COUNTIFS(Strategy!$B$36:$B$90,P114,Strategy!$D$36:$D$90,"&lt;&gt;")&lt;&gt;1),"",INDEX(Strategy!$D$36:$D$90,MATCH(P114,Strategy!$B$36:$B$90,0)))</x:f>
        <x:v>seconds</x:v>
      </x:c>
      <x:c r="X114" s="370" t="n">
        <x:f>IF(OR(COUNT(T114:V114)&lt;&gt;3,Q114&lt;&gt;W114,T114&lt;0,T114&gt;10),"",T114*V114)</x:f>
        <x:v>10</x:v>
      </x:c>
      <x:c r="Y114" s="374" t="str"/>
    </x:row>
    <x:row r="115" ht="15" hidden="0" customHeight="1">
      <x:c r="A115" s="326" t="n">
        <x:f>Daily!A35</x:f>
        <x:v>46377.5</x:v>
      </x:c>
      <x:c r="B115" s="318" t="str">
        <x:f>Daily!D35</x:f>
        <x:v>Skill A + interval circuit</x:v>
      </x:c>
      <x:c r="C115" s="318" t="str">
        <x:v>B · Stronger-band back-off muscle-up</x:v>
      </x:c>
      <x:c r="D115" s="318" t="str">
        <x:v>reps</x:v>
      </x:c>
      <x:c r="E115" s="320" t="b">
        <x:v>1</x:v>
      </x:c>
      <x:c r="F115" s="328" t="n">
        <x:v>4</x:v>
      </x:c>
      <x:c r="G115" s="329" t="str">
        <x:f>IF(AND(OR(Daily!N35=TRUE,Daily!AB35=TRUE),COUNT(Daily!O35,Daily!P35)&gt;0),SUM(Daily!O35,Daily!P35),"")</x:f>
      </x:c>
      <x:c r="H115" s="329" t="n">
        <x:f>IF(AND(E115=TRUE,ISNUMBER(F115),F115&gt;0),100,"")</x:f>
        <x:v>100</x:v>
      </x:c>
      <x:c r="I115" s="329" t="str">
        <x:f>IF(AND(ISNUMBER(H115),ISNUMBER(G115)),IF(J115="lower",IF(G115&gt;0,100*F115/G115,""),100*G115/F115),"")</x:f>
      </x:c>
      <x:c r="J115" s="321" t="str">
        <x:v>higher</x:v>
      </x:c>
      <x:c r="N115" s="363" t="n">
        <x:f>Daily!A25</x:f>
        <x:v>46359.5</x:v>
      </x:c>
      <x:c r="O115" s="359" t="str">
        <x:f>Daily!D25</x:f>
        <x:v>Skill B + circuit</x:v>
      </x:c>
      <x:c r="P115" s="371" t="str">
        <x:v>Partial wall HSPU</x:v>
      </x:c>
      <x:c r="Q115" s="360" t="str">
        <x:v>reps</x:v>
      </x:c>
      <x:c r="R115" s="365" t="n">
        <x:v>3</x:v>
      </x:c>
      <x:c r="S115" s="365" t="n">
        <x:v>3</x:v>
      </x:c>
      <x:c r="T115" s="366" t="n">
        <x:f>IF(OR(COUNTIFS(Strategy!$B$36:$B$90,P115)&lt;&gt;1,COUNTIFS(Strategy!$B$36:$B$90,P115,Strategy!$C$36:$C$90,"&lt;&gt;")&lt;&gt;1),"",INDEX(Strategy!$C$36:$C$90,MATCH(P115,Strategy!$B$36:$B$90,0)))</x:f>
        <x:v>4</x:v>
      </x:c>
      <x:c r="U115" s="366" t="n">
        <x:f>IF(OR(COUNT(R115:S115)&lt;&gt;2,R115&lt;0,R115&lt;&gt;INT(R115),S115&lt;=0),"",R115*S115)</x:f>
        <x:v>9</x:v>
      </x:c>
      <x:c r="V115" s="388" t="n">
        <x:f>IF(OR(NOT(ISNUMBER(U115)),NOT(ISNUMBER($O$1)),$O$1&lt;=0),"",IF(Q115="seconds",U115/$O$1,IF(Q115="reps/leg",2*U115,IF(Q115="reps",U115,""))))</x:f>
        <x:v>9</x:v>
      </x:c>
      <x:c r="W115" s="359" t="str">
        <x:f>IF(OR(COUNTIFS(Strategy!$B$36:$B$90,P115)&lt;&gt;1,COUNTIFS(Strategy!$B$36:$B$90,P115,Strategy!$D$36:$D$90,"&lt;&gt;")&lt;&gt;1),"",INDEX(Strategy!$D$36:$D$90,MATCH(P115,Strategy!$B$36:$B$90,0)))</x:f>
        <x:v>reps</x:v>
      </x:c>
      <x:c r="X115" s="369" t="n">
        <x:f>IF(OR(COUNT(T115:V115)&lt;&gt;3,Q115&lt;&gt;W115,T115&lt;0,T115&gt;10),"",T115*V115)</x:f>
        <x:v>36</x:v>
      </x:c>
      <x:c r="Y115" s="373" t="str"/>
    </x:row>
    <x:row r="116" ht="15" hidden="0" customHeight="1">
      <x:c r="A116" s="327" t="n">
        <x:f>Daily!A35</x:f>
        <x:v>46377.5</x:v>
      </x:c>
      <x:c r="B116" s="322" t="str">
        <x:f>Daily!D35</x:f>
        <x:v>Skill A + interval circuit</x:v>
      </x:c>
      <x:c r="C116" s="322" t="str">
        <x:v>C · Unassisted pistol</x:v>
      </x:c>
      <x:c r="D116" s="322" t="str">
        <x:v>reps/leg</x:v>
      </x:c>
      <x:c r="E116" s="324" t="b">
        <x:v>1</x:v>
      </x:c>
      <x:c r="F116" s="330" t="n">
        <x:v>3</x:v>
      </x:c>
      <x:c r="G116" s="331" t="str">
        <x:f>IF(AND(OR(Daily!T35=TRUE,Daily!AB35=TRUE),COUNT(Daily!U35,Daily!V35,Daily!W35)&gt;0),SUM(Daily!U35,Daily!V35,Daily!W35),"")</x:f>
      </x:c>
      <x:c r="H116" s="331" t="n">
        <x:f>IF(AND(E116=TRUE,ISNUMBER(F116),F116&gt;0),100,"")</x:f>
        <x:v>100</x:v>
      </x:c>
      <x:c r="I116" s="331" t="str">
        <x:f>IF(AND(ISNUMBER(H116),ISNUMBER(G116)),IF(J116="lower",IF(G116&gt;0,100*F116/G116,""),100*G116/F116),"")</x:f>
      </x:c>
      <x:c r="J116" s="325" t="str">
        <x:v>higher</x:v>
      </x:c>
      <x:c r="N116" s="364" t="n">
        <x:f>Daily!A25</x:f>
        <x:v>46359.5</x:v>
      </x:c>
      <x:c r="O116" s="361" t="str">
        <x:f>Daily!D25</x:f>
        <x:v>Skill B + circuit</x:v>
      </x:c>
      <x:c r="P116" s="372" t="str">
        <x:v>Wall HSPU negative</x:v>
      </x:c>
      <x:c r="Q116" s="362" t="str">
        <x:v>reps</x:v>
      </x:c>
      <x:c r="R116" s="367" t="n">
        <x:v>3</x:v>
      </x:c>
      <x:c r="S116" s="367" t="n">
        <x:v>2</x:v>
      </x:c>
      <x:c r="T116" s="368" t="n">
        <x:f>IF(OR(COUNTIFS(Strategy!$B$36:$B$90,P116)&lt;&gt;1,COUNTIFS(Strategy!$B$36:$B$90,P116,Strategy!$C$36:$C$90,"&lt;&gt;")&lt;&gt;1),"",INDEX(Strategy!$C$36:$C$90,MATCH(P116,Strategy!$B$36:$B$90,0)))</x:f>
        <x:v>7</x:v>
      </x:c>
      <x:c r="U116" s="368" t="n">
        <x:f>IF(OR(COUNT(R116:S116)&lt;&gt;2,R116&lt;0,R116&lt;&gt;INT(R116),S116&lt;=0),"",R116*S116)</x:f>
        <x:v>6</x:v>
      </x:c>
      <x:c r="V116" s="389" t="n">
        <x:f>IF(OR(NOT(ISNUMBER(U116)),NOT(ISNUMBER($O$1)),$O$1&lt;=0),"",IF(Q116="seconds",U116/$O$1,IF(Q116="reps/leg",2*U116,IF(Q116="reps",U116,""))))</x:f>
        <x:v>6</x:v>
      </x:c>
      <x:c r="W116" s="361" t="str">
        <x:f>IF(OR(COUNTIFS(Strategy!$B$36:$B$90,P116)&lt;&gt;1,COUNTIFS(Strategy!$B$36:$B$90,P116,Strategy!$D$36:$D$90,"&lt;&gt;")&lt;&gt;1),"",INDEX(Strategy!$D$36:$D$90,MATCH(P116,Strategy!$B$36:$B$90,0)))</x:f>
        <x:v>reps</x:v>
      </x:c>
      <x:c r="X116" s="370" t="n">
        <x:f>IF(OR(COUNT(T116:V116)&lt;&gt;3,Q116&lt;&gt;W116,T116&lt;0,T116&gt;10),"",T116*V116)</x:f>
        <x:v>42</x:v>
      </x:c>
      <x:c r="Y116" s="374" t="str">
        <x:v>Count reps; the 3-second lowering tempo is not added as hold time.</x:v>
      </x:c>
    </x:row>
    <x:row r="117" ht="15" hidden="0" customHeight="1">
      <x:c r="A117" s="326" t="n">
        <x:f>Daily!A35</x:f>
        <x:v>46377.5</x:v>
      </x:c>
      <x:c r="B117" s="318" t="str">
        <x:f>Daily!D35</x:f>
        <x:v>Skill A + interval circuit</x:v>
      </x:c>
      <x:c r="C117" s="318" t="str">
        <x:v>Core</x:v>
      </x:c>
      <x:c r="D117" s="318" t="str">
        <x:v>rounds</x:v>
      </x:c>
      <x:c r="E117" s="320" t="b">
        <x:v>1</x:v>
      </x:c>
      <x:c r="F117" s="328" t="n">
        <x:v>5</x:v>
      </x:c>
      <x:c r="G117" s="329" t="str">
        <x:f>IF(AND(OR(Daily!Z35=TRUE,Daily!AB35=TRUE),COUNT(Daily!AA35)&gt;0),SUM(Daily!AA35),"")</x:f>
      </x:c>
      <x:c r="H117" s="329" t="n">
        <x:f>IF(AND(E117=TRUE,ISNUMBER(F117),F117&gt;0),100,"")</x:f>
        <x:v>100</x:v>
      </x:c>
      <x:c r="I117" s="329" t="str">
        <x:f>IF(AND(ISNUMBER(H117),ISNUMBER(G117)),IF(J117="lower",IF(G117&gt;0,100*F117/G117,""),100*G117/F117),"")</x:f>
      </x:c>
      <x:c r="J117" s="321" t="str">
        <x:v>higher</x:v>
      </x:c>
      <x:c r="N117" s="363" t="n">
        <x:f>Daily!A25</x:f>
        <x:v>46359.5</x:v>
      </x:c>
      <x:c r="O117" s="359" t="str">
        <x:f>Daily!D25</x:f>
        <x:v>Skill B + circuit</x:v>
      </x:c>
      <x:c r="P117" s="371" t="str">
        <x:v>Light-counterweight pistol</x:v>
      </x:c>
      <x:c r="Q117" s="360" t="str">
        <x:v>reps/leg</x:v>
      </x:c>
      <x:c r="R117" s="365" t="n">
        <x:v>3</x:v>
      </x:c>
      <x:c r="S117" s="365" t="n">
        <x:v>4</x:v>
      </x:c>
      <x:c r="T117" s="366" t="n">
        <x:f>IF(OR(COUNTIFS(Strategy!$B$36:$B$90,P117)&lt;&gt;1,COUNTIFS(Strategy!$B$36:$B$90,P117,Strategy!$C$36:$C$90,"&lt;&gt;")&lt;&gt;1),"",INDEX(Strategy!$C$36:$C$90,MATCH(P117,Strategy!$B$36:$B$90,0)))</x:f>
        <x:v>4</x:v>
      </x:c>
      <x:c r="U117" s="366" t="n">
        <x:f>IF(OR(COUNT(R117:S117)&lt;&gt;2,R117&lt;0,R117&lt;&gt;INT(R117),S117&lt;=0),"",R117*S117)</x:f>
        <x:v>12</x:v>
      </x:c>
      <x:c r="V117" s="388" t="n">
        <x:f>IF(OR(NOT(ISNUMBER(U117)),NOT(ISNUMBER($O$1)),$O$1&lt;=0),"",IF(Q117="seconds",U117/$O$1,IF(Q117="reps/leg",2*U117,IF(Q117="reps",U117,""))))</x:f>
        <x:v>24</x:v>
      </x:c>
      <x:c r="W117" s="359" t="str">
        <x:f>IF(OR(COUNTIFS(Strategy!$B$36:$B$90,P117)&lt;&gt;1,COUNTIFS(Strategy!$B$36:$B$90,P117,Strategy!$D$36:$D$90,"&lt;&gt;")&lt;&gt;1),"",INDEX(Strategy!$D$36:$D$90,MATCH(P117,Strategy!$B$36:$B$90,0)))</x:f>
        <x:v>reps/leg</x:v>
      </x:c>
      <x:c r="X117" s="369" t="n">
        <x:f>IF(OR(COUNT(T117:V117)&lt;&gt;3,Q117&lt;&gt;W117,T117&lt;0,T117&gt;10),"",T117*V117)</x:f>
        <x:v>96</x:v>
      </x:c>
      <x:c r="Y117" s="373" t="str"/>
    </x:row>
    <x:row r="118" ht="15" hidden="0" customHeight="1">
      <x:c r="A118" s="327" t="n">
        <x:f>Daily!A36</x:f>
        <x:v>46378.5</x:v>
      </x:c>
      <x:c r="B118" s="322" t="str">
        <x:f>Daily!D36</x:f>
        <x:v>Handstand technique</x:v>
      </x:c>
      <x:c r="C118" s="322" t="str">
        <x:v>A · Wrist/shoulder mobility</x:v>
      </x:c>
      <x:c r="D118" s="322" t="str">
        <x:v>seconds</x:v>
      </x:c>
      <x:c r="E118" s="324" t="b">
        <x:v>1</x:v>
      </x:c>
      <x:c r="F118" s="330" t="n">
        <x:v>120</x:v>
      </x:c>
      <x:c r="G118" s="331" t="str">
        <x:f>IF(AND(OR(Daily!H36=TRUE,Daily!AB36=TRUE),COUNT(Daily!I36)&gt;0),SUM(Daily!I36)*86400,"")</x:f>
      </x:c>
      <x:c r="H118" s="331" t="n">
        <x:f>IF(AND(E118=TRUE,ISNUMBER(F118),F118&gt;0),100,"")</x:f>
        <x:v>100</x:v>
      </x:c>
      <x:c r="I118" s="331" t="str">
        <x:f>IF(AND(ISNUMBER(H118),ISNUMBER(G118)),IF(J118="lower",IF(G118&gt;0,100*F118/G118,""),100*G118/F118),"")</x:f>
      </x:c>
      <x:c r="J118" s="325" t="str">
        <x:v>higher</x:v>
      </x:c>
      <x:c r="N118" s="364" t="n">
        <x:f>Daily!A25</x:f>
        <x:v>46359.5</x:v>
      </x:c>
      <x:c r="O118" s="361" t="str">
        <x:f>Daily!D25</x:f>
        <x:v>Skill B + circuit</x:v>
      </x:c>
      <x:c r="P118" s="372" t="str">
        <x:v>Pull-up</x:v>
      </x:c>
      <x:c r="Q118" s="362" t="str">
        <x:v>seconds</x:v>
      </x:c>
      <x:c r="R118" s="367" t="n">
        <x:v>5</x:v>
      </x:c>
      <x:c r="S118" s="367" t="n">
        <x:v>30</x:v>
      </x:c>
      <x:c r="T118" s="368" t="n">
        <x:f>IF(OR(COUNTIFS(Strategy!$B$36:$B$90,P118)&lt;&gt;1,COUNTIFS(Strategy!$B$36:$B$90,P118,Strategy!$C$36:$C$90,"&lt;&gt;")&lt;&gt;1),"",INDEX(Strategy!$C$36:$C$90,MATCH(P118,Strategy!$B$36:$B$90,0)))</x:f>
        <x:v>6</x:v>
      </x:c>
      <x:c r="U118" s="368" t="n">
        <x:f>IF(OR(COUNT(R118:S118)&lt;&gt;2,R118&lt;0,R118&lt;&gt;INT(R118),S118&lt;=0),"",R118*S118)</x:f>
        <x:v>150</x:v>
      </x:c>
      <x:c r="V118" s="389" t="n">
        <x:f>IF(OR(NOT(ISNUMBER(U118)),NOT(ISNUMBER($O$1)),$O$1&lt;=0),"",IF(Q118="seconds",U118/$O$1,IF(Q118="reps/leg",2*U118,IF(Q118="reps",U118,""))))</x:f>
        <x:v>50</x:v>
      </x:c>
      <x:c r="W118" s="361" t="str">
        <x:f>IF(OR(COUNTIFS(Strategy!$B$36:$B$90,P118)&lt;&gt;1,COUNTIFS(Strategy!$B$36:$B$90,P118,Strategy!$D$36:$D$90,"&lt;&gt;")&lt;&gt;1),"",INDEX(Strategy!$D$36:$D$90,MATCH(P118,Strategy!$B$36:$B$90,0)))</x:f>
        <x:v>seconds</x:v>
      </x:c>
      <x:c r="X118" s="370" t="n">
        <x:f>IF(OR(COUNT(T118:V118)&lt;&gt;3,Q118&lt;&gt;W118,T118&lt;0,T118&gt;10),"",T118*V118)</x:f>
        <x:v>300</x:v>
      </x:c>
      <x:c r="Y118" s="374" t="str">
        <x:v>Core: one 30-second work interval per round; rest excluded.</x:v>
      </x:c>
    </x:row>
    <x:row r="119" ht="15" hidden="0" customHeight="1">
      <x:c r="A119" s="326" t="n">
        <x:f>Daily!A36</x:f>
        <x:v>46378.5</x:v>
      </x:c>
      <x:c r="B119" s="318" t="str">
        <x:f>Daily!D36</x:f>
        <x:v>Handstand technique</x:v>
      </x:c>
      <x:c r="C119" s="318" t="str">
        <x:v>B · Easy chest-to-wall hold</x:v>
      </x:c>
      <x:c r="D119" s="318" t="str">
        <x:v>seconds</x:v>
      </x:c>
      <x:c r="E119" s="320" t="b">
        <x:v>1</x:v>
      </x:c>
      <x:c r="F119" s="328" t="n">
        <x:v>45</x:v>
      </x:c>
      <x:c r="G119" s="329" t="str">
        <x:f>IF(AND(OR(Daily!N36=TRUE,Daily!AB36=TRUE),COUNT(Daily!O36,Daily!P36,Daily!Q36)&gt;0),SUM(Daily!O36,Daily!P36,Daily!Q36)*86400,"")</x:f>
      </x:c>
      <x:c r="H119" s="329" t="n">
        <x:f>IF(AND(E119=TRUE,ISNUMBER(F119),F119&gt;0),100,"")</x:f>
        <x:v>100</x:v>
      </x:c>
      <x:c r="I119" s="329" t="str">
        <x:f>IF(AND(ISNUMBER(H119),ISNUMBER(G119)),IF(J119="lower",IF(G119&gt;0,100*F119/G119,""),100*G119/F119),"")</x:f>
      </x:c>
      <x:c r="J119" s="321" t="str">
        <x:v>higher</x:v>
      </x:c>
      <x:c r="N119" s="363" t="n">
        <x:f>Daily!A25</x:f>
        <x:v>46359.5</x:v>
      </x:c>
      <x:c r="O119" s="359" t="str">
        <x:f>Daily!D25</x:f>
        <x:v>Skill B + circuit</x:v>
      </x:c>
      <x:c r="P119" s="371" t="str">
        <x:v>Push-up</x:v>
      </x:c>
      <x:c r="Q119" s="360" t="str">
        <x:v>seconds</x:v>
      </x:c>
      <x:c r="R119" s="365" t="n">
        <x:v>5</x:v>
      </x:c>
      <x:c r="S119" s="365" t="n">
        <x:v>30</x:v>
      </x:c>
      <x:c r="T119" s="366" t="n">
        <x:f>IF(OR(COUNTIFS(Strategy!$B$36:$B$90,P119)&lt;&gt;1,COUNTIFS(Strategy!$B$36:$B$90,P119,Strategy!$C$36:$C$90,"&lt;&gt;")&lt;&gt;1),"",INDEX(Strategy!$C$36:$C$90,MATCH(P119,Strategy!$B$36:$B$90,0)))</x:f>
        <x:v>4</x:v>
      </x:c>
      <x:c r="U119" s="366" t="n">
        <x:f>IF(OR(COUNT(R119:S119)&lt;&gt;2,R119&lt;0,R119&lt;&gt;INT(R119),S119&lt;=0),"",R119*S119)</x:f>
        <x:v>150</x:v>
      </x:c>
      <x:c r="V119" s="388" t="n">
        <x:f>IF(OR(NOT(ISNUMBER(U119)),NOT(ISNUMBER($O$1)),$O$1&lt;=0),"",IF(Q119="seconds",U119/$O$1,IF(Q119="reps/leg",2*U119,IF(Q119="reps",U119,""))))</x:f>
        <x:v>50</x:v>
      </x:c>
      <x:c r="W119" s="359" t="str">
        <x:f>IF(OR(COUNTIFS(Strategy!$B$36:$B$90,P119)&lt;&gt;1,COUNTIFS(Strategy!$B$36:$B$90,P119,Strategy!$D$36:$D$90,"&lt;&gt;")&lt;&gt;1),"",INDEX(Strategy!$D$36:$D$90,MATCH(P119,Strategy!$B$36:$B$90,0)))</x:f>
        <x:v>seconds</x:v>
      </x:c>
      <x:c r="X119" s="369" t="n">
        <x:f>IF(OR(COUNT(T119:V119)&lt;&gt;3,Q119&lt;&gt;W119,T119&lt;0,T119&gt;10),"",T119*V119)</x:f>
        <x:v>200</x:v>
      </x:c>
      <x:c r="Y119" s="373" t="str">
        <x:v>Core: one 30-second work interval per round; rest excluded.</x:v>
      </x:c>
    </x:row>
    <x:row r="120" ht="15" hidden="0" customHeight="1">
      <x:c r="A120" s="327" t="n">
        <x:f>Daily!A36</x:f>
        <x:v>46378.5</x:v>
      </x:c>
      <x:c r="B120" s="322" t="str">
        <x:f>Daily!D36</x:f>
        <x:v>Handstand technique</x:v>
      </x:c>
      <x:c r="C120" s="322" t="str">
        <x:v>C · Wall handstand line drill</x:v>
      </x:c>
      <x:c r="D120" s="322" t="str">
        <x:v>seconds</x:v>
      </x:c>
      <x:c r="E120" s="324" t="b">
        <x:v>1</x:v>
      </x:c>
      <x:c r="F120" s="330" t="n">
        <x:v>30</x:v>
      </x:c>
      <x:c r="G120" s="331" t="str">
        <x:f>IF(AND(OR(Daily!T36=TRUE,Daily!AB36=TRUE),COUNT(Daily!U36,Daily!V36)&gt;0),SUM(Daily!U36,Daily!V36)*86400,"")</x:f>
      </x:c>
      <x:c r="H120" s="331" t="n">
        <x:f>IF(AND(E120=TRUE,ISNUMBER(F120),F120&gt;0),100,"")</x:f>
        <x:v>100</x:v>
      </x:c>
      <x:c r="I120" s="331" t="str">
        <x:f>IF(AND(ISNUMBER(H120),ISNUMBER(G120)),IF(J120="lower",IF(G120&gt;0,100*F120/G120,""),100*G120/F120),"")</x:f>
      </x:c>
      <x:c r="J120" s="325" t="str">
        <x:v>higher</x:v>
      </x:c>
      <x:c r="N120" s="364" t="n">
        <x:f>Daily!A25</x:f>
        <x:v>46359.5</x:v>
      </x:c>
      <x:c r="O120" s="361" t="str">
        <x:f>Daily!D25</x:f>
        <x:v>Skill B + circuit</x:v>
      </x:c>
      <x:c r="P120" s="372" t="str">
        <x:v>Weighted squat</x:v>
      </x:c>
      <x:c r="Q120" s="362" t="str">
        <x:v>seconds</x:v>
      </x:c>
      <x:c r="R120" s="367" t="n">
        <x:v>5</x:v>
      </x:c>
      <x:c r="S120" s="367" t="n">
        <x:v>30</x:v>
      </x:c>
      <x:c r="T120" s="368" t="n">
        <x:f>IF(OR(COUNTIFS(Strategy!$B$36:$B$90,P120)&lt;&gt;1,COUNTIFS(Strategy!$B$36:$B$90,P120,Strategy!$C$36:$C$90,"&lt;&gt;")&lt;&gt;1),"",INDEX(Strategy!$C$36:$C$90,MATCH(P120,Strategy!$B$36:$B$90,0)))</x:f>
        <x:v>5</x:v>
      </x:c>
      <x:c r="U120" s="368" t="n">
        <x:f>IF(OR(COUNT(R120:S120)&lt;&gt;2,R120&lt;0,R120&lt;&gt;INT(R120),S120&lt;=0),"",R120*S120)</x:f>
        <x:v>150</x:v>
      </x:c>
      <x:c r="V120" s="389" t="n">
        <x:f>IF(OR(NOT(ISNUMBER(U120)),NOT(ISNUMBER($O$1)),$O$1&lt;=0),"",IF(Q120="seconds",U120/$O$1,IF(Q120="reps/leg",2*U120,IF(Q120="reps",U120,""))))</x:f>
        <x:v>50</x:v>
      </x:c>
      <x:c r="W120" s="361" t="str">
        <x:f>IF(OR(COUNTIFS(Strategy!$B$36:$B$90,P120)&lt;&gt;1,COUNTIFS(Strategy!$B$36:$B$90,P120,Strategy!$D$36:$D$90,"&lt;&gt;")&lt;&gt;1),"",INDEX(Strategy!$D$36:$D$90,MATCH(P120,Strategy!$B$36:$B$90,0)))</x:f>
        <x:v>seconds</x:v>
      </x:c>
      <x:c r="X120" s="370" t="n">
        <x:f>IF(OR(COUNT(T120:V120)&lt;&gt;3,Q120&lt;&gt;W120,T120&lt;0,T120&gt;10),"",T120*V120)</x:f>
        <x:v>250</x:v>
      </x:c>
      <x:c r="Y120" s="374" t="str">
        <x:v>Core: one 30-second work interval per round; rest excluded.</x:v>
      </x:c>
    </x:row>
    <x:row r="121" ht="15" hidden="0" customHeight="1">
      <x:c r="A121" s="326" t="n">
        <x:f>Daily!A37</x:f>
        <x:v>46380.5</x:v>
      </x:c>
      <x:c r="B121" s="318" t="str">
        <x:f>Daily!D37</x:f>
        <x:v>Skill B + circuit</x:v>
      </x:c>
      <x:c r="C121" s="318" t="str">
        <x:v>A · Full-ROM wall HSPU negative</x:v>
      </x:c>
      <x:c r="D121" s="318" t="str">
        <x:v>reps</x:v>
      </x:c>
      <x:c r="E121" s="320" t="b">
        <x:v>1</x:v>
      </x:c>
      <x:c r="F121" s="328" t="n">
        <x:v>3</x:v>
      </x:c>
      <x:c r="G121" s="329" t="str">
        <x:f>IF(AND(OR(Daily!H37=TRUE,Daily!AB37=TRUE),COUNT(Daily!I37,Daily!J37,Daily!K37)&gt;0),SUM(Daily!I37,Daily!J37,Daily!K37),"")</x:f>
      </x:c>
      <x:c r="H121" s="329" t="n">
        <x:f>IF(AND(E121=TRUE,ISNUMBER(F121),F121&gt;0),100,"")</x:f>
        <x:v>100</x:v>
      </x:c>
      <x:c r="I121" s="329" t="str">
        <x:f>IF(AND(ISNUMBER(H121),ISNUMBER(G121)),IF(J121="lower",IF(G121&gt;0,100*F121/G121,""),100*G121/F121),"")</x:f>
      </x:c>
      <x:c r="J121" s="321" t="str">
        <x:v>higher</x:v>
      </x:c>
      <x:c r="N121" s="363" t="n">
        <x:f>Daily!A25</x:f>
        <x:v>46359.5</x:v>
      </x:c>
      <x:c r="O121" s="359" t="str">
        <x:f>Daily!D25</x:f>
        <x:v>Skill B + circuit</x:v>
      </x:c>
      <x:c r="P121" s="371" t="str">
        <x:v>Upside-down hanging shoulder/ab work</x:v>
      </x:c>
      <x:c r="Q121" s="360" t="str">
        <x:v>seconds</x:v>
      </x:c>
      <x:c r="R121" s="365" t="n">
        <x:v>5</x:v>
      </x:c>
      <x:c r="S121" s="365" t="n">
        <x:v>30</x:v>
      </x:c>
      <x:c r="T121" s="366" t="n">
        <x:f>IF(OR(COUNTIFS(Strategy!$B$36:$B$90,P121)&lt;&gt;1,COUNTIFS(Strategy!$B$36:$B$90,P121,Strategy!$C$36:$C$90,"&lt;&gt;")&lt;&gt;1),"",INDEX(Strategy!$C$36:$C$90,MATCH(P121,Strategy!$B$36:$B$90,0)))</x:f>
        <x:v>5</x:v>
      </x:c>
      <x:c r="U121" s="366" t="n">
        <x:f>IF(OR(COUNT(R121:S121)&lt;&gt;2,R121&lt;0,R121&lt;&gt;INT(R121),S121&lt;=0),"",R121*S121)</x:f>
        <x:v>150</x:v>
      </x:c>
      <x:c r="V121" s="388" t="n">
        <x:f>IF(OR(NOT(ISNUMBER(U121)),NOT(ISNUMBER($O$1)),$O$1&lt;=0),"",IF(Q121="seconds",U121/$O$1,IF(Q121="reps/leg",2*U121,IF(Q121="reps",U121,""))))</x:f>
        <x:v>50</x:v>
      </x:c>
      <x:c r="W121" s="359" t="str">
        <x:f>IF(OR(COUNTIFS(Strategy!$B$36:$B$90,P121)&lt;&gt;1,COUNTIFS(Strategy!$B$36:$B$90,P121,Strategy!$D$36:$D$90,"&lt;&gt;")&lt;&gt;1),"",INDEX(Strategy!$D$36:$D$90,MATCH(P121,Strategy!$B$36:$B$90,0)))</x:f>
        <x:v>seconds</x:v>
      </x:c>
      <x:c r="X121" s="369" t="n">
        <x:f>IF(OR(COUNT(T121:V121)&lt;&gt;3,Q121&lt;&gt;W121,T121&lt;0,T121&gt;10),"",T121*V121)</x:f>
        <x:v>250</x:v>
      </x:c>
      <x:c r="Y121" s="373" t="str">
        <x:v>Core: one 30-second work interval per round; rest excluded.</x:v>
      </x:c>
    </x:row>
    <x:row r="122" ht="15" hidden="0" customHeight="1">
      <x:c r="A122" s="327" t="n">
        <x:f>Daily!A37</x:f>
        <x:v>46380.5</x:v>
      </x:c>
      <x:c r="B122" s="322" t="str">
        <x:f>Daily!D37</x:f>
        <x:v>Skill B + circuit</x:v>
      </x:c>
      <x:c r="C122" s="322" t="str">
        <x:v>B · Partial wall HSPU</x:v>
      </x:c>
      <x:c r="D122" s="322" t="str">
        <x:v>reps</x:v>
      </x:c>
      <x:c r="E122" s="324" t="b">
        <x:v>1</x:v>
      </x:c>
      <x:c r="F122" s="330" t="n">
        <x:v>9</x:v>
      </x:c>
      <x:c r="G122" s="331" t="str">
        <x:f>IF(AND(OR(Daily!N37=TRUE,Daily!AB37=TRUE),COUNT(Daily!O37,Daily!P37,Daily!Q37)&gt;0),SUM(Daily!O37,Daily!P37,Daily!Q37),"")</x:f>
      </x:c>
      <x:c r="H122" s="331" t="n">
        <x:f>IF(AND(E122=TRUE,ISNUMBER(F122),F122&gt;0),100,"")</x:f>
        <x:v>100</x:v>
      </x:c>
      <x:c r="I122" s="331" t="str">
        <x:f>IF(AND(ISNUMBER(H122),ISNUMBER(G122)),IF(J122="lower",IF(G122&gt;0,100*F122/G122,""),100*G122/F122),"")</x:f>
      </x:c>
      <x:c r="J122" s="325" t="str">
        <x:v>higher</x:v>
      </x:c>
      <x:c r="N122" s="364" t="n">
        <x:f>Daily!A26</x:f>
        <x:v>46361.5</x:v>
      </x:c>
      <x:c r="O122" s="361" t="str">
        <x:f>Daily!D26</x:f>
        <x:v>Skill micro-session</x:v>
      </x:c>
      <x:c r="P122" s="372" t="str">
        <x:v>Wrist/shoulder mobility</x:v>
      </x:c>
      <x:c r="Q122" s="362" t="str">
        <x:v>seconds</x:v>
      </x:c>
      <x:c r="R122" s="367" t="n">
        <x:v>1</x:v>
      </x:c>
      <x:c r="S122" s="367" t="n">
        <x:v>120</x:v>
      </x:c>
      <x:c r="T122" s="368" t="n">
        <x:f>IF(OR(COUNTIFS(Strategy!$B$36:$B$90,P122)&lt;&gt;1,COUNTIFS(Strategy!$B$36:$B$90,P122,Strategy!$C$36:$C$90,"&lt;&gt;")&lt;&gt;1),"",INDEX(Strategy!$C$36:$C$90,MATCH(P122,Strategy!$B$36:$B$90,0)))</x:f>
        <x:v>1</x:v>
      </x:c>
      <x:c r="U122" s="368" t="n">
        <x:f>IF(OR(COUNT(R122:S122)&lt;&gt;2,R122&lt;0,R122&lt;&gt;INT(R122),S122&lt;=0),"",R122*S122)</x:f>
        <x:v>120</x:v>
      </x:c>
      <x:c r="V122" s="389" t="n">
        <x:f>IF(OR(NOT(ISNUMBER(U122)),NOT(ISNUMBER($O$1)),$O$1&lt;=0),"",IF(Q122="seconds",U122/$O$1,IF(Q122="reps/leg",2*U122,IF(Q122="reps",U122,""))))</x:f>
        <x:v>40</x:v>
      </x:c>
      <x:c r="W122" s="361" t="str">
        <x:f>IF(OR(COUNTIFS(Strategy!$B$36:$B$90,P122)&lt;&gt;1,COUNTIFS(Strategy!$B$36:$B$90,P122,Strategy!$D$36:$D$90,"&lt;&gt;")&lt;&gt;1),"",INDEX(Strategy!$D$36:$D$90,MATCH(P122,Strategy!$B$36:$B$90,0)))</x:f>
        <x:v>seconds</x:v>
      </x:c>
      <x:c r="X122" s="370" t="n">
        <x:f>IF(OR(COUNT(T122:V122)&lt;&gt;3,Q122&lt;&gt;W122,T122&lt;0,T122&gt;10),"",T122*V122)</x:f>
        <x:v>40</x:v>
      </x:c>
      <x:c r="Y122" s="374" t="str"/>
    </x:row>
    <x:row r="123" ht="15" hidden="0" customHeight="1">
      <x:c r="A123" s="326" t="n">
        <x:f>Daily!A37</x:f>
        <x:v>46380.5</x:v>
      </x:c>
      <x:c r="B123" s="318" t="str">
        <x:f>Daily!D37</x:f>
        <x:v>Skill B + circuit</x:v>
      </x:c>
      <x:c r="C123" s="318" t="str">
        <x:v>C · Unassisted pistol</x:v>
      </x:c>
      <x:c r="D123" s="318" t="str">
        <x:v>reps/leg</x:v>
      </x:c>
      <x:c r="E123" s="320" t="b">
        <x:v>1</x:v>
      </x:c>
      <x:c r="F123" s="328" t="n">
        <x:v>3</x:v>
      </x:c>
      <x:c r="G123" s="329" t="str">
        <x:f>IF(AND(OR(Daily!T37=TRUE,Daily!AB37=TRUE),COUNT(Daily!U37,Daily!V37,Daily!W37)&gt;0),SUM(Daily!U37,Daily!V37,Daily!W37),"")</x:f>
      </x:c>
      <x:c r="H123" s="329" t="n">
        <x:f>IF(AND(E123=TRUE,ISNUMBER(F123),F123&gt;0),100,"")</x:f>
        <x:v>100</x:v>
      </x:c>
      <x:c r="I123" s="329" t="str">
        <x:f>IF(AND(ISNUMBER(H123),ISNUMBER(G123)),IF(J123="lower",IF(G123&gt;0,100*F123/G123,""),100*G123/F123),"")</x:f>
      </x:c>
      <x:c r="J123" s="321" t="str">
        <x:v>higher</x:v>
      </x:c>
      <x:c r="N123" s="363" t="n">
        <x:f>Daily!A26</x:f>
        <x:v>46361.5</x:v>
      </x:c>
      <x:c r="O123" s="359" t="str">
        <x:f>Daily!D26</x:f>
        <x:v>Skill micro-session</x:v>
      </x:c>
      <x:c r="P123" s="371" t="str">
        <x:v>Easy chest-to-wall hold</x:v>
      </x:c>
      <x:c r="Q123" s="360" t="str">
        <x:v>seconds</x:v>
      </x:c>
      <x:c r="R123" s="365" t="n">
        <x:v>3</x:v>
      </x:c>
      <x:c r="S123" s="365" t="n">
        <x:v>15</x:v>
      </x:c>
      <x:c r="T123" s="366" t="n">
        <x:f>IF(OR(COUNTIFS(Strategy!$B$36:$B$90,P123)&lt;&gt;1,COUNTIFS(Strategy!$B$36:$B$90,P123,Strategy!$C$36:$C$90,"&lt;&gt;")&lt;&gt;1),"",INDEX(Strategy!$C$36:$C$90,MATCH(P123,Strategy!$B$36:$B$90,0)))</x:f>
        <x:v>1</x:v>
      </x:c>
      <x:c r="U123" s="366" t="n">
        <x:f>IF(OR(COUNT(R123:S123)&lt;&gt;2,R123&lt;0,R123&lt;&gt;INT(R123),S123&lt;=0),"",R123*S123)</x:f>
        <x:v>45</x:v>
      </x:c>
      <x:c r="V123" s="388" t="n">
        <x:f>IF(OR(NOT(ISNUMBER(U123)),NOT(ISNUMBER($O$1)),$O$1&lt;=0),"",IF(Q123="seconds",U123/$O$1,IF(Q123="reps/leg",2*U123,IF(Q123="reps",U123,""))))</x:f>
        <x:v>15</x:v>
      </x:c>
      <x:c r="W123" s="359" t="str">
        <x:f>IF(OR(COUNTIFS(Strategy!$B$36:$B$90,P123)&lt;&gt;1,COUNTIFS(Strategy!$B$36:$B$90,P123,Strategy!$D$36:$D$90,"&lt;&gt;")&lt;&gt;1),"",INDEX(Strategy!$D$36:$D$90,MATCH(P123,Strategy!$B$36:$B$90,0)))</x:f>
        <x:v>seconds</x:v>
      </x:c>
      <x:c r="X123" s="369" t="n">
        <x:f>IF(OR(COUNT(T123:V123)&lt;&gt;3,Q123&lt;&gt;W123,T123&lt;0,T123&gt;10),"",T123*V123)</x:f>
        <x:v>15</x:v>
      </x:c>
      <x:c r="Y123" s="373" t="str"/>
    </x:row>
    <x:row r="124" ht="15" hidden="0" customHeight="1">
      <x:c r="A124" s="327" t="n">
        <x:f>Daily!A37</x:f>
        <x:v>46380.5</x:v>
      </x:c>
      <x:c r="B124" s="322" t="str">
        <x:f>Daily!D37</x:f>
        <x:v>Skill B + circuit</x:v>
      </x:c>
      <x:c r="C124" s="322" t="str">
        <x:v>Core</x:v>
      </x:c>
      <x:c r="D124" s="322" t="str">
        <x:v>rounds</x:v>
      </x:c>
      <x:c r="E124" s="324" t="b">
        <x:v>1</x:v>
      </x:c>
      <x:c r="F124" s="330" t="n">
        <x:v>5</x:v>
      </x:c>
      <x:c r="G124" s="331" t="str">
        <x:f>IF(AND(OR(Daily!Z37=TRUE,Daily!AB37=TRUE),COUNT(Daily!AA37)&gt;0),SUM(Daily!AA37),"")</x:f>
      </x:c>
      <x:c r="H124" s="331" t="n">
        <x:f>IF(AND(E124=TRUE,ISNUMBER(F124),F124&gt;0),100,"")</x:f>
        <x:v>100</x:v>
      </x:c>
      <x:c r="I124" s="331" t="str">
        <x:f>IF(AND(ISNUMBER(H124),ISNUMBER(G124)),IF(J124="lower",IF(G124&gt;0,100*F124/G124,""),100*G124/F124),"")</x:f>
      </x:c>
      <x:c r="J124" s="325" t="str">
        <x:v>higher</x:v>
      </x:c>
      <x:c r="N124" s="364" t="n">
        <x:f>Daily!A26</x:f>
        <x:v>46361.5</x:v>
      </x:c>
      <x:c r="O124" s="361" t="str">
        <x:f>Daily!D26</x:f>
        <x:v>Skill micro-session</x:v>
      </x:c>
      <x:c r="P124" s="372" t="str">
        <x:v>Wall handstand line drill</x:v>
      </x:c>
      <x:c r="Q124" s="362" t="str">
        <x:v>seconds</x:v>
      </x:c>
      <x:c r="R124" s="367" t="n">
        <x:v>3</x:v>
      </x:c>
      <x:c r="S124" s="367" t="n">
        <x:v>15</x:v>
      </x:c>
      <x:c r="T124" s="368" t="n">
        <x:f>IF(OR(COUNTIFS(Strategy!$B$36:$B$90,P124)&lt;&gt;1,COUNTIFS(Strategy!$B$36:$B$90,P124,Strategy!$C$36:$C$90,"&lt;&gt;")&lt;&gt;1),"",INDEX(Strategy!$C$36:$C$90,MATCH(P124,Strategy!$B$36:$B$90,0)))</x:f>
        <x:v>1</x:v>
      </x:c>
      <x:c r="U124" s="368" t="n">
        <x:f>IF(OR(COUNT(R124:S124)&lt;&gt;2,R124&lt;0,R124&lt;&gt;INT(R124),S124&lt;=0),"",R124*S124)</x:f>
        <x:v>45</x:v>
      </x:c>
      <x:c r="V124" s="389" t="n">
        <x:f>IF(OR(NOT(ISNUMBER(U124)),NOT(ISNUMBER($O$1)),$O$1&lt;=0),"",IF(Q124="seconds",U124/$O$1,IF(Q124="reps/leg",2*U124,IF(Q124="reps",U124,""))))</x:f>
        <x:v>15</x:v>
      </x:c>
      <x:c r="W124" s="361" t="str">
        <x:f>IF(OR(COUNTIFS(Strategy!$B$36:$B$90,P124)&lt;&gt;1,COUNTIFS(Strategy!$B$36:$B$90,P124,Strategy!$D$36:$D$90,"&lt;&gt;")&lt;&gt;1),"",INDEX(Strategy!$D$36:$D$90,MATCH(P124,Strategy!$B$36:$B$90,0)))</x:f>
        <x:v>seconds</x:v>
      </x:c>
      <x:c r="X124" s="370" t="n">
        <x:f>IF(OR(COUNT(T124:V124)&lt;&gt;3,Q124&lt;&gt;W124,T124&lt;0,T124&gt;10),"",T124*V124)</x:f>
        <x:v>15</x:v>
      </x:c>
      <x:c r="Y124" s="374" t="str"/>
    </x:row>
    <x:row r="125" ht="15" hidden="0" customHeight="1">
      <x:c r="A125" s="326" t="n">
        <x:f>Daily!A38</x:f>
        <x:v>46382.5</x:v>
      </x:c>
      <x:c r="B125" s="318" t="str">
        <x:f>Daily!D38</x:f>
        <x:v>Skill micro-session</x:v>
      </x:c>
      <x:c r="C125" s="318" t="str">
        <x:v>A · Wrist/shoulder mobility</x:v>
      </x:c>
      <x:c r="D125" s="318" t="str">
        <x:v>seconds</x:v>
      </x:c>
      <x:c r="E125" s="320" t="b">
        <x:v>1</x:v>
      </x:c>
      <x:c r="F125" s="328" t="n">
        <x:v>120</x:v>
      </x:c>
      <x:c r="G125" s="329" t="str">
        <x:f>IF(AND(OR(Daily!H38=TRUE,Daily!AB38=TRUE),COUNT(Daily!I38)&gt;0),SUM(Daily!I38)*86400,"")</x:f>
      </x:c>
      <x:c r="H125" s="329" t="n">
        <x:f>IF(AND(E125=TRUE,ISNUMBER(F125),F125&gt;0),100,"")</x:f>
        <x:v>100</x:v>
      </x:c>
      <x:c r="I125" s="329" t="str">
        <x:f>IF(AND(ISNUMBER(H125),ISNUMBER(G125)),IF(J125="lower",IF(G125&gt;0,100*F125/G125,""),100*G125/F125),"")</x:f>
      </x:c>
      <x:c r="J125" s="321" t="str">
        <x:v>higher</x:v>
      </x:c>
      <x:c r="N125" s="363" t="n">
        <x:f>Daily!A27</x:f>
        <x:v>46363.5</x:v>
      </x:c>
      <x:c r="O125" s="359" t="str">
        <x:f>Daily!D27</x:f>
        <x:v>Skill A + interval circuit</x:v>
      </x:c>
      <x:c r="P125" s="371" t="str">
        <x:v>Light-band muscle-up</x:v>
      </x:c>
      <x:c r="Q125" s="360" t="str">
        <x:v>reps</x:v>
      </x:c>
      <x:c r="R125" s="365" t="n">
        <x:v>4</x:v>
      </x:c>
      <x:c r="S125" s="365" t="n">
        <x:v>1</x:v>
      </x:c>
      <x:c r="T125" s="366" t="n">
        <x:f>IF(OR(COUNTIFS(Strategy!$B$36:$B$90,P125)&lt;&gt;1,COUNTIFS(Strategy!$B$36:$B$90,P125,Strategy!$C$36:$C$90,"&lt;&gt;")&lt;&gt;1),"",INDEX(Strategy!$C$36:$C$90,MATCH(P125,Strategy!$B$36:$B$90,0)))</x:f>
        <x:v>7</x:v>
      </x:c>
      <x:c r="U125" s="366" t="n">
        <x:f>IF(OR(COUNT(R125:S125)&lt;&gt;2,R125&lt;0,R125&lt;&gt;INT(R125),S125&lt;=0),"",R125*S125)</x:f>
        <x:v>4</x:v>
      </x:c>
      <x:c r="V125" s="388" t="n">
        <x:f>IF(OR(NOT(ISNUMBER(U125)),NOT(ISNUMBER($O$1)),$O$1&lt;=0),"",IF(Q125="seconds",U125/$O$1,IF(Q125="reps/leg",2*U125,IF(Q125="reps",U125,""))))</x:f>
        <x:v>4</x:v>
      </x:c>
      <x:c r="W125" s="359" t="str">
        <x:f>IF(OR(COUNTIFS(Strategy!$B$36:$B$90,P125)&lt;&gt;1,COUNTIFS(Strategy!$B$36:$B$90,P125,Strategy!$D$36:$D$90,"&lt;&gt;")&lt;&gt;1),"",INDEX(Strategy!$D$36:$D$90,MATCH(P125,Strategy!$B$36:$B$90,0)))</x:f>
        <x:v>reps</x:v>
      </x:c>
      <x:c r="X125" s="369" t="n">
        <x:f>IF(OR(COUNT(T125:V125)&lt;&gt;3,Q125&lt;&gt;W125,T125&lt;0,T125&gt;10),"",T125*V125)</x:f>
        <x:v>28</x:v>
      </x:c>
      <x:c r="Y125" s="373" t="str"/>
    </x:row>
    <x:row r="126" ht="15" hidden="0" customHeight="1">
      <x:c r="A126" s="327" t="n">
        <x:f>Daily!A38</x:f>
        <x:v>46382.5</x:v>
      </x:c>
      <x:c r="B126" s="322" t="str">
        <x:f>Daily!D38</x:f>
        <x:v>Skill micro-session</x:v>
      </x:c>
      <x:c r="C126" s="322" t="str">
        <x:v>B · Easy chest-to-wall hold</x:v>
      </x:c>
      <x:c r="D126" s="322" t="str">
        <x:v>seconds</x:v>
      </x:c>
      <x:c r="E126" s="324" t="b">
        <x:v>1</x:v>
      </x:c>
      <x:c r="F126" s="330" t="n">
        <x:v>45</x:v>
      </x:c>
      <x:c r="G126" s="331" t="str">
        <x:f>IF(AND(OR(Daily!N38=TRUE,Daily!AB38=TRUE),COUNT(Daily!O38,Daily!P38,Daily!Q38)&gt;0),SUM(Daily!O38,Daily!P38,Daily!Q38)*86400,"")</x:f>
      </x:c>
      <x:c r="H126" s="331" t="n">
        <x:f>IF(AND(E126=TRUE,ISNUMBER(F126),F126&gt;0),100,"")</x:f>
        <x:v>100</x:v>
      </x:c>
      <x:c r="I126" s="331" t="str">
        <x:f>IF(AND(ISNUMBER(H126),ISNUMBER(G126)),IF(J126="lower",IF(G126&gt;0,100*F126/G126,""),100*G126/F126),"")</x:f>
      </x:c>
      <x:c r="J126" s="325" t="str">
        <x:v>higher</x:v>
      </x:c>
      <x:c r="N126" s="364" t="n">
        <x:f>Daily!A27</x:f>
        <x:v>46363.5</x:v>
      </x:c>
      <x:c r="O126" s="361" t="str">
        <x:f>Daily!D27</x:f>
        <x:v>Skill A + interval circuit</x:v>
      </x:c>
      <x:c r="P126" s="372" t="str">
        <x:v>Band-assisted transition</x:v>
      </x:c>
      <x:c r="Q126" s="362" t="str">
        <x:v>reps</x:v>
      </x:c>
      <x:c r="R126" s="367" t="n">
        <x:v>3</x:v>
      </x:c>
      <x:c r="S126" s="367" t="n">
        <x:v>2</x:v>
      </x:c>
      <x:c r="T126" s="368" t="n">
        <x:f>IF(OR(COUNTIFS(Strategy!$B$36:$B$90,P126)&lt;&gt;1,COUNTIFS(Strategy!$B$36:$B$90,P126,Strategy!$C$36:$C$90,"&lt;&gt;")&lt;&gt;1),"",INDEX(Strategy!$C$36:$C$90,MATCH(P126,Strategy!$B$36:$B$90,0)))</x:f>
        <x:v>4</x:v>
      </x:c>
      <x:c r="U126" s="368" t="n">
        <x:f>IF(OR(COUNT(R126:S126)&lt;&gt;2,R126&lt;0,R126&lt;&gt;INT(R126),S126&lt;=0),"",R126*S126)</x:f>
        <x:v>6</x:v>
      </x:c>
      <x:c r="V126" s="389" t="n">
        <x:f>IF(OR(NOT(ISNUMBER(U126)),NOT(ISNUMBER($O$1)),$O$1&lt;=0),"",IF(Q126="seconds",U126/$O$1,IF(Q126="reps/leg",2*U126,IF(Q126="reps",U126,""))))</x:f>
        <x:v>6</x:v>
      </x:c>
      <x:c r="W126" s="361" t="str">
        <x:f>IF(OR(COUNTIFS(Strategy!$B$36:$B$90,P126)&lt;&gt;1,COUNTIFS(Strategy!$B$36:$B$90,P126,Strategy!$D$36:$D$90,"&lt;&gt;")&lt;&gt;1),"",INDEX(Strategy!$D$36:$D$90,MATCH(P126,Strategy!$B$36:$B$90,0)))</x:f>
        <x:v>reps</x:v>
      </x:c>
      <x:c r="X126" s="370" t="n">
        <x:f>IF(OR(COUNT(T126:V126)&lt;&gt;3,Q126&lt;&gt;W126,T126&lt;0,T126&gt;10),"",T126*V126)</x:f>
        <x:v>24</x:v>
      </x:c>
      <x:c r="Y126" s="374" t="str"/>
    </x:row>
    <x:row r="127" ht="15" hidden="0" customHeight="1">
      <x:c r="A127" s="326" t="n">
        <x:f>Daily!A38</x:f>
        <x:v>46382.5</x:v>
      </x:c>
      <x:c r="B127" s="318" t="str">
        <x:f>Daily!D38</x:f>
        <x:v>Skill micro-session</x:v>
      </x:c>
      <x:c r="C127" s="318" t="str">
        <x:v>C · Wall handstand line drill</x:v>
      </x:c>
      <x:c r="D127" s="318" t="str">
        <x:v>seconds</x:v>
      </x:c>
      <x:c r="E127" s="320" t="b">
        <x:v>1</x:v>
      </x:c>
      <x:c r="F127" s="328" t="n">
        <x:v>45</x:v>
      </x:c>
      <x:c r="G127" s="329" t="str">
        <x:f>IF(AND(OR(Daily!T38=TRUE,Daily!AB38=TRUE),COUNT(Daily!U38,Daily!V38,Daily!W38)&gt;0),SUM(Daily!U38,Daily!V38,Daily!W38)*86400,"")</x:f>
      </x:c>
      <x:c r="H127" s="329" t="n">
        <x:f>IF(AND(E127=TRUE,ISNUMBER(F127),F127&gt;0),100,"")</x:f>
        <x:v>100</x:v>
      </x:c>
      <x:c r="I127" s="329" t="str">
        <x:f>IF(AND(ISNUMBER(H127),ISNUMBER(G127)),IF(J127="lower",IF(G127&gt;0,100*F127/G127,""),100*G127/F127),"")</x:f>
      </x:c>
      <x:c r="J127" s="321" t="str">
        <x:v>higher</x:v>
      </x:c>
      <x:c r="N127" s="363" t="n">
        <x:f>Daily!A27</x:f>
        <x:v>46363.5</x:v>
      </x:c>
      <x:c r="O127" s="359" t="str">
        <x:f>Daily!D27</x:f>
        <x:v>Skill A + interval circuit</x:v>
      </x:c>
      <x:c r="P127" s="371" t="str">
        <x:v>Unassisted pistol to target</x:v>
      </x:c>
      <x:c r="Q127" s="360" t="str">
        <x:v>reps/leg</x:v>
      </x:c>
      <x:c r="R127" s="365" t="n">
        <x:v>3</x:v>
      </x:c>
      <x:c r="S127" s="365" t="n">
        <x:v>1</x:v>
      </x:c>
      <x:c r="T127" s="366" t="n">
        <x:f>IF(OR(COUNTIFS(Strategy!$B$36:$B$90,P127)&lt;&gt;1,COUNTIFS(Strategy!$B$36:$B$90,P127,Strategy!$C$36:$C$90,"&lt;&gt;")&lt;&gt;1),"",INDEX(Strategy!$C$36:$C$90,MATCH(P127,Strategy!$B$36:$B$90,0)))</x:f>
        <x:v>2</x:v>
      </x:c>
      <x:c r="U127" s="366" t="n">
        <x:f>IF(OR(COUNT(R127:S127)&lt;&gt;2,R127&lt;0,R127&lt;&gt;INT(R127),S127&lt;=0),"",R127*S127)</x:f>
        <x:v>3</x:v>
      </x:c>
      <x:c r="V127" s="388" t="n">
        <x:f>IF(OR(NOT(ISNUMBER(U127)),NOT(ISNUMBER($O$1)),$O$1&lt;=0),"",IF(Q127="seconds",U127/$O$1,IF(Q127="reps/leg",2*U127,IF(Q127="reps",U127,""))))</x:f>
        <x:v>6</x:v>
      </x:c>
      <x:c r="W127" s="359" t="str">
        <x:f>IF(OR(COUNTIFS(Strategy!$B$36:$B$90,P127)&lt;&gt;1,COUNTIFS(Strategy!$B$36:$B$90,P127,Strategy!$D$36:$D$90,"&lt;&gt;")&lt;&gt;1),"",INDEX(Strategy!$D$36:$D$90,MATCH(P127,Strategy!$B$36:$B$90,0)))</x:f>
        <x:v>reps/leg</x:v>
      </x:c>
      <x:c r="X127" s="369" t="n">
        <x:f>IF(OR(COUNT(T127:V127)&lt;&gt;3,Q127&lt;&gt;W127,T127&lt;0,T127&gt;10),"",T127*V127)</x:f>
        <x:v>12</x:v>
      </x:c>
      <x:c r="Y127" s="373" t="str"/>
    </x:row>
    <x:row r="128" ht="15" hidden="0" customHeight="1">
      <x:c r="A128" s="327" t="n">
        <x:f>Daily!A39</x:f>
        <x:v>46384.5</x:v>
      </x:c>
      <x:c r="B128" s="322" t="str">
        <x:f>Daily!D39</x:f>
        <x:v>Skill A + interval circuit</x:v>
      </x:c>
      <x:c r="C128" s="322" t="str">
        <x:v>B · Band-assisted muscle-up</x:v>
      </x:c>
      <x:c r="D128" s="322" t="str">
        <x:v>reps</x:v>
      </x:c>
      <x:c r="E128" s="324" t="b">
        <x:v>1</x:v>
      </x:c>
      <x:c r="F128" s="330" t="n">
        <x:v>4</x:v>
      </x:c>
      <x:c r="G128" s="331" t="str">
        <x:f>IF(AND(OR(Daily!N39=TRUE,Daily!AB39=TRUE),COUNT(Daily!O39,Daily!P39)&gt;0),SUM(Daily!O39,Daily!P39),"")</x:f>
      </x:c>
      <x:c r="H128" s="331" t="n">
        <x:f>IF(AND(E128=TRUE,ISNUMBER(F128),F128&gt;0),100,"")</x:f>
        <x:v>100</x:v>
      </x:c>
      <x:c r="I128" s="331" t="str">
        <x:f>IF(AND(ISNUMBER(H128),ISNUMBER(G128)),IF(J128="lower",IF(G128&gt;0,100*F128/G128,""),100*G128/F128),"")</x:f>
      </x:c>
      <x:c r="J128" s="325" t="str">
        <x:v>higher</x:v>
      </x:c>
      <x:c r="N128" s="364" t="n">
        <x:f>Daily!A27</x:f>
        <x:v>46363.5</x:v>
      </x:c>
      <x:c r="O128" s="361" t="str">
        <x:f>Daily!D27</x:f>
        <x:v>Skill A + interval circuit</x:v>
      </x:c>
      <x:c r="P128" s="372" t="str">
        <x:v>Pull-up</x:v>
      </x:c>
      <x:c r="Q128" s="362" t="str">
        <x:v>seconds</x:v>
      </x:c>
      <x:c r="R128" s="367" t="n">
        <x:v>5</x:v>
      </x:c>
      <x:c r="S128" s="367" t="n">
        <x:v>30</x:v>
      </x:c>
      <x:c r="T128" s="368" t="n">
        <x:f>IF(OR(COUNTIFS(Strategy!$B$36:$B$90,P128)&lt;&gt;1,COUNTIFS(Strategy!$B$36:$B$90,P128,Strategy!$C$36:$C$90,"&lt;&gt;")&lt;&gt;1),"",INDEX(Strategy!$C$36:$C$90,MATCH(P128,Strategy!$B$36:$B$90,0)))</x:f>
        <x:v>6</x:v>
      </x:c>
      <x:c r="U128" s="368" t="n">
        <x:f>IF(OR(COUNT(R128:S128)&lt;&gt;2,R128&lt;0,R128&lt;&gt;INT(R128),S128&lt;=0),"",R128*S128)</x:f>
        <x:v>150</x:v>
      </x:c>
      <x:c r="V128" s="389" t="n">
        <x:f>IF(OR(NOT(ISNUMBER(U128)),NOT(ISNUMBER($O$1)),$O$1&lt;=0),"",IF(Q128="seconds",U128/$O$1,IF(Q128="reps/leg",2*U128,IF(Q128="reps",U128,""))))</x:f>
        <x:v>50</x:v>
      </x:c>
      <x:c r="W128" s="361" t="str">
        <x:f>IF(OR(COUNTIFS(Strategy!$B$36:$B$90,P128)&lt;&gt;1,COUNTIFS(Strategy!$B$36:$B$90,P128,Strategy!$D$36:$D$90,"&lt;&gt;")&lt;&gt;1),"",INDEX(Strategy!$D$36:$D$90,MATCH(P128,Strategy!$B$36:$B$90,0)))</x:f>
        <x:v>seconds</x:v>
      </x:c>
      <x:c r="X128" s="370" t="n">
        <x:f>IF(OR(COUNT(T128:V128)&lt;&gt;3,Q128&lt;&gt;W128,T128&lt;0,T128&gt;10),"",T128*V128)</x:f>
        <x:v>300</x:v>
      </x:c>
      <x:c r="Y128" s="374" t="str">
        <x:v>Core: one 30-second work interval per round; rest excluded.</x:v>
      </x:c>
    </x:row>
    <x:row r="129" ht="15" hidden="0" customHeight="1">
      <x:c r="A129" s="326" t="n">
        <x:f>Daily!A39</x:f>
        <x:v>46384.5</x:v>
      </x:c>
      <x:c r="B129" s="318" t="str">
        <x:f>Daily!D39</x:f>
        <x:v>Skill A + interval circuit</x:v>
      </x:c>
      <x:c r="C129" s="318" t="str">
        <x:v>Core</x:v>
      </x:c>
      <x:c r="D129" s="318" t="str">
        <x:v>rounds</x:v>
      </x:c>
      <x:c r="E129" s="320" t="b">
        <x:v>1</x:v>
      </x:c>
      <x:c r="F129" s="328" t="n">
        <x:v>5</x:v>
      </x:c>
      <x:c r="G129" s="329" t="str">
        <x:f>IF(AND(OR(Daily!Z39=TRUE,Daily!AB39=TRUE),COUNT(Daily!AA39)&gt;0),SUM(Daily!AA39),"")</x:f>
      </x:c>
      <x:c r="H129" s="329" t="n">
        <x:f>IF(AND(E129=TRUE,ISNUMBER(F129),F129&gt;0),100,"")</x:f>
        <x:v>100</x:v>
      </x:c>
      <x:c r="I129" s="329" t="str">
        <x:f>IF(AND(ISNUMBER(H129),ISNUMBER(G129)),IF(J129="lower",IF(G129&gt;0,100*F129/G129,""),100*G129/F129),"")</x:f>
      </x:c>
      <x:c r="J129" s="321" t="str">
        <x:v>higher</x:v>
      </x:c>
      <x:c r="N129" s="363" t="n">
        <x:f>Daily!A27</x:f>
        <x:v>46363.5</x:v>
      </x:c>
      <x:c r="O129" s="359" t="str">
        <x:f>Daily!D27</x:f>
        <x:v>Skill A + interval circuit</x:v>
      </x:c>
      <x:c r="P129" s="371" t="str">
        <x:v>Push-up</x:v>
      </x:c>
      <x:c r="Q129" s="360" t="str">
        <x:v>seconds</x:v>
      </x:c>
      <x:c r="R129" s="365" t="n">
        <x:v>5</x:v>
      </x:c>
      <x:c r="S129" s="365" t="n">
        <x:v>30</x:v>
      </x:c>
      <x:c r="T129" s="366" t="n">
        <x:f>IF(OR(COUNTIFS(Strategy!$B$36:$B$90,P129)&lt;&gt;1,COUNTIFS(Strategy!$B$36:$B$90,P129,Strategy!$C$36:$C$90,"&lt;&gt;")&lt;&gt;1),"",INDEX(Strategy!$C$36:$C$90,MATCH(P129,Strategy!$B$36:$B$90,0)))</x:f>
        <x:v>4</x:v>
      </x:c>
      <x:c r="U129" s="366" t="n">
        <x:f>IF(OR(COUNT(R129:S129)&lt;&gt;2,R129&lt;0,R129&lt;&gt;INT(R129),S129&lt;=0),"",R129*S129)</x:f>
        <x:v>150</x:v>
      </x:c>
      <x:c r="V129" s="388" t="n">
        <x:f>IF(OR(NOT(ISNUMBER(U129)),NOT(ISNUMBER($O$1)),$O$1&lt;=0),"",IF(Q129="seconds",U129/$O$1,IF(Q129="reps/leg",2*U129,IF(Q129="reps",U129,""))))</x:f>
        <x:v>50</x:v>
      </x:c>
      <x:c r="W129" s="359" t="str">
        <x:f>IF(OR(COUNTIFS(Strategy!$B$36:$B$90,P129)&lt;&gt;1,COUNTIFS(Strategy!$B$36:$B$90,P129,Strategy!$D$36:$D$90,"&lt;&gt;")&lt;&gt;1),"",INDEX(Strategy!$D$36:$D$90,MATCH(P129,Strategy!$B$36:$B$90,0)))</x:f>
        <x:v>seconds</x:v>
      </x:c>
      <x:c r="X129" s="369" t="n">
        <x:f>IF(OR(COUNT(T129:V129)&lt;&gt;3,Q129&lt;&gt;W129,T129&lt;0,T129&gt;10),"",T129*V129)</x:f>
        <x:v>200</x:v>
      </x:c>
      <x:c r="Y129" s="373" t="str">
        <x:v>Core: one 30-second work interval per round; rest excluded.</x:v>
      </x:c>
    </x:row>
    <x:row r="130" ht="15" hidden="0" customHeight="1">
      <x:c r="A130" s="327" t="n">
        <x:f>Daily!A40</x:f>
        <x:v>46385.5</x:v>
      </x:c>
      <x:c r="B130" s="322" t="str">
        <x:f>Daily!D40</x:f>
        <x:v>Handstand technique</x:v>
      </x:c>
      <x:c r="C130" s="322" t="str">
        <x:v>A · Wrist/shoulder mobility</x:v>
      </x:c>
      <x:c r="D130" s="322" t="str">
        <x:v>seconds</x:v>
      </x:c>
      <x:c r="E130" s="324" t="b">
        <x:v>1</x:v>
      </x:c>
      <x:c r="F130" s="330" t="n">
        <x:v>120</x:v>
      </x:c>
      <x:c r="G130" s="331" t="str">
        <x:f>IF(AND(OR(Daily!H40=TRUE,Daily!AB40=TRUE),COUNT(Daily!I40)&gt;0),SUM(Daily!I40)*86400,"")</x:f>
      </x:c>
      <x:c r="H130" s="331" t="n">
        <x:f>IF(AND(E130=TRUE,ISNUMBER(F130),F130&gt;0),100,"")</x:f>
        <x:v>100</x:v>
      </x:c>
      <x:c r="I130" s="331" t="str">
        <x:f>IF(AND(ISNUMBER(H130),ISNUMBER(G130)),IF(J130="lower",IF(G130&gt;0,100*F130/G130,""),100*G130/F130),"")</x:f>
      </x:c>
      <x:c r="J130" s="325" t="str">
        <x:v>higher</x:v>
      </x:c>
      <x:c r="N130" s="364" t="n">
        <x:f>Daily!A27</x:f>
        <x:v>46363.5</x:v>
      </x:c>
      <x:c r="O130" s="361" t="str">
        <x:f>Daily!D27</x:f>
        <x:v>Skill A + interval circuit</x:v>
      </x:c>
      <x:c r="P130" s="372" t="str">
        <x:v>Weighted squat</x:v>
      </x:c>
      <x:c r="Q130" s="362" t="str">
        <x:v>seconds</x:v>
      </x:c>
      <x:c r="R130" s="367" t="n">
        <x:v>5</x:v>
      </x:c>
      <x:c r="S130" s="367" t="n">
        <x:v>30</x:v>
      </x:c>
      <x:c r="T130" s="368" t="n">
        <x:f>IF(OR(COUNTIFS(Strategy!$B$36:$B$90,P130)&lt;&gt;1,COUNTIFS(Strategy!$B$36:$B$90,P130,Strategy!$C$36:$C$90,"&lt;&gt;")&lt;&gt;1),"",INDEX(Strategy!$C$36:$C$90,MATCH(P130,Strategy!$B$36:$B$90,0)))</x:f>
        <x:v>5</x:v>
      </x:c>
      <x:c r="U130" s="368" t="n">
        <x:f>IF(OR(COUNT(R130:S130)&lt;&gt;2,R130&lt;0,R130&lt;&gt;INT(R130),S130&lt;=0),"",R130*S130)</x:f>
        <x:v>150</x:v>
      </x:c>
      <x:c r="V130" s="389" t="n">
        <x:f>IF(OR(NOT(ISNUMBER(U130)),NOT(ISNUMBER($O$1)),$O$1&lt;=0),"",IF(Q130="seconds",U130/$O$1,IF(Q130="reps/leg",2*U130,IF(Q130="reps",U130,""))))</x:f>
        <x:v>50</x:v>
      </x:c>
      <x:c r="W130" s="361" t="str">
        <x:f>IF(OR(COUNTIFS(Strategy!$B$36:$B$90,P130)&lt;&gt;1,COUNTIFS(Strategy!$B$36:$B$90,P130,Strategy!$D$36:$D$90,"&lt;&gt;")&lt;&gt;1),"",INDEX(Strategy!$D$36:$D$90,MATCH(P130,Strategy!$B$36:$B$90,0)))</x:f>
        <x:v>seconds</x:v>
      </x:c>
      <x:c r="X130" s="370" t="n">
        <x:f>IF(OR(COUNT(T130:V130)&lt;&gt;3,Q130&lt;&gt;W130,T130&lt;0,T130&gt;10),"",T130*V130)</x:f>
        <x:v>250</x:v>
      </x:c>
      <x:c r="Y130" s="374" t="str">
        <x:v>Core: one 30-second work interval per round; rest excluded.</x:v>
      </x:c>
    </x:row>
    <x:row r="131" ht="15" hidden="0" customHeight="1">
      <x:c r="A131" s="326" t="n">
        <x:f>Daily!A40</x:f>
        <x:v>46385.5</x:v>
      </x:c>
      <x:c r="B131" s="318" t="str">
        <x:f>Daily!D40</x:f>
        <x:v>Handstand technique</x:v>
      </x:c>
      <x:c r="C131" s="318" t="str">
        <x:v>B · Easy chest-to-wall hold</x:v>
      </x:c>
      <x:c r="D131" s="318" t="str">
        <x:v>seconds</x:v>
      </x:c>
      <x:c r="E131" s="320" t="b">
        <x:v>1</x:v>
      </x:c>
      <x:c r="F131" s="328" t="n">
        <x:v>45</x:v>
      </x:c>
      <x:c r="G131" s="329" t="str">
        <x:f>IF(AND(OR(Daily!N40=TRUE,Daily!AB40=TRUE),COUNT(Daily!O40,Daily!P40,Daily!Q40)&gt;0),SUM(Daily!O40,Daily!P40,Daily!Q40)*86400,"")</x:f>
      </x:c>
      <x:c r="H131" s="329" t="n">
        <x:f>IF(AND(E131=TRUE,ISNUMBER(F131),F131&gt;0),100,"")</x:f>
        <x:v>100</x:v>
      </x:c>
      <x:c r="I131" s="329" t="str">
        <x:f>IF(AND(ISNUMBER(H131),ISNUMBER(G131)),IF(J131="lower",IF(G131&gt;0,100*F131/G131,""),100*G131/F131),"")</x:f>
      </x:c>
      <x:c r="J131" s="321" t="str">
        <x:v>higher</x:v>
      </x:c>
      <x:c r="N131" s="363" t="n">
        <x:f>Daily!A27</x:f>
        <x:v>46363.5</x:v>
      </x:c>
      <x:c r="O131" s="359" t="str">
        <x:f>Daily!D27</x:f>
        <x:v>Skill A + interval circuit</x:v>
      </x:c>
      <x:c r="P131" s="371" t="str">
        <x:v>Upside-down hanging shoulder/ab work</x:v>
      </x:c>
      <x:c r="Q131" s="360" t="str">
        <x:v>seconds</x:v>
      </x:c>
      <x:c r="R131" s="365" t="n">
        <x:v>5</x:v>
      </x:c>
      <x:c r="S131" s="365" t="n">
        <x:v>30</x:v>
      </x:c>
      <x:c r="T131" s="366" t="n">
        <x:f>IF(OR(COUNTIFS(Strategy!$B$36:$B$90,P131)&lt;&gt;1,COUNTIFS(Strategy!$B$36:$B$90,P131,Strategy!$C$36:$C$90,"&lt;&gt;")&lt;&gt;1),"",INDEX(Strategy!$C$36:$C$90,MATCH(P131,Strategy!$B$36:$B$90,0)))</x:f>
        <x:v>5</x:v>
      </x:c>
      <x:c r="U131" s="366" t="n">
        <x:f>IF(OR(COUNT(R131:S131)&lt;&gt;2,R131&lt;0,R131&lt;&gt;INT(R131),S131&lt;=0),"",R131*S131)</x:f>
        <x:v>150</x:v>
      </x:c>
      <x:c r="V131" s="388" t="n">
        <x:f>IF(OR(NOT(ISNUMBER(U131)),NOT(ISNUMBER($O$1)),$O$1&lt;=0),"",IF(Q131="seconds",U131/$O$1,IF(Q131="reps/leg",2*U131,IF(Q131="reps",U131,""))))</x:f>
        <x:v>50</x:v>
      </x:c>
      <x:c r="W131" s="359" t="str">
        <x:f>IF(OR(COUNTIFS(Strategy!$B$36:$B$90,P131)&lt;&gt;1,COUNTIFS(Strategy!$B$36:$B$90,P131,Strategy!$D$36:$D$90,"&lt;&gt;")&lt;&gt;1),"",INDEX(Strategy!$D$36:$D$90,MATCH(P131,Strategy!$B$36:$B$90,0)))</x:f>
        <x:v>seconds</x:v>
      </x:c>
      <x:c r="X131" s="369" t="n">
        <x:f>IF(OR(COUNT(T131:V131)&lt;&gt;3,Q131&lt;&gt;W131,T131&lt;0,T131&gt;10),"",T131*V131)</x:f>
        <x:v>250</x:v>
      </x:c>
      <x:c r="Y131" s="373" t="str">
        <x:v>Core: one 30-second work interval per round; rest excluded.</x:v>
      </x:c>
    </x:row>
    <x:row r="132" ht="15" hidden="0" customHeight="1">
      <x:c r="A132" s="327" t="n">
        <x:f>Daily!A40</x:f>
        <x:v>46385.5</x:v>
      </x:c>
      <x:c r="B132" s="322" t="str">
        <x:f>Daily!D40</x:f>
        <x:v>Handstand technique</x:v>
      </x:c>
      <x:c r="C132" s="322" t="str">
        <x:v>C · Wall handstand line drill</x:v>
      </x:c>
      <x:c r="D132" s="322" t="str">
        <x:v>seconds</x:v>
      </x:c>
      <x:c r="E132" s="324" t="b">
        <x:v>1</x:v>
      </x:c>
      <x:c r="F132" s="330" t="n">
        <x:v>30</x:v>
      </x:c>
      <x:c r="G132" s="331" t="str">
        <x:f>IF(AND(OR(Daily!T40=TRUE,Daily!AB40=TRUE),COUNT(Daily!U40,Daily!V40)&gt;0),SUM(Daily!U40,Daily!V40)*86400,"")</x:f>
      </x:c>
      <x:c r="H132" s="331" t="n">
        <x:f>IF(AND(E132=TRUE,ISNUMBER(F132),F132&gt;0),100,"")</x:f>
        <x:v>100</x:v>
      </x:c>
      <x:c r="I132" s="331" t="str">
        <x:f>IF(AND(ISNUMBER(H132),ISNUMBER(G132)),IF(J132="lower",IF(G132&gt;0,100*F132/G132,""),100*G132/F132),"")</x:f>
      </x:c>
      <x:c r="J132" s="325" t="str">
        <x:v>higher</x:v>
      </x:c>
      <x:c r="N132" s="364" t="n">
        <x:f>Daily!A28</x:f>
        <x:v>46364.5</x:v>
      </x:c>
      <x:c r="O132" s="361" t="str">
        <x:f>Daily!D28</x:f>
        <x:v>Handstand technique</x:v>
      </x:c>
      <x:c r="P132" s="372" t="str">
        <x:v>Wrist/shoulder mobility</x:v>
      </x:c>
      <x:c r="Q132" s="362" t="str">
        <x:v>seconds</x:v>
      </x:c>
      <x:c r="R132" s="367" t="n">
        <x:v>1</x:v>
      </x:c>
      <x:c r="S132" s="367" t="n">
        <x:v>120</x:v>
      </x:c>
      <x:c r="T132" s="368" t="n">
        <x:f>IF(OR(COUNTIFS(Strategy!$B$36:$B$90,P132)&lt;&gt;1,COUNTIFS(Strategy!$B$36:$B$90,P132,Strategy!$C$36:$C$90,"&lt;&gt;")&lt;&gt;1),"",INDEX(Strategy!$C$36:$C$90,MATCH(P132,Strategy!$B$36:$B$90,0)))</x:f>
        <x:v>1</x:v>
      </x:c>
      <x:c r="U132" s="368" t="n">
        <x:f>IF(OR(COUNT(R132:S132)&lt;&gt;2,R132&lt;0,R132&lt;&gt;INT(R132),S132&lt;=0),"",R132*S132)</x:f>
        <x:v>120</x:v>
      </x:c>
      <x:c r="V132" s="389" t="n">
        <x:f>IF(OR(NOT(ISNUMBER(U132)),NOT(ISNUMBER($O$1)),$O$1&lt;=0),"",IF(Q132="seconds",U132/$O$1,IF(Q132="reps/leg",2*U132,IF(Q132="reps",U132,""))))</x:f>
        <x:v>40</x:v>
      </x:c>
      <x:c r="W132" s="361" t="str">
        <x:f>IF(OR(COUNTIFS(Strategy!$B$36:$B$90,P132)&lt;&gt;1,COUNTIFS(Strategy!$B$36:$B$90,P132,Strategy!$D$36:$D$90,"&lt;&gt;")&lt;&gt;1),"",INDEX(Strategy!$D$36:$D$90,MATCH(P132,Strategy!$B$36:$B$90,0)))</x:f>
        <x:v>seconds</x:v>
      </x:c>
      <x:c r="X132" s="370" t="n">
        <x:f>IF(OR(COUNT(T132:V132)&lt;&gt;3,Q132&lt;&gt;W132,T132&lt;0,T132&gt;10),"",T132*V132)</x:f>
        <x:v>40</x:v>
      </x:c>
      <x:c r="Y132" s="374" t="str"/>
    </x:row>
    <x:row r="133" ht="15" hidden="0" customHeight="1">
      <x:c r="A133" s="326" t="n">
        <x:f>Daily!A41</x:f>
        <x:v>46387.5</x:v>
      </x:c>
      <x:c r="B133" s="318" t="str">
        <x:f>Daily!D41</x:f>
        <x:v>Skill B + circuit</x:v>
      </x:c>
      <x:c r="C133" s="318" t="str">
        <x:v>B · Easy wall handstand</x:v>
      </x:c>
      <x:c r="D133" s="318" t="str">
        <x:v>seconds</x:v>
      </x:c>
      <x:c r="E133" s="320" t="b">
        <x:v>1</x:v>
      </x:c>
      <x:c r="F133" s="328" t="n">
        <x:v>40</x:v>
      </x:c>
      <x:c r="G133" s="329" t="str">
        <x:f>IF(AND(OR(Daily!N41=TRUE,Daily!AB41=TRUE),COUNT(Daily!O41,Daily!P41)&gt;0),SUM(Daily!O41,Daily!P41)*86400,"")</x:f>
      </x:c>
      <x:c r="H133" s="329" t="n">
        <x:f>IF(AND(E133=TRUE,ISNUMBER(F133),F133&gt;0),100,"")</x:f>
        <x:v>100</x:v>
      </x:c>
      <x:c r="I133" s="329" t="str">
        <x:f>IF(AND(ISNUMBER(H133),ISNUMBER(G133)),IF(J133="lower",IF(G133&gt;0,100*F133/G133,""),100*G133/F133),"")</x:f>
      </x:c>
      <x:c r="J133" s="321" t="str">
        <x:v>higher</x:v>
      </x:c>
      <x:c r="N133" s="363" t="n">
        <x:f>Daily!A28</x:f>
        <x:v>46364.5</x:v>
      </x:c>
      <x:c r="O133" s="359" t="str">
        <x:f>Daily!D28</x:f>
        <x:v>Handstand technique</x:v>
      </x:c>
      <x:c r="P133" s="371" t="str">
        <x:v>Easy chest-to-wall hold</x:v>
      </x:c>
      <x:c r="Q133" s="360" t="str">
        <x:v>seconds</x:v>
      </x:c>
      <x:c r="R133" s="365" t="n">
        <x:v>3</x:v>
      </x:c>
      <x:c r="S133" s="365" t="n">
        <x:v>15</x:v>
      </x:c>
      <x:c r="T133" s="366" t="n">
        <x:f>IF(OR(COUNTIFS(Strategy!$B$36:$B$90,P133)&lt;&gt;1,COUNTIFS(Strategy!$B$36:$B$90,P133,Strategy!$C$36:$C$90,"&lt;&gt;")&lt;&gt;1),"",INDEX(Strategy!$C$36:$C$90,MATCH(P133,Strategy!$B$36:$B$90,0)))</x:f>
        <x:v>1</x:v>
      </x:c>
      <x:c r="U133" s="366" t="n">
        <x:f>IF(OR(COUNT(R133:S133)&lt;&gt;2,R133&lt;0,R133&lt;&gt;INT(R133),S133&lt;=0),"",R133*S133)</x:f>
        <x:v>45</x:v>
      </x:c>
      <x:c r="V133" s="388" t="n">
        <x:f>IF(OR(NOT(ISNUMBER(U133)),NOT(ISNUMBER($O$1)),$O$1&lt;=0),"",IF(Q133="seconds",U133/$O$1,IF(Q133="reps/leg",2*U133,IF(Q133="reps",U133,""))))</x:f>
        <x:v>15</x:v>
      </x:c>
      <x:c r="W133" s="359" t="str">
        <x:f>IF(OR(COUNTIFS(Strategy!$B$36:$B$90,P133)&lt;&gt;1,COUNTIFS(Strategy!$B$36:$B$90,P133,Strategy!$D$36:$D$90,"&lt;&gt;")&lt;&gt;1),"",INDEX(Strategy!$D$36:$D$90,MATCH(P133,Strategy!$B$36:$B$90,0)))</x:f>
        <x:v>seconds</x:v>
      </x:c>
      <x:c r="X133" s="369" t="n">
        <x:f>IF(OR(COUNT(T133:V133)&lt;&gt;3,Q133&lt;&gt;W133,T133&lt;0,T133&gt;10),"",T133*V133)</x:f>
        <x:v>15</x:v>
      </x:c>
      <x:c r="Y133" s="373" t="str"/>
    </x:row>
    <x:row r="134" ht="15" hidden="0" customHeight="1">
      <x:c r="A134" s="327" t="n">
        <x:f>Daily!A41</x:f>
        <x:v>46387.5</x:v>
      </x:c>
      <x:c r="B134" s="322" t="str">
        <x:f>Daily!D41</x:f>
        <x:v>Skill B + circuit</x:v>
      </x:c>
      <x:c r="C134" s="322" t="str">
        <x:v>Core</x:v>
      </x:c>
      <x:c r="D134" s="322" t="str">
        <x:v>rounds</x:v>
      </x:c>
      <x:c r="E134" s="324" t="b">
        <x:v>1</x:v>
      </x:c>
      <x:c r="F134" s="330" t="n">
        <x:v>5</x:v>
      </x:c>
      <x:c r="G134" s="331" t="str">
        <x:f>IF(AND(OR(Daily!Z41=TRUE,Daily!AB41=TRUE),COUNT(Daily!AA41)&gt;0),SUM(Daily!AA41),"")</x:f>
      </x:c>
      <x:c r="H134" s="331" t="n">
        <x:f>IF(AND(E134=TRUE,ISNUMBER(F134),F134&gt;0),100,"")</x:f>
        <x:v>100</x:v>
      </x:c>
      <x:c r="I134" s="331" t="str">
        <x:f>IF(AND(ISNUMBER(H134),ISNUMBER(G134)),IF(J134="lower",IF(G134&gt;0,100*F134/G134,""),100*G134/F134),"")</x:f>
      </x:c>
      <x:c r="J134" s="325" t="str">
        <x:v>higher</x:v>
      </x:c>
      <x:c r="N134" s="364" t="n">
        <x:f>Daily!A28</x:f>
        <x:v>46364.5</x:v>
      </x:c>
      <x:c r="O134" s="361" t="str">
        <x:f>Daily!D28</x:f>
        <x:v>Handstand technique</x:v>
      </x:c>
      <x:c r="P134" s="372" t="str">
        <x:v>Wall handstand line drill</x:v>
      </x:c>
      <x:c r="Q134" s="362" t="str">
        <x:v>seconds</x:v>
      </x:c>
      <x:c r="R134" s="367" t="n">
        <x:v>2</x:v>
      </x:c>
      <x:c r="S134" s="367" t="n">
        <x:v>15</x:v>
      </x:c>
      <x:c r="T134" s="368" t="n">
        <x:f>IF(OR(COUNTIFS(Strategy!$B$36:$B$90,P134)&lt;&gt;1,COUNTIFS(Strategy!$B$36:$B$90,P134,Strategy!$C$36:$C$90,"&lt;&gt;")&lt;&gt;1),"",INDEX(Strategy!$C$36:$C$90,MATCH(P134,Strategy!$B$36:$B$90,0)))</x:f>
        <x:v>1</x:v>
      </x:c>
      <x:c r="U134" s="368" t="n">
        <x:f>IF(OR(COUNT(R134:S134)&lt;&gt;2,R134&lt;0,R134&lt;&gt;INT(R134),S134&lt;=0),"",R134*S134)</x:f>
        <x:v>30</x:v>
      </x:c>
      <x:c r="V134" s="389" t="n">
        <x:f>IF(OR(NOT(ISNUMBER(U134)),NOT(ISNUMBER($O$1)),$O$1&lt;=0),"",IF(Q134="seconds",U134/$O$1,IF(Q134="reps/leg",2*U134,IF(Q134="reps",U134,""))))</x:f>
        <x:v>10</x:v>
      </x:c>
      <x:c r="W134" s="361" t="str">
        <x:f>IF(OR(COUNTIFS(Strategy!$B$36:$B$90,P134)&lt;&gt;1,COUNTIFS(Strategy!$B$36:$B$90,P134,Strategy!$D$36:$D$90,"&lt;&gt;")&lt;&gt;1),"",INDEX(Strategy!$D$36:$D$90,MATCH(P134,Strategy!$B$36:$B$90,0)))</x:f>
        <x:v>seconds</x:v>
      </x:c>
      <x:c r="X134" s="370" t="n">
        <x:f>IF(OR(COUNT(T134:V134)&lt;&gt;3,Q134&lt;&gt;W134,T134&lt;0,T134&gt;10),"",T134*V134)</x:f>
        <x:v>10</x:v>
      </x:c>
      <x:c r="Y134" s="374" t="str"/>
    </x:row>
    <x:row r="135" ht="15" hidden="0" customHeight="1">
      <x:c r="A135" s="326" t="n">
        <x:f>Daily!A42</x:f>
        <x:v>46389.5</x:v>
      </x:c>
      <x:c r="B135" s="318" t="str">
        <x:f>Daily!D42</x:f>
        <x:v>Skill micro-session</x:v>
      </x:c>
      <x:c r="C135" s="318" t="str">
        <x:v>A · Wrist/shoulder mobility</x:v>
      </x:c>
      <x:c r="D135" s="318" t="str">
        <x:v>seconds</x:v>
      </x:c>
      <x:c r="E135" s="320" t="b">
        <x:v>1</x:v>
      </x:c>
      <x:c r="F135" s="328" t="n">
        <x:v>120</x:v>
      </x:c>
      <x:c r="G135" s="329" t="str">
        <x:f>IF(AND(OR(Daily!H42=TRUE,Daily!AB42=TRUE),COUNT(Daily!I42)&gt;0),SUM(Daily!I42)*86400,"")</x:f>
      </x:c>
      <x:c r="H135" s="329" t="n">
        <x:f>IF(AND(E135=TRUE,ISNUMBER(F135),F135&gt;0),100,"")</x:f>
        <x:v>100</x:v>
      </x:c>
      <x:c r="I135" s="329" t="str">
        <x:f>IF(AND(ISNUMBER(H135),ISNUMBER(G135)),IF(J135="lower",IF(G135&gt;0,100*F135/G135,""),100*G135/F135),"")</x:f>
      </x:c>
      <x:c r="J135" s="321" t="str">
        <x:v>higher</x:v>
      </x:c>
      <x:c r="N135" s="363" t="n">
        <x:f>Daily!A29</x:f>
        <x:v>46366.5</x:v>
      </x:c>
      <x:c r="O135" s="359" t="str">
        <x:f>Daily!D29</x:f>
        <x:v>Skill B + circuit</x:v>
      </x:c>
      <x:c r="P135" s="371" t="str">
        <x:v>Deeper wall HSPU</x:v>
      </x:c>
      <x:c r="Q135" s="360" t="str">
        <x:v>reps</x:v>
      </x:c>
      <x:c r="R135" s="365" t="n">
        <x:v>3</x:v>
      </x:c>
      <x:c r="S135" s="365" t="n">
        <x:v>2</x:v>
      </x:c>
      <x:c r="T135" s="366" t="n">
        <x:f>IF(OR(COUNTIFS(Strategy!$B$36:$B$90,P135)&lt;&gt;1,COUNTIFS(Strategy!$B$36:$B$90,P135,Strategy!$C$36:$C$90,"&lt;&gt;")&lt;&gt;1),"",INDEX(Strategy!$C$36:$C$90,MATCH(P135,Strategy!$B$36:$B$90,0)))</x:f>
        <x:v>7</x:v>
      </x:c>
      <x:c r="U135" s="366" t="n">
        <x:f>IF(OR(COUNT(R135:S135)&lt;&gt;2,R135&lt;0,R135&lt;&gt;INT(R135),S135&lt;=0),"",R135*S135)</x:f>
        <x:v>6</x:v>
      </x:c>
      <x:c r="V135" s="388" t="n">
        <x:f>IF(OR(NOT(ISNUMBER(U135)),NOT(ISNUMBER($O$1)),$O$1&lt;=0),"",IF(Q135="seconds",U135/$O$1,IF(Q135="reps/leg",2*U135,IF(Q135="reps",U135,""))))</x:f>
        <x:v>6</x:v>
      </x:c>
      <x:c r="W135" s="359" t="str">
        <x:f>IF(OR(COUNTIFS(Strategy!$B$36:$B$90,P135)&lt;&gt;1,COUNTIFS(Strategy!$B$36:$B$90,P135,Strategy!$D$36:$D$90,"&lt;&gt;")&lt;&gt;1),"",INDEX(Strategy!$D$36:$D$90,MATCH(P135,Strategy!$B$36:$B$90,0)))</x:f>
        <x:v>reps</x:v>
      </x:c>
      <x:c r="X135" s="369" t="n">
        <x:f>IF(OR(COUNT(T135:V135)&lt;&gt;3,Q135&lt;&gt;W135,T135&lt;0,T135&gt;10),"",T135*V135)</x:f>
        <x:v>42</x:v>
      </x:c>
      <x:c r="Y135" s="373" t="str"/>
    </x:row>
    <x:row r="136" ht="15" hidden="0" customHeight="1">
      <x:c r="A136" s="327" t="n">
        <x:f>Daily!A42</x:f>
        <x:v>46389.5</x:v>
      </x:c>
      <x:c r="B136" s="322" t="str">
        <x:f>Daily!D42</x:f>
        <x:v>Skill micro-session</x:v>
      </x:c>
      <x:c r="C136" s="322" t="str">
        <x:v>B · Easy chest-to-wall hold</x:v>
      </x:c>
      <x:c r="D136" s="322" t="str">
        <x:v>seconds</x:v>
      </x:c>
      <x:c r="E136" s="324" t="b">
        <x:v>1</x:v>
      </x:c>
      <x:c r="F136" s="330" t="n">
        <x:v>45</x:v>
      </x:c>
      <x:c r="G136" s="331" t="str">
        <x:f>IF(AND(OR(Daily!N42=TRUE,Daily!AB42=TRUE),COUNT(Daily!O42,Daily!P42,Daily!Q42)&gt;0),SUM(Daily!O42,Daily!P42,Daily!Q42)*86400,"")</x:f>
      </x:c>
      <x:c r="H136" s="331" t="n">
        <x:f>IF(AND(E136=TRUE,ISNUMBER(F136),F136&gt;0),100,"")</x:f>
        <x:v>100</x:v>
      </x:c>
      <x:c r="I136" s="331" t="str">
        <x:f>IF(AND(ISNUMBER(H136),ISNUMBER(G136)),IF(J136="lower",IF(G136&gt;0,100*F136/G136,""),100*G136/F136),"")</x:f>
      </x:c>
      <x:c r="J136" s="325" t="str">
        <x:v>higher</x:v>
      </x:c>
      <x:c r="N136" s="364" t="n">
        <x:f>Daily!A29</x:f>
        <x:v>46366.5</x:v>
      </x:c>
      <x:c r="O136" s="361" t="str">
        <x:f>Daily!D29</x:f>
        <x:v>Skill B + circuit</x:v>
      </x:c>
      <x:c r="P136" s="372" t="str">
        <x:v>Easy wall handstand</x:v>
      </x:c>
      <x:c r="Q136" s="362" t="str">
        <x:v>seconds</x:v>
      </x:c>
      <x:c r="R136" s="367" t="n">
        <x:v>2</x:v>
      </x:c>
      <x:c r="S136" s="367" t="n">
        <x:v>20</x:v>
      </x:c>
      <x:c r="T136" s="368" t="n">
        <x:f>IF(OR(COUNTIFS(Strategy!$B$36:$B$90,P136)&lt;&gt;1,COUNTIFS(Strategy!$B$36:$B$90,P136,Strategy!$C$36:$C$90,"&lt;&gt;")&lt;&gt;1),"",INDEX(Strategy!$C$36:$C$90,MATCH(P136,Strategy!$B$36:$B$90,0)))</x:f>
        <x:v>1</x:v>
      </x:c>
      <x:c r="U136" s="368" t="n">
        <x:f>IF(OR(COUNT(R136:S136)&lt;&gt;2,R136&lt;0,R136&lt;&gt;INT(R136),S136&lt;=0),"",R136*S136)</x:f>
        <x:v>40</x:v>
      </x:c>
      <x:c r="V136" s="389" t="n">
        <x:f>IF(OR(NOT(ISNUMBER(U136)),NOT(ISNUMBER($O$1)),$O$1&lt;=0),"",IF(Q136="seconds",U136/$O$1,IF(Q136="reps/leg",2*U136,IF(Q136="reps",U136,""))))</x:f>
        <x:v>13.333333333333334</x:v>
      </x:c>
      <x:c r="W136" s="361" t="str">
        <x:f>IF(OR(COUNTIFS(Strategy!$B$36:$B$90,P136)&lt;&gt;1,COUNTIFS(Strategy!$B$36:$B$90,P136,Strategy!$D$36:$D$90,"&lt;&gt;")&lt;&gt;1),"",INDEX(Strategy!$D$36:$D$90,MATCH(P136,Strategy!$B$36:$B$90,0)))</x:f>
        <x:v>seconds</x:v>
      </x:c>
      <x:c r="X136" s="370" t="n">
        <x:f>IF(OR(COUNT(T136:V136)&lt;&gt;3,Q136&lt;&gt;W136,T136&lt;0,T136&gt;10),"",T136*V136)</x:f>
        <x:v>13.333333333333334</x:v>
      </x:c>
      <x:c r="Y136" s="374" t="str"/>
    </x:row>
    <x:row r="137" ht="15" hidden="0" customHeight="1">
      <x:c r="A137" s="326" t="n">
        <x:f>Daily!A42</x:f>
        <x:v>46389.5</x:v>
      </x:c>
      <x:c r="B137" s="318" t="str">
        <x:f>Daily!D42</x:f>
        <x:v>Skill micro-session</x:v>
      </x:c>
      <x:c r="C137" s="318" t="str">
        <x:v>C · Wall handstand line drill</x:v>
      </x:c>
      <x:c r="D137" s="318" t="str">
        <x:v>seconds</x:v>
      </x:c>
      <x:c r="E137" s="320" t="b">
        <x:v>1</x:v>
      </x:c>
      <x:c r="F137" s="328" t="n">
        <x:v>45</x:v>
      </x:c>
      <x:c r="G137" s="329" t="str">
        <x:f>IF(AND(OR(Daily!T42=TRUE,Daily!AB42=TRUE),COUNT(Daily!U42,Daily!V42,Daily!W42)&gt;0),SUM(Daily!U42,Daily!V42,Daily!W42)*86400,"")</x:f>
      </x:c>
      <x:c r="H137" s="329" t="n">
        <x:f>IF(AND(E137=TRUE,ISNUMBER(F137),F137&gt;0),100,"")</x:f>
        <x:v>100</x:v>
      </x:c>
      <x:c r="I137" s="329" t="str">
        <x:f>IF(AND(ISNUMBER(H137),ISNUMBER(G137)),IF(J137="lower",IF(G137&gt;0,100*F137/G137,""),100*G137/F137),"")</x:f>
      </x:c>
      <x:c r="J137" s="321" t="str">
        <x:v>higher</x:v>
      </x:c>
      <x:c r="N137" s="363" t="n">
        <x:f>Daily!A29</x:f>
        <x:v>46366.5</x:v>
      </x:c>
      <x:c r="O137" s="359" t="str">
        <x:f>Daily!D29</x:f>
        <x:v>Skill B + circuit</x:v>
      </x:c>
      <x:c r="P137" s="371" t="str">
        <x:v>Unassisted pistol to target</x:v>
      </x:c>
      <x:c r="Q137" s="360" t="str">
        <x:v>reps/leg</x:v>
      </x:c>
      <x:c r="R137" s="365" t="n">
        <x:v>3</x:v>
      </x:c>
      <x:c r="S137" s="365" t="n">
        <x:v>1</x:v>
      </x:c>
      <x:c r="T137" s="366" t="n">
        <x:f>IF(OR(COUNTIFS(Strategy!$B$36:$B$90,P137)&lt;&gt;1,COUNTIFS(Strategy!$B$36:$B$90,P137,Strategy!$C$36:$C$90,"&lt;&gt;")&lt;&gt;1),"",INDEX(Strategy!$C$36:$C$90,MATCH(P137,Strategy!$B$36:$B$90,0)))</x:f>
        <x:v>2</x:v>
      </x:c>
      <x:c r="U137" s="366" t="n">
        <x:f>IF(OR(COUNT(R137:S137)&lt;&gt;2,R137&lt;0,R137&lt;&gt;INT(R137),S137&lt;=0),"",R137*S137)</x:f>
        <x:v>3</x:v>
      </x:c>
      <x:c r="V137" s="388" t="n">
        <x:f>IF(OR(NOT(ISNUMBER(U137)),NOT(ISNUMBER($O$1)),$O$1&lt;=0),"",IF(Q137="seconds",U137/$O$1,IF(Q137="reps/leg",2*U137,IF(Q137="reps",U137,""))))</x:f>
        <x:v>6</x:v>
      </x:c>
      <x:c r="W137" s="359" t="str">
        <x:f>IF(OR(COUNTIFS(Strategy!$B$36:$B$90,P137)&lt;&gt;1,COUNTIFS(Strategy!$B$36:$B$90,P137,Strategy!$D$36:$D$90,"&lt;&gt;")&lt;&gt;1),"",INDEX(Strategy!$D$36:$D$90,MATCH(P137,Strategy!$B$36:$B$90,0)))</x:f>
        <x:v>reps/leg</x:v>
      </x:c>
      <x:c r="X137" s="369" t="n">
        <x:f>IF(OR(COUNT(T137:V137)&lt;&gt;3,Q137&lt;&gt;W137,T137&lt;0,T137&gt;10),"",T137*V137)</x:f>
        <x:v>12</x:v>
      </x:c>
      <x:c r="Y137" s="373" t="str"/>
    </x:row>
    <x:row r="138" ht="15" hidden="0" customHeight="1">
      <x:c r="A138" s="327" t="n">
        <x:f>Daily!A43</x:f>
        <x:v>46391.5</x:v>
      </x:c>
      <x:c r="B138" s="322" t="str">
        <x:f>Daily!D43</x:f>
        <x:v>Skill A + interval circuit</x:v>
      </x:c>
      <x:c r="C138" s="322" t="str">
        <x:v>A · Quality muscle-up attempts</x:v>
      </x:c>
      <x:c r="D138" s="322" t="str">
        <x:v>singles</x:v>
      </x:c>
      <x:c r="E138" s="324" t="b">
        <x:v>1</x:v>
      </x:c>
      <x:c r="F138" s="330" t="n">
        <x:v>3</x:v>
      </x:c>
      <x:c r="G138" s="331" t="str">
        <x:f>IF(AND(OR(Daily!H43=TRUE,Daily!AB43=TRUE),COUNT(Daily!I43)&gt;0),SUM(Daily!I43),"")</x:f>
      </x:c>
      <x:c r="H138" s="331" t="n">
        <x:f>IF(AND(E138=TRUE,ISNUMBER(F138),F138&gt;0),100,"")</x:f>
        <x:v>100</x:v>
      </x:c>
      <x:c r="I138" s="331" t="str">
        <x:f>IF(AND(ISNUMBER(H138),ISNUMBER(G138)),IF(J138="lower",IF(G138&gt;0,100*F138/G138,""),100*G138/F138),"")</x:f>
      </x:c>
      <x:c r="J138" s="325" t="str">
        <x:v>higher</x:v>
      </x:c>
      <x:c r="N138" s="364" t="n">
        <x:f>Daily!A29</x:f>
        <x:v>46366.5</x:v>
      </x:c>
      <x:c r="O138" s="361" t="str">
        <x:f>Daily!D29</x:f>
        <x:v>Skill B + circuit</x:v>
      </x:c>
      <x:c r="P138" s="372" t="str">
        <x:v>Pull-up</x:v>
      </x:c>
      <x:c r="Q138" s="362" t="str">
        <x:v>seconds</x:v>
      </x:c>
      <x:c r="R138" s="367" t="n">
        <x:v>5</x:v>
      </x:c>
      <x:c r="S138" s="367" t="n">
        <x:v>30</x:v>
      </x:c>
      <x:c r="T138" s="368" t="n">
        <x:f>IF(OR(COUNTIFS(Strategy!$B$36:$B$90,P138)&lt;&gt;1,COUNTIFS(Strategy!$B$36:$B$90,P138,Strategy!$C$36:$C$90,"&lt;&gt;")&lt;&gt;1),"",INDEX(Strategy!$C$36:$C$90,MATCH(P138,Strategy!$B$36:$B$90,0)))</x:f>
        <x:v>6</x:v>
      </x:c>
      <x:c r="U138" s="368" t="n">
        <x:f>IF(OR(COUNT(R138:S138)&lt;&gt;2,R138&lt;0,R138&lt;&gt;INT(R138),S138&lt;=0),"",R138*S138)</x:f>
        <x:v>150</x:v>
      </x:c>
      <x:c r="V138" s="389" t="n">
        <x:f>IF(OR(NOT(ISNUMBER(U138)),NOT(ISNUMBER($O$1)),$O$1&lt;=0),"",IF(Q138="seconds",U138/$O$1,IF(Q138="reps/leg",2*U138,IF(Q138="reps",U138,""))))</x:f>
        <x:v>50</x:v>
      </x:c>
      <x:c r="W138" s="361" t="str">
        <x:f>IF(OR(COUNTIFS(Strategy!$B$36:$B$90,P138)&lt;&gt;1,COUNTIFS(Strategy!$B$36:$B$90,P138,Strategy!$D$36:$D$90,"&lt;&gt;")&lt;&gt;1),"",INDEX(Strategy!$D$36:$D$90,MATCH(P138,Strategy!$B$36:$B$90,0)))</x:f>
        <x:v>seconds</x:v>
      </x:c>
      <x:c r="X138" s="370" t="n">
        <x:f>IF(OR(COUNT(T138:V138)&lt;&gt;3,Q138&lt;&gt;W138,T138&lt;0,T138&gt;10),"",T138*V138)</x:f>
        <x:v>300</x:v>
      </x:c>
      <x:c r="Y138" s="374" t="str">
        <x:v>Core: one 30-second work interval per round; rest excluded.</x:v>
      </x:c>
    </x:row>
    <x:row r="139" ht="15" hidden="0" customHeight="1">
      <x:c r="A139" s="326" t="n">
        <x:f>Daily!A43</x:f>
        <x:v>46391.5</x:v>
      </x:c>
      <x:c r="B139" s="318" t="str">
        <x:f>Daily!D43</x:f>
        <x:v>Skill A + interval circuit</x:v>
      </x:c>
      <x:c r="C139" s="318" t="str">
        <x:v>B · Crisp high pull</x:v>
      </x:c>
      <x:c r="D139" s="318" t="str">
        <x:v>reps</x:v>
      </x:c>
      <x:c r="E139" s="320" t="b">
        <x:v>1</x:v>
      </x:c>
      <x:c r="F139" s="328" t="n">
        <x:v>6</x:v>
      </x:c>
      <x:c r="G139" s="329" t="str">
        <x:f>IF(AND(OR(Daily!N43=TRUE,Daily!AB43=TRUE),COUNT(Daily!O43,Daily!P43,Daily!Q43)&gt;0),SUM(Daily!O43,Daily!P43,Daily!Q43),"")</x:f>
      </x:c>
      <x:c r="H139" s="329" t="n">
        <x:f>IF(AND(E139=TRUE,ISNUMBER(F139),F139&gt;0),100,"")</x:f>
        <x:v>100</x:v>
      </x:c>
      <x:c r="I139" s="329" t="str">
        <x:f>IF(AND(ISNUMBER(H139),ISNUMBER(G139)),IF(J139="lower",IF(G139&gt;0,100*F139/G139,""),100*G139/F139),"")</x:f>
      </x:c>
      <x:c r="J139" s="321" t="str">
        <x:v>higher</x:v>
      </x:c>
      <x:c r="N139" s="363" t="n">
        <x:f>Daily!A29</x:f>
        <x:v>46366.5</x:v>
      </x:c>
      <x:c r="O139" s="359" t="str">
        <x:f>Daily!D29</x:f>
        <x:v>Skill B + circuit</x:v>
      </x:c>
      <x:c r="P139" s="371" t="str">
        <x:v>Push-up</x:v>
      </x:c>
      <x:c r="Q139" s="360" t="str">
        <x:v>seconds</x:v>
      </x:c>
      <x:c r="R139" s="365" t="n">
        <x:v>5</x:v>
      </x:c>
      <x:c r="S139" s="365" t="n">
        <x:v>30</x:v>
      </x:c>
      <x:c r="T139" s="366" t="n">
        <x:f>IF(OR(COUNTIFS(Strategy!$B$36:$B$90,P139)&lt;&gt;1,COUNTIFS(Strategy!$B$36:$B$90,P139,Strategy!$C$36:$C$90,"&lt;&gt;")&lt;&gt;1),"",INDEX(Strategy!$C$36:$C$90,MATCH(P139,Strategy!$B$36:$B$90,0)))</x:f>
        <x:v>4</x:v>
      </x:c>
      <x:c r="U139" s="366" t="n">
        <x:f>IF(OR(COUNT(R139:S139)&lt;&gt;2,R139&lt;0,R139&lt;&gt;INT(R139),S139&lt;=0),"",R139*S139)</x:f>
        <x:v>150</x:v>
      </x:c>
      <x:c r="V139" s="388" t="n">
        <x:f>IF(OR(NOT(ISNUMBER(U139)),NOT(ISNUMBER($O$1)),$O$1&lt;=0),"",IF(Q139="seconds",U139/$O$1,IF(Q139="reps/leg",2*U139,IF(Q139="reps",U139,""))))</x:f>
        <x:v>50</x:v>
      </x:c>
      <x:c r="W139" s="359" t="str">
        <x:f>IF(OR(COUNTIFS(Strategy!$B$36:$B$90,P139)&lt;&gt;1,COUNTIFS(Strategy!$B$36:$B$90,P139,Strategy!$D$36:$D$90,"&lt;&gt;")&lt;&gt;1),"",INDEX(Strategy!$D$36:$D$90,MATCH(P139,Strategy!$B$36:$B$90,0)))</x:f>
        <x:v>seconds</x:v>
      </x:c>
      <x:c r="X139" s="369" t="n">
        <x:f>IF(OR(COUNT(T139:V139)&lt;&gt;3,Q139&lt;&gt;W139,T139&lt;0,T139&gt;10),"",T139*V139)</x:f>
        <x:v>200</x:v>
      </x:c>
      <x:c r="Y139" s="373" t="str">
        <x:v>Core: one 30-second work interval per round; rest excluded.</x:v>
      </x:c>
    </x:row>
    <x:row r="140" ht="15" hidden="0" customHeight="1">
      <x:c r="A140" s="327" t="n">
        <x:f>Daily!A43</x:f>
        <x:v>46391.5</x:v>
      </x:c>
      <x:c r="B140" s="322" t="str">
        <x:f>Daily!D43</x:f>
        <x:v>Skill A + interval circuit</x:v>
      </x:c>
      <x:c r="C140" s="322" t="str">
        <x:v>C · Clean pistol</x:v>
      </x:c>
      <x:c r="D140" s="322" t="str">
        <x:v>reps/leg</x:v>
      </x:c>
      <x:c r="E140" s="324" t="b">
        <x:v>1</x:v>
      </x:c>
      <x:c r="F140" s="330" t="n">
        <x:v>6</x:v>
      </x:c>
      <x:c r="G140" s="331" t="str">
        <x:f>IF(AND(OR(Daily!T43=TRUE,Daily!AB43=TRUE),COUNT(Daily!U43,Daily!V43,Daily!W43)&gt;0),SUM(Daily!U43,Daily!V43,Daily!W43),"")</x:f>
      </x:c>
      <x:c r="H140" s="331" t="n">
        <x:f>IF(AND(E140=TRUE,ISNUMBER(F140),F140&gt;0),100,"")</x:f>
        <x:v>100</x:v>
      </x:c>
      <x:c r="I140" s="331" t="str">
        <x:f>IF(AND(ISNUMBER(H140),ISNUMBER(G140)),IF(J140="lower",IF(G140&gt;0,100*F140/G140,""),100*G140/F140),"")</x:f>
      </x:c>
      <x:c r="J140" s="325" t="str">
        <x:v>higher</x:v>
      </x:c>
      <x:c r="N140" s="364" t="n">
        <x:f>Daily!A29</x:f>
        <x:v>46366.5</x:v>
      </x:c>
      <x:c r="O140" s="361" t="str">
        <x:f>Daily!D29</x:f>
        <x:v>Skill B + circuit</x:v>
      </x:c>
      <x:c r="P140" s="372" t="str">
        <x:v>Weighted squat</x:v>
      </x:c>
      <x:c r="Q140" s="362" t="str">
        <x:v>seconds</x:v>
      </x:c>
      <x:c r="R140" s="367" t="n">
        <x:v>5</x:v>
      </x:c>
      <x:c r="S140" s="367" t="n">
        <x:v>30</x:v>
      </x:c>
      <x:c r="T140" s="368" t="n">
        <x:f>IF(OR(COUNTIFS(Strategy!$B$36:$B$90,P140)&lt;&gt;1,COUNTIFS(Strategy!$B$36:$B$90,P140,Strategy!$C$36:$C$90,"&lt;&gt;")&lt;&gt;1),"",INDEX(Strategy!$C$36:$C$90,MATCH(P140,Strategy!$B$36:$B$90,0)))</x:f>
        <x:v>5</x:v>
      </x:c>
      <x:c r="U140" s="368" t="n">
        <x:f>IF(OR(COUNT(R140:S140)&lt;&gt;2,R140&lt;0,R140&lt;&gt;INT(R140),S140&lt;=0),"",R140*S140)</x:f>
        <x:v>150</x:v>
      </x:c>
      <x:c r="V140" s="389" t="n">
        <x:f>IF(OR(NOT(ISNUMBER(U140)),NOT(ISNUMBER($O$1)),$O$1&lt;=0),"",IF(Q140="seconds",U140/$O$1,IF(Q140="reps/leg",2*U140,IF(Q140="reps",U140,""))))</x:f>
        <x:v>50</x:v>
      </x:c>
      <x:c r="W140" s="361" t="str">
        <x:f>IF(OR(COUNTIFS(Strategy!$B$36:$B$90,P140)&lt;&gt;1,COUNTIFS(Strategy!$B$36:$B$90,P140,Strategy!$D$36:$D$90,"&lt;&gt;")&lt;&gt;1),"",INDEX(Strategy!$D$36:$D$90,MATCH(P140,Strategy!$B$36:$B$90,0)))</x:f>
        <x:v>seconds</x:v>
      </x:c>
      <x:c r="X140" s="370" t="n">
        <x:f>IF(OR(COUNT(T140:V140)&lt;&gt;3,Q140&lt;&gt;W140,T140&lt;0,T140&gt;10),"",T140*V140)</x:f>
        <x:v>250</x:v>
      </x:c>
      <x:c r="Y140" s="374" t="str">
        <x:v>Core: one 30-second work interval per round; rest excluded.</x:v>
      </x:c>
    </x:row>
    <x:row r="141" ht="15" hidden="0" customHeight="1">
      <x:c r="A141" s="326" t="n">
        <x:f>Daily!A43</x:f>
        <x:v>46391.5</x:v>
      </x:c>
      <x:c r="B141" s="318" t="str">
        <x:f>Daily!D43</x:f>
        <x:v>Skill A + interval circuit</x:v>
      </x:c>
      <x:c r="C141" s="318" t="str">
        <x:v>Core</x:v>
      </x:c>
      <x:c r="D141" s="318" t="str">
        <x:v>rounds</x:v>
      </x:c>
      <x:c r="E141" s="320" t="b">
        <x:v>1</x:v>
      </x:c>
      <x:c r="F141" s="328" t="n">
        <x:v>5</x:v>
      </x:c>
      <x:c r="G141" s="329" t="str">
        <x:f>IF(AND(OR(Daily!Z43=TRUE,Daily!AB43=TRUE),COUNT(Daily!AA43)&gt;0),SUM(Daily!AA43),"")</x:f>
      </x:c>
      <x:c r="H141" s="329" t="n">
        <x:f>IF(AND(E141=TRUE,ISNUMBER(F141),F141&gt;0),100,"")</x:f>
        <x:v>100</x:v>
      </x:c>
      <x:c r="I141" s="329" t="str">
        <x:f>IF(AND(ISNUMBER(H141),ISNUMBER(G141)),IF(J141="lower",IF(G141&gt;0,100*F141/G141,""),100*G141/F141),"")</x:f>
      </x:c>
      <x:c r="J141" s="321" t="str">
        <x:v>higher</x:v>
      </x:c>
      <x:c r="N141" s="363" t="n">
        <x:f>Daily!A29</x:f>
        <x:v>46366.5</x:v>
      </x:c>
      <x:c r="O141" s="359" t="str">
        <x:f>Daily!D29</x:f>
        <x:v>Skill B + circuit</x:v>
      </x:c>
      <x:c r="P141" s="371" t="str">
        <x:v>Upside-down hanging shoulder/ab work</x:v>
      </x:c>
      <x:c r="Q141" s="360" t="str">
        <x:v>seconds</x:v>
      </x:c>
      <x:c r="R141" s="365" t="n">
        <x:v>5</x:v>
      </x:c>
      <x:c r="S141" s="365" t="n">
        <x:v>30</x:v>
      </x:c>
      <x:c r="T141" s="366" t="n">
        <x:f>IF(OR(COUNTIFS(Strategy!$B$36:$B$90,P141)&lt;&gt;1,COUNTIFS(Strategy!$B$36:$B$90,P141,Strategy!$C$36:$C$90,"&lt;&gt;")&lt;&gt;1),"",INDEX(Strategy!$C$36:$C$90,MATCH(P141,Strategy!$B$36:$B$90,0)))</x:f>
        <x:v>5</x:v>
      </x:c>
      <x:c r="U141" s="366" t="n">
        <x:f>IF(OR(COUNT(R141:S141)&lt;&gt;2,R141&lt;0,R141&lt;&gt;INT(R141),S141&lt;=0),"",R141*S141)</x:f>
        <x:v>150</x:v>
      </x:c>
      <x:c r="V141" s="388" t="n">
        <x:f>IF(OR(NOT(ISNUMBER(U141)),NOT(ISNUMBER($O$1)),$O$1&lt;=0),"",IF(Q141="seconds",U141/$O$1,IF(Q141="reps/leg",2*U141,IF(Q141="reps",U141,""))))</x:f>
        <x:v>50</x:v>
      </x:c>
      <x:c r="W141" s="359" t="str">
        <x:f>IF(OR(COUNTIFS(Strategy!$B$36:$B$90,P141)&lt;&gt;1,COUNTIFS(Strategy!$B$36:$B$90,P141,Strategy!$D$36:$D$90,"&lt;&gt;")&lt;&gt;1),"",INDEX(Strategy!$D$36:$D$90,MATCH(P141,Strategy!$B$36:$B$90,0)))</x:f>
        <x:v>seconds</x:v>
      </x:c>
      <x:c r="X141" s="369" t="n">
        <x:f>IF(OR(COUNT(T141:V141)&lt;&gt;3,Q141&lt;&gt;W141,T141&lt;0,T141&gt;10),"",T141*V141)</x:f>
        <x:v>250</x:v>
      </x:c>
      <x:c r="Y141" s="373" t="str">
        <x:v>Core: one 30-second work interval per round; rest excluded.</x:v>
      </x:c>
    </x:row>
    <x:row r="142" ht="15" hidden="0" customHeight="1">
      <x:c r="A142" s="327" t="n">
        <x:f>Daily!A44</x:f>
        <x:v>46392.5</x:v>
      </x:c>
      <x:c r="B142" s="322" t="str">
        <x:f>Daily!D44</x:f>
        <x:v>Handstand technique</x:v>
      </x:c>
      <x:c r="C142" s="322" t="str">
        <x:v>A · Wrist/shoulder mobility</x:v>
      </x:c>
      <x:c r="D142" s="322" t="str">
        <x:v>seconds</x:v>
      </x:c>
      <x:c r="E142" s="324" t="b">
        <x:v>1</x:v>
      </x:c>
      <x:c r="F142" s="330" t="n">
        <x:v>120</x:v>
      </x:c>
      <x:c r="G142" s="331" t="str">
        <x:f>IF(AND(OR(Daily!H44=TRUE,Daily!AB44=TRUE),COUNT(Daily!I44)&gt;0),SUM(Daily!I44)*86400,"")</x:f>
      </x:c>
      <x:c r="H142" s="331" t="n">
        <x:f>IF(AND(E142=TRUE,ISNUMBER(F142),F142&gt;0),100,"")</x:f>
        <x:v>100</x:v>
      </x:c>
      <x:c r="I142" s="331" t="str">
        <x:f>IF(AND(ISNUMBER(H142),ISNUMBER(G142)),IF(J142="lower",IF(G142&gt;0,100*F142/G142,""),100*G142/F142),"")</x:f>
      </x:c>
      <x:c r="J142" s="325" t="str">
        <x:v>higher</x:v>
      </x:c>
      <x:c r="N142" s="364" t="n">
        <x:f>Daily!A30</x:f>
        <x:v>46368.5</x:v>
      </x:c>
      <x:c r="O142" s="361" t="str">
        <x:f>Daily!D30</x:f>
        <x:v>Skill micro-session</x:v>
      </x:c>
      <x:c r="P142" s="372" t="str">
        <x:v>Wrist/shoulder mobility</x:v>
      </x:c>
      <x:c r="Q142" s="362" t="str">
        <x:v>seconds</x:v>
      </x:c>
      <x:c r="R142" s="367" t="n">
        <x:v>1</x:v>
      </x:c>
      <x:c r="S142" s="367" t="n">
        <x:v>120</x:v>
      </x:c>
      <x:c r="T142" s="368" t="n">
        <x:f>IF(OR(COUNTIFS(Strategy!$B$36:$B$90,P142)&lt;&gt;1,COUNTIFS(Strategy!$B$36:$B$90,P142,Strategy!$C$36:$C$90,"&lt;&gt;")&lt;&gt;1),"",INDEX(Strategy!$C$36:$C$90,MATCH(P142,Strategy!$B$36:$B$90,0)))</x:f>
        <x:v>1</x:v>
      </x:c>
      <x:c r="U142" s="368" t="n">
        <x:f>IF(OR(COUNT(R142:S142)&lt;&gt;2,R142&lt;0,R142&lt;&gt;INT(R142),S142&lt;=0),"",R142*S142)</x:f>
        <x:v>120</x:v>
      </x:c>
      <x:c r="V142" s="389" t="n">
        <x:f>IF(OR(NOT(ISNUMBER(U142)),NOT(ISNUMBER($O$1)),$O$1&lt;=0),"",IF(Q142="seconds",U142/$O$1,IF(Q142="reps/leg",2*U142,IF(Q142="reps",U142,""))))</x:f>
        <x:v>40</x:v>
      </x:c>
      <x:c r="W142" s="361" t="str">
        <x:f>IF(OR(COUNTIFS(Strategy!$B$36:$B$90,P142)&lt;&gt;1,COUNTIFS(Strategy!$B$36:$B$90,P142,Strategy!$D$36:$D$90,"&lt;&gt;")&lt;&gt;1),"",INDEX(Strategy!$D$36:$D$90,MATCH(P142,Strategy!$B$36:$B$90,0)))</x:f>
        <x:v>seconds</x:v>
      </x:c>
      <x:c r="X142" s="370" t="n">
        <x:f>IF(OR(COUNT(T142:V142)&lt;&gt;3,Q142&lt;&gt;W142,T142&lt;0,T142&gt;10),"",T142*V142)</x:f>
        <x:v>40</x:v>
      </x:c>
      <x:c r="Y142" s="374" t="str"/>
    </x:row>
    <x:row r="143" ht="15" hidden="0" customHeight="1">
      <x:c r="A143" s="326" t="n">
        <x:f>Daily!A44</x:f>
        <x:v>46392.5</x:v>
      </x:c>
      <x:c r="B143" s="318" t="str">
        <x:f>Daily!D44</x:f>
        <x:v>Handstand technique</x:v>
      </x:c>
      <x:c r="C143" s="318" t="str">
        <x:v>B · Easy chest-to-wall hold</x:v>
      </x:c>
      <x:c r="D143" s="318" t="str">
        <x:v>seconds</x:v>
      </x:c>
      <x:c r="E143" s="320" t="b">
        <x:v>1</x:v>
      </x:c>
      <x:c r="F143" s="328" t="n">
        <x:v>45</x:v>
      </x:c>
      <x:c r="G143" s="329" t="str">
        <x:f>IF(AND(OR(Daily!N44=TRUE,Daily!AB44=TRUE),COUNT(Daily!O44,Daily!P44,Daily!Q44)&gt;0),SUM(Daily!O44,Daily!P44,Daily!Q44)*86400,"")</x:f>
      </x:c>
      <x:c r="H143" s="329" t="n">
        <x:f>IF(AND(E143=TRUE,ISNUMBER(F143),F143&gt;0),100,"")</x:f>
        <x:v>100</x:v>
      </x:c>
      <x:c r="I143" s="329" t="str">
        <x:f>IF(AND(ISNUMBER(H143),ISNUMBER(G143)),IF(J143="lower",IF(G143&gt;0,100*F143/G143,""),100*G143/F143),"")</x:f>
      </x:c>
      <x:c r="J143" s="321" t="str">
        <x:v>higher</x:v>
      </x:c>
      <x:c r="N143" s="363" t="n">
        <x:f>Daily!A30</x:f>
        <x:v>46368.5</x:v>
      </x:c>
      <x:c r="O143" s="359" t="str">
        <x:f>Daily!D30</x:f>
        <x:v>Skill micro-session</x:v>
      </x:c>
      <x:c r="P143" s="371" t="str">
        <x:v>Easy chest-to-wall hold</x:v>
      </x:c>
      <x:c r="Q143" s="360" t="str">
        <x:v>seconds</x:v>
      </x:c>
      <x:c r="R143" s="365" t="n">
        <x:v>3</x:v>
      </x:c>
      <x:c r="S143" s="365" t="n">
        <x:v>15</x:v>
      </x:c>
      <x:c r="T143" s="366" t="n">
        <x:f>IF(OR(COUNTIFS(Strategy!$B$36:$B$90,P143)&lt;&gt;1,COUNTIFS(Strategy!$B$36:$B$90,P143,Strategy!$C$36:$C$90,"&lt;&gt;")&lt;&gt;1),"",INDEX(Strategy!$C$36:$C$90,MATCH(P143,Strategy!$B$36:$B$90,0)))</x:f>
        <x:v>1</x:v>
      </x:c>
      <x:c r="U143" s="366" t="n">
        <x:f>IF(OR(COUNT(R143:S143)&lt;&gt;2,R143&lt;0,R143&lt;&gt;INT(R143),S143&lt;=0),"",R143*S143)</x:f>
        <x:v>45</x:v>
      </x:c>
      <x:c r="V143" s="388" t="n">
        <x:f>IF(OR(NOT(ISNUMBER(U143)),NOT(ISNUMBER($O$1)),$O$1&lt;=0),"",IF(Q143="seconds",U143/$O$1,IF(Q143="reps/leg",2*U143,IF(Q143="reps",U143,""))))</x:f>
        <x:v>15</x:v>
      </x:c>
      <x:c r="W143" s="359" t="str">
        <x:f>IF(OR(COUNTIFS(Strategy!$B$36:$B$90,P143)&lt;&gt;1,COUNTIFS(Strategy!$B$36:$B$90,P143,Strategy!$D$36:$D$90,"&lt;&gt;")&lt;&gt;1),"",INDEX(Strategy!$D$36:$D$90,MATCH(P143,Strategy!$B$36:$B$90,0)))</x:f>
        <x:v>seconds</x:v>
      </x:c>
      <x:c r="X143" s="369" t="n">
        <x:f>IF(OR(COUNT(T143:V143)&lt;&gt;3,Q143&lt;&gt;W143,T143&lt;0,T143&gt;10),"",T143*V143)</x:f>
        <x:v>15</x:v>
      </x:c>
      <x:c r="Y143" s="373" t="str"/>
    </x:row>
    <x:row r="144" ht="15" hidden="0" customHeight="1">
      <x:c r="A144" s="327" t="n">
        <x:f>Daily!A44</x:f>
        <x:v>46392.5</x:v>
      </x:c>
      <x:c r="B144" s="322" t="str">
        <x:f>Daily!D44</x:f>
        <x:v>Handstand technique</x:v>
      </x:c>
      <x:c r="C144" s="322" t="str">
        <x:v>C · Wall handstand line drill</x:v>
      </x:c>
      <x:c r="D144" s="322" t="str">
        <x:v>seconds</x:v>
      </x:c>
      <x:c r="E144" s="324" t="b">
        <x:v>1</x:v>
      </x:c>
      <x:c r="F144" s="330" t="n">
        <x:v>30</x:v>
      </x:c>
      <x:c r="G144" s="331" t="str">
        <x:f>IF(AND(OR(Daily!T44=TRUE,Daily!AB44=TRUE),COUNT(Daily!U44,Daily!V44)&gt;0),SUM(Daily!U44,Daily!V44)*86400,"")</x:f>
      </x:c>
      <x:c r="H144" s="331" t="n">
        <x:f>IF(AND(E144=TRUE,ISNUMBER(F144),F144&gt;0),100,"")</x:f>
        <x:v>100</x:v>
      </x:c>
      <x:c r="I144" s="331" t="str">
        <x:f>IF(AND(ISNUMBER(H144),ISNUMBER(G144)),IF(J144="lower",IF(G144&gt;0,100*F144/G144,""),100*G144/F144),"")</x:f>
      </x:c>
      <x:c r="J144" s="325" t="str">
        <x:v>higher</x:v>
      </x:c>
      <x:c r="N144" s="364" t="n">
        <x:f>Daily!A30</x:f>
        <x:v>46368.5</x:v>
      </x:c>
      <x:c r="O144" s="361" t="str">
        <x:f>Daily!D30</x:f>
        <x:v>Skill micro-session</x:v>
      </x:c>
      <x:c r="P144" s="372" t="str">
        <x:v>Wall handstand line drill</x:v>
      </x:c>
      <x:c r="Q144" s="362" t="str">
        <x:v>seconds</x:v>
      </x:c>
      <x:c r="R144" s="367" t="n">
        <x:v>3</x:v>
      </x:c>
      <x:c r="S144" s="367" t="n">
        <x:v>15</x:v>
      </x:c>
      <x:c r="T144" s="368" t="n">
        <x:f>IF(OR(COUNTIFS(Strategy!$B$36:$B$90,P144)&lt;&gt;1,COUNTIFS(Strategy!$B$36:$B$90,P144,Strategy!$C$36:$C$90,"&lt;&gt;")&lt;&gt;1),"",INDEX(Strategy!$C$36:$C$90,MATCH(P144,Strategy!$B$36:$B$90,0)))</x:f>
        <x:v>1</x:v>
      </x:c>
      <x:c r="U144" s="368" t="n">
        <x:f>IF(OR(COUNT(R144:S144)&lt;&gt;2,R144&lt;0,R144&lt;&gt;INT(R144),S144&lt;=0),"",R144*S144)</x:f>
        <x:v>45</x:v>
      </x:c>
      <x:c r="V144" s="389" t="n">
        <x:f>IF(OR(NOT(ISNUMBER(U144)),NOT(ISNUMBER($O$1)),$O$1&lt;=0),"",IF(Q144="seconds",U144/$O$1,IF(Q144="reps/leg",2*U144,IF(Q144="reps",U144,""))))</x:f>
        <x:v>15</x:v>
      </x:c>
      <x:c r="W144" s="361" t="str">
        <x:f>IF(OR(COUNTIFS(Strategy!$B$36:$B$90,P144)&lt;&gt;1,COUNTIFS(Strategy!$B$36:$B$90,P144,Strategy!$D$36:$D$90,"&lt;&gt;")&lt;&gt;1),"",INDEX(Strategy!$D$36:$D$90,MATCH(P144,Strategy!$B$36:$B$90,0)))</x:f>
        <x:v>seconds</x:v>
      </x:c>
      <x:c r="X144" s="370" t="n">
        <x:f>IF(OR(COUNT(T144:V144)&lt;&gt;3,Q144&lt;&gt;W144,T144&lt;0,T144&gt;10),"",T144*V144)</x:f>
        <x:v>15</x:v>
      </x:c>
      <x:c r="Y144" s="374" t="str"/>
    </x:row>
    <x:row r="145" ht="15" hidden="0" customHeight="1">
      <x:c r="A145" s="326" t="n">
        <x:f>Daily!A45</x:f>
        <x:v>46394.5</x:v>
      </x:c>
      <x:c r="B145" s="318" t="str">
        <x:f>Daily!D45</x:f>
        <x:v>Skill B + circuit</x:v>
      </x:c>
      <x:c r="C145" s="318" t="str">
        <x:v>B · Pike push-up back-off</x:v>
      </x:c>
      <x:c r="D145" s="318" t="str">
        <x:v>reps</x:v>
      </x:c>
      <x:c r="E145" s="320" t="b">
        <x:v>1</x:v>
      </x:c>
      <x:c r="F145" s="328" t="n">
        <x:v>8</x:v>
      </x:c>
      <x:c r="G145" s="329" t="str">
        <x:f>IF(AND(OR(Daily!N45=TRUE,Daily!AB45=TRUE),COUNT(Daily!O45,Daily!P45)&gt;0),SUM(Daily!O45,Daily!P45),"")</x:f>
      </x:c>
      <x:c r="H145" s="329" t="n">
        <x:f>IF(AND(E145=TRUE,ISNUMBER(F145),F145&gt;0),100,"")</x:f>
        <x:v>100</x:v>
      </x:c>
      <x:c r="I145" s="329" t="str">
        <x:f>IF(AND(ISNUMBER(H145),ISNUMBER(G145)),IF(J145="lower",IF(G145&gt;0,100*F145/G145,""),100*G145/F145),"")</x:f>
      </x:c>
      <x:c r="J145" s="321" t="str">
        <x:v>higher</x:v>
      </x:c>
      <x:c r="N145" s="363" t="n">
        <x:f>Daily!A31</x:f>
        <x:v>46370.5</x:v>
      </x:c>
      <x:c r="O145" s="359" t="str">
        <x:f>Daily!D31</x:f>
        <x:v>Skill A + interval circuit</x:v>
      </x:c>
      <x:c r="P145" s="371" t="str">
        <x:v>Easy high pull</x:v>
      </x:c>
      <x:c r="Q145" s="360" t="str">
        <x:v>reps</x:v>
      </x:c>
      <x:c r="R145" s="365" t="n">
        <x:v>1</x:v>
      </x:c>
      <x:c r="S145" s="365" t="n">
        <x:v>3</x:v>
      </x:c>
      <x:c r="T145" s="366" t="n">
        <x:f>IF(OR(COUNTIFS(Strategy!$B$36:$B$90,P145)&lt;&gt;1,COUNTIFS(Strategy!$B$36:$B$90,P145,Strategy!$C$36:$C$90,"&lt;&gt;")&lt;&gt;1),"",INDEX(Strategy!$C$36:$C$90,MATCH(P145,Strategy!$B$36:$B$90,0)))</x:f>
        <x:v>1</x:v>
      </x:c>
      <x:c r="U145" s="366" t="n">
        <x:f>IF(OR(COUNT(R145:S145)&lt;&gt;2,R145&lt;0,R145&lt;&gt;INT(R145),S145&lt;=0),"",R145*S145)</x:f>
        <x:v>3</x:v>
      </x:c>
      <x:c r="V145" s="388" t="n">
        <x:f>IF(OR(NOT(ISNUMBER(U145)),NOT(ISNUMBER($O$1)),$O$1&lt;=0),"",IF(Q145="seconds",U145/$O$1,IF(Q145="reps/leg",2*U145,IF(Q145="reps",U145,""))))</x:f>
        <x:v>3</x:v>
      </x:c>
      <x:c r="W145" s="359" t="str">
        <x:f>IF(OR(COUNTIFS(Strategy!$B$36:$B$90,P145)&lt;&gt;1,COUNTIFS(Strategy!$B$36:$B$90,P145,Strategy!$D$36:$D$90,"&lt;&gt;")&lt;&gt;1),"",INDEX(Strategy!$D$36:$D$90,MATCH(P145,Strategy!$B$36:$B$90,0)))</x:f>
        <x:v>reps</x:v>
      </x:c>
      <x:c r="X145" s="369" t="n">
        <x:f>IF(OR(COUNT(T145:V145)&lt;&gt;3,Q145&lt;&gt;W145,T145&lt;0,T145&gt;10),"",T145*V145)</x:f>
        <x:v>3</x:v>
      </x:c>
      <x:c r="Y145" s="373" t="str"/>
    </x:row>
    <x:row r="146" ht="15" hidden="0" customHeight="1">
      <x:c r="A146" s="327" t="n">
        <x:f>Daily!A45</x:f>
        <x:v>46394.5</x:v>
      </x:c>
      <x:c r="B146" s="322" t="str">
        <x:f>Daily!D45</x:f>
        <x:v>Skill B + circuit</x:v>
      </x:c>
      <x:c r="C146" s="322" t="str">
        <x:v>C · Clean pistol</x:v>
      </x:c>
      <x:c r="D146" s="322" t="str">
        <x:v>reps/leg</x:v>
      </x:c>
      <x:c r="E146" s="324" t="b">
        <x:v>1</x:v>
      </x:c>
      <x:c r="F146" s="330" t="n">
        <x:v>6</x:v>
      </x:c>
      <x:c r="G146" s="331" t="str">
        <x:f>IF(AND(OR(Daily!T45=TRUE,Daily!AB45=TRUE),COUNT(Daily!U45,Daily!V45,Daily!W45)&gt;0),SUM(Daily!U45,Daily!V45,Daily!W45),"")</x:f>
      </x:c>
      <x:c r="H146" s="331" t="n">
        <x:f>IF(AND(E146=TRUE,ISNUMBER(F146),F146&gt;0),100,"")</x:f>
        <x:v>100</x:v>
      </x:c>
      <x:c r="I146" s="331" t="str">
        <x:f>IF(AND(ISNUMBER(H146),ISNUMBER(G146)),IF(J146="lower",IF(G146&gt;0,100*F146/G146,""),100*G146/F146),"")</x:f>
      </x:c>
      <x:c r="J146" s="325" t="str">
        <x:v>higher</x:v>
      </x:c>
      <x:c r="N146" s="364" t="n">
        <x:f>Daily!A31</x:f>
        <x:v>46370.5</x:v>
      </x:c>
      <x:c r="O146" s="361" t="str">
        <x:f>Daily!D31</x:f>
        <x:v>Skill A + interval circuit</x:v>
      </x:c>
      <x:c r="P146" s="372" t="str">
        <x:v>Easy low-bar transition</x:v>
      </x:c>
      <x:c r="Q146" s="362" t="str">
        <x:v>reps</x:v>
      </x:c>
      <x:c r="R146" s="367" t="n">
        <x:v>1</x:v>
      </x:c>
      <x:c r="S146" s="367" t="n">
        <x:v>3</x:v>
      </x:c>
      <x:c r="T146" s="368" t="n">
        <x:f>IF(OR(COUNTIFS(Strategy!$B$36:$B$90,P146)&lt;&gt;1,COUNTIFS(Strategy!$B$36:$B$90,P146,Strategy!$C$36:$C$90,"&lt;&gt;")&lt;&gt;1),"",INDEX(Strategy!$C$36:$C$90,MATCH(P146,Strategy!$B$36:$B$90,0)))</x:f>
        <x:v>1</x:v>
      </x:c>
      <x:c r="U146" s="368" t="n">
        <x:f>IF(OR(COUNT(R146:S146)&lt;&gt;2,R146&lt;0,R146&lt;&gt;INT(R146),S146&lt;=0),"",R146*S146)</x:f>
        <x:v>3</x:v>
      </x:c>
      <x:c r="V146" s="389" t="n">
        <x:f>IF(OR(NOT(ISNUMBER(U146)),NOT(ISNUMBER($O$1)),$O$1&lt;=0),"",IF(Q146="seconds",U146/$O$1,IF(Q146="reps/leg",2*U146,IF(Q146="reps",U146,""))))</x:f>
        <x:v>3</x:v>
      </x:c>
      <x:c r="W146" s="361" t="str">
        <x:f>IF(OR(COUNTIFS(Strategy!$B$36:$B$90,P146)&lt;&gt;1,COUNTIFS(Strategy!$B$36:$B$90,P146,Strategy!$D$36:$D$90,"&lt;&gt;")&lt;&gt;1),"",INDEX(Strategy!$D$36:$D$90,MATCH(P146,Strategy!$B$36:$B$90,0)))</x:f>
        <x:v>reps</x:v>
      </x:c>
      <x:c r="X146" s="370" t="n">
        <x:f>IF(OR(COUNT(T146:V146)&lt;&gt;3,Q146&lt;&gt;W146,T146&lt;0,T146&gt;10),"",T146*V146)</x:f>
        <x:v>3</x:v>
      </x:c>
      <x:c r="Y146" s="374" t="str"/>
    </x:row>
    <x:row r="147" ht="15" hidden="0" customHeight="1">
      <x:c r="A147" s="326" t="n">
        <x:f>Daily!A45</x:f>
        <x:v>46394.5</x:v>
      </x:c>
      <x:c r="B147" s="318" t="str">
        <x:f>Daily!D45</x:f>
        <x:v>Skill B + circuit</x:v>
      </x:c>
      <x:c r="C147" s="318" t="str">
        <x:v>Core</x:v>
      </x:c>
      <x:c r="D147" s="318" t="str">
        <x:v>rounds</x:v>
      </x:c>
      <x:c r="E147" s="320" t="b">
        <x:v>1</x:v>
      </x:c>
      <x:c r="F147" s="328" t="n">
        <x:v>5</x:v>
      </x:c>
      <x:c r="G147" s="329" t="str">
        <x:f>IF(AND(OR(Daily!Z45=TRUE,Daily!AB45=TRUE),COUNT(Daily!AA45)&gt;0),SUM(Daily!AA45),"")</x:f>
      </x:c>
      <x:c r="H147" s="329" t="n">
        <x:f>IF(AND(E147=TRUE,ISNUMBER(F147),F147&gt;0),100,"")</x:f>
        <x:v>100</x:v>
      </x:c>
      <x:c r="I147" s="329" t="str">
        <x:f>IF(AND(ISNUMBER(H147),ISNUMBER(G147)),IF(J147="lower",IF(G147&gt;0,100*F147/G147,""),100*G147/F147),"")</x:f>
      </x:c>
      <x:c r="J147" s="321" t="str">
        <x:v>higher</x:v>
      </x:c>
      <x:c r="N147" s="363" t="n">
        <x:f>Daily!A31</x:f>
        <x:v>46370.5</x:v>
      </x:c>
      <x:c r="O147" s="359" t="str">
        <x:f>Daily!D31</x:f>
        <x:v>Skill A + interval circuit</x:v>
      </x:c>
      <x:c r="P147" s="371" t="str">
        <x:v>Assisted smooth pistol</x:v>
      </x:c>
      <x:c r="Q147" s="360" t="str">
        <x:v>reps/leg</x:v>
      </x:c>
      <x:c r="R147" s="365" t="n">
        <x:v>1</x:v>
      </x:c>
      <x:c r="S147" s="365" t="n">
        <x:v>3</x:v>
      </x:c>
      <x:c r="T147" s="366" t="n">
        <x:f>IF(OR(COUNTIFS(Strategy!$B$36:$B$90,P147)&lt;&gt;1,COUNTIFS(Strategy!$B$36:$B$90,P147,Strategy!$C$36:$C$90,"&lt;&gt;")&lt;&gt;1),"",INDEX(Strategy!$C$36:$C$90,MATCH(P147,Strategy!$B$36:$B$90,0)))</x:f>
        <x:v>2</x:v>
      </x:c>
      <x:c r="U147" s="366" t="n">
        <x:f>IF(OR(COUNT(R147:S147)&lt;&gt;2,R147&lt;0,R147&lt;&gt;INT(R147),S147&lt;=0),"",R147*S147)</x:f>
        <x:v>3</x:v>
      </x:c>
      <x:c r="V147" s="388" t="n">
        <x:f>IF(OR(NOT(ISNUMBER(U147)),NOT(ISNUMBER($O$1)),$O$1&lt;=0),"",IF(Q147="seconds",U147/$O$1,IF(Q147="reps/leg",2*U147,IF(Q147="reps",U147,""))))</x:f>
        <x:v>6</x:v>
      </x:c>
      <x:c r="W147" s="359" t="str">
        <x:f>IF(OR(COUNTIFS(Strategy!$B$36:$B$90,P147)&lt;&gt;1,COUNTIFS(Strategy!$B$36:$B$90,P147,Strategy!$D$36:$D$90,"&lt;&gt;")&lt;&gt;1),"",INDEX(Strategy!$D$36:$D$90,MATCH(P147,Strategy!$B$36:$B$90,0)))</x:f>
        <x:v>reps/leg</x:v>
      </x:c>
      <x:c r="X147" s="369" t="n">
        <x:f>IF(OR(COUNT(T147:V147)&lt;&gt;3,Q147&lt;&gt;W147,T147&lt;0,T147&gt;10),"",T147*V147)</x:f>
        <x:v>12</x:v>
      </x:c>
      <x:c r="Y147" s="373" t="str"/>
    </x:row>
    <x:row r="148" ht="15" hidden="0" customHeight="1">
      <x:c r="A148" s="327" t="n">
        <x:f>Daily!A46</x:f>
        <x:v>46396.5</x:v>
      </x:c>
      <x:c r="B148" s="322" t="str">
        <x:f>Daily!D46</x:f>
        <x:v>Skill micro-session</x:v>
      </x:c>
      <x:c r="C148" s="322" t="str">
        <x:v>A · Wrist/shoulder mobility</x:v>
      </x:c>
      <x:c r="D148" s="322" t="str">
        <x:v>seconds</x:v>
      </x:c>
      <x:c r="E148" s="324" t="b">
        <x:v>1</x:v>
      </x:c>
      <x:c r="F148" s="330" t="n">
        <x:v>120</x:v>
      </x:c>
      <x:c r="G148" s="331" t="str">
        <x:f>IF(AND(OR(Daily!H46=TRUE,Daily!AB46=TRUE),COUNT(Daily!I46)&gt;0),SUM(Daily!I46)*86400,"")</x:f>
      </x:c>
      <x:c r="H148" s="331" t="n">
        <x:f>IF(AND(E148=TRUE,ISNUMBER(F148),F148&gt;0),100,"")</x:f>
        <x:v>100</x:v>
      </x:c>
      <x:c r="I148" s="331" t="str">
        <x:f>IF(AND(ISNUMBER(H148),ISNUMBER(G148)),IF(J148="lower",IF(G148&gt;0,100*F148/G148,""),100*G148/F148),"")</x:f>
      </x:c>
      <x:c r="J148" s="325" t="str">
        <x:v>higher</x:v>
      </x:c>
      <x:c r="N148" s="364" t="n">
        <x:f>Daily!A31</x:f>
        <x:v>46370.5</x:v>
      </x:c>
      <x:c r="O148" s="361" t="str">
        <x:f>Daily!D31</x:f>
        <x:v>Skill A + interval circuit</x:v>
      </x:c>
      <x:c r="P148" s="372" t="str">
        <x:v>Pull-up</x:v>
      </x:c>
      <x:c r="Q148" s="362" t="str">
        <x:v>seconds</x:v>
      </x:c>
      <x:c r="R148" s="367" t="n">
        <x:v>3</x:v>
      </x:c>
      <x:c r="S148" s="367" t="n">
        <x:v>30</x:v>
      </x:c>
      <x:c r="T148" s="368" t="n">
        <x:f>IF(OR(COUNTIFS(Strategy!$B$36:$B$90,P148)&lt;&gt;1,COUNTIFS(Strategy!$B$36:$B$90,P148,Strategy!$C$36:$C$90,"&lt;&gt;")&lt;&gt;1),"",INDEX(Strategy!$C$36:$C$90,MATCH(P148,Strategy!$B$36:$B$90,0)))</x:f>
        <x:v>6</x:v>
      </x:c>
      <x:c r="U148" s="368" t="n">
        <x:f>IF(OR(COUNT(R148:S148)&lt;&gt;2,R148&lt;0,R148&lt;&gt;INT(R148),S148&lt;=0),"",R148*S148)</x:f>
        <x:v>90</x:v>
      </x:c>
      <x:c r="V148" s="389" t="n">
        <x:f>IF(OR(NOT(ISNUMBER(U148)),NOT(ISNUMBER($O$1)),$O$1&lt;=0),"",IF(Q148="seconds",U148/$O$1,IF(Q148="reps/leg",2*U148,IF(Q148="reps",U148,""))))</x:f>
        <x:v>30</x:v>
      </x:c>
      <x:c r="W148" s="361" t="str">
        <x:f>IF(OR(COUNTIFS(Strategy!$B$36:$B$90,P148)&lt;&gt;1,COUNTIFS(Strategy!$B$36:$B$90,P148,Strategy!$D$36:$D$90,"&lt;&gt;")&lt;&gt;1),"",INDEX(Strategy!$D$36:$D$90,MATCH(P148,Strategy!$B$36:$B$90,0)))</x:f>
        <x:v>seconds</x:v>
      </x:c>
      <x:c r="X148" s="370" t="n">
        <x:f>IF(OR(COUNT(T148:V148)&lt;&gt;3,Q148&lt;&gt;W148,T148&lt;0,T148&gt;10),"",T148*V148)</x:f>
        <x:v>180</x:v>
      </x:c>
      <x:c r="Y148" s="374" t="str">
        <x:v>Core: one 30-second work interval per round; rest excluded.</x:v>
      </x:c>
    </x:row>
    <x:row r="149" ht="15" hidden="0" customHeight="1">
      <x:c r="A149" s="326" t="n">
        <x:f>Daily!A46</x:f>
        <x:v>46396.5</x:v>
      </x:c>
      <x:c r="B149" s="318" t="str">
        <x:f>Daily!D46</x:f>
        <x:v>Skill micro-session</x:v>
      </x:c>
      <x:c r="C149" s="318" t="str">
        <x:v>B · Easy chest-to-wall hold</x:v>
      </x:c>
      <x:c r="D149" s="318" t="str">
        <x:v>seconds</x:v>
      </x:c>
      <x:c r="E149" s="320" t="b">
        <x:v>1</x:v>
      </x:c>
      <x:c r="F149" s="328" t="n">
        <x:v>45</x:v>
      </x:c>
      <x:c r="G149" s="329" t="str">
        <x:f>IF(AND(OR(Daily!N46=TRUE,Daily!AB46=TRUE),COUNT(Daily!O46,Daily!P46,Daily!Q46)&gt;0),SUM(Daily!O46,Daily!P46,Daily!Q46)*86400,"")</x:f>
      </x:c>
      <x:c r="H149" s="329" t="n">
        <x:f>IF(AND(E149=TRUE,ISNUMBER(F149),F149&gt;0),100,"")</x:f>
        <x:v>100</x:v>
      </x:c>
      <x:c r="I149" s="329" t="str">
        <x:f>IF(AND(ISNUMBER(H149),ISNUMBER(G149)),IF(J149="lower",IF(G149&gt;0,100*F149/G149,""),100*G149/F149),"")</x:f>
      </x:c>
      <x:c r="J149" s="321" t="str">
        <x:v>higher</x:v>
      </x:c>
      <x:c r="N149" s="363" t="n">
        <x:f>Daily!A31</x:f>
        <x:v>46370.5</x:v>
      </x:c>
      <x:c r="O149" s="359" t="str">
        <x:f>Daily!D31</x:f>
        <x:v>Skill A + interval circuit</x:v>
      </x:c>
      <x:c r="P149" s="371" t="str">
        <x:v>Push-up</x:v>
      </x:c>
      <x:c r="Q149" s="360" t="str">
        <x:v>seconds</x:v>
      </x:c>
      <x:c r="R149" s="365" t="n">
        <x:v>3</x:v>
      </x:c>
      <x:c r="S149" s="365" t="n">
        <x:v>30</x:v>
      </x:c>
      <x:c r="T149" s="366" t="n">
        <x:f>IF(OR(COUNTIFS(Strategy!$B$36:$B$90,P149)&lt;&gt;1,COUNTIFS(Strategy!$B$36:$B$90,P149,Strategy!$C$36:$C$90,"&lt;&gt;")&lt;&gt;1),"",INDEX(Strategy!$C$36:$C$90,MATCH(P149,Strategy!$B$36:$B$90,0)))</x:f>
        <x:v>4</x:v>
      </x:c>
      <x:c r="U149" s="366" t="n">
        <x:f>IF(OR(COUNT(R149:S149)&lt;&gt;2,R149&lt;0,R149&lt;&gt;INT(R149),S149&lt;=0),"",R149*S149)</x:f>
        <x:v>90</x:v>
      </x:c>
      <x:c r="V149" s="388" t="n">
        <x:f>IF(OR(NOT(ISNUMBER(U149)),NOT(ISNUMBER($O$1)),$O$1&lt;=0),"",IF(Q149="seconds",U149/$O$1,IF(Q149="reps/leg",2*U149,IF(Q149="reps",U149,""))))</x:f>
        <x:v>30</x:v>
      </x:c>
      <x:c r="W149" s="359" t="str">
        <x:f>IF(OR(COUNTIFS(Strategy!$B$36:$B$90,P149)&lt;&gt;1,COUNTIFS(Strategy!$B$36:$B$90,P149,Strategy!$D$36:$D$90,"&lt;&gt;")&lt;&gt;1),"",INDEX(Strategy!$D$36:$D$90,MATCH(P149,Strategy!$B$36:$B$90,0)))</x:f>
        <x:v>seconds</x:v>
      </x:c>
      <x:c r="X149" s="369" t="n">
        <x:f>IF(OR(COUNT(T149:V149)&lt;&gt;3,Q149&lt;&gt;W149,T149&lt;0,T149&gt;10),"",T149*V149)</x:f>
        <x:v>120</x:v>
      </x:c>
      <x:c r="Y149" s="373" t="str">
        <x:v>Core: one 30-second work interval per round; rest excluded.</x:v>
      </x:c>
    </x:row>
    <x:row r="150" ht="15" hidden="0" customHeight="1">
      <x:c r="A150" s="327" t="n">
        <x:f>Daily!A46</x:f>
        <x:v>46396.5</x:v>
      </x:c>
      <x:c r="B150" s="322" t="str">
        <x:f>Daily!D46</x:f>
        <x:v>Skill micro-session</x:v>
      </x:c>
      <x:c r="C150" s="322" t="str">
        <x:v>C · Wall handstand line drill</x:v>
      </x:c>
      <x:c r="D150" s="322" t="str">
        <x:v>seconds</x:v>
      </x:c>
      <x:c r="E150" s="324" t="b">
        <x:v>1</x:v>
      </x:c>
      <x:c r="F150" s="330" t="n">
        <x:v>45</x:v>
      </x:c>
      <x:c r="G150" s="331" t="str">
        <x:f>IF(AND(OR(Daily!T46=TRUE,Daily!AB46=TRUE),COUNT(Daily!U46,Daily!V46,Daily!W46)&gt;0),SUM(Daily!U46,Daily!V46,Daily!W46)*86400,"")</x:f>
      </x:c>
      <x:c r="H150" s="331" t="n">
        <x:f>IF(AND(E150=TRUE,ISNUMBER(F150),F150&gt;0),100,"")</x:f>
        <x:v>100</x:v>
      </x:c>
      <x:c r="I150" s="331" t="str">
        <x:f>IF(AND(ISNUMBER(H150),ISNUMBER(G150)),IF(J150="lower",IF(G150&gt;0,100*F150/G150,""),100*G150/F150),"")</x:f>
      </x:c>
      <x:c r="J150" s="325" t="str">
        <x:v>higher</x:v>
      </x:c>
      <x:c r="N150" s="364" t="n">
        <x:f>Daily!A31</x:f>
        <x:v>46370.5</x:v>
      </x:c>
      <x:c r="O150" s="361" t="str">
        <x:f>Daily!D31</x:f>
        <x:v>Skill A + interval circuit</x:v>
      </x:c>
      <x:c r="P150" s="372" t="str">
        <x:v>Weighted squat</x:v>
      </x:c>
      <x:c r="Q150" s="362" t="str">
        <x:v>seconds</x:v>
      </x:c>
      <x:c r="R150" s="367" t="n">
        <x:v>3</x:v>
      </x:c>
      <x:c r="S150" s="367" t="n">
        <x:v>30</x:v>
      </x:c>
      <x:c r="T150" s="368" t="n">
        <x:f>IF(OR(COUNTIFS(Strategy!$B$36:$B$90,P150)&lt;&gt;1,COUNTIFS(Strategy!$B$36:$B$90,P150,Strategy!$C$36:$C$90,"&lt;&gt;")&lt;&gt;1),"",INDEX(Strategy!$C$36:$C$90,MATCH(P150,Strategy!$B$36:$B$90,0)))</x:f>
        <x:v>5</x:v>
      </x:c>
      <x:c r="U150" s="368" t="n">
        <x:f>IF(OR(COUNT(R150:S150)&lt;&gt;2,R150&lt;0,R150&lt;&gt;INT(R150),S150&lt;=0),"",R150*S150)</x:f>
        <x:v>90</x:v>
      </x:c>
      <x:c r="V150" s="389" t="n">
        <x:f>IF(OR(NOT(ISNUMBER(U150)),NOT(ISNUMBER($O$1)),$O$1&lt;=0),"",IF(Q150="seconds",U150/$O$1,IF(Q150="reps/leg",2*U150,IF(Q150="reps",U150,""))))</x:f>
        <x:v>30</x:v>
      </x:c>
      <x:c r="W150" s="361" t="str">
        <x:f>IF(OR(COUNTIFS(Strategy!$B$36:$B$90,P150)&lt;&gt;1,COUNTIFS(Strategy!$B$36:$B$90,P150,Strategy!$D$36:$D$90,"&lt;&gt;")&lt;&gt;1),"",INDEX(Strategy!$D$36:$D$90,MATCH(P150,Strategy!$B$36:$B$90,0)))</x:f>
        <x:v>seconds</x:v>
      </x:c>
      <x:c r="X150" s="370" t="n">
        <x:f>IF(OR(COUNT(T150:V150)&lt;&gt;3,Q150&lt;&gt;W150,T150&lt;0,T150&gt;10),"",T150*V150)</x:f>
        <x:v>150</x:v>
      </x:c>
      <x:c r="Y150" s="374" t="str">
        <x:v>Core: one 30-second work interval per round; rest excluded.</x:v>
      </x:c>
    </x:row>
    <x:row r="151" ht="15" hidden="0" customHeight="1">
      <x:c r="A151" s="326" t="n">
        <x:f>Daily!A47</x:f>
        <x:v>46398.5</x:v>
      </x:c>
      <x:c r="B151" s="318" t="str">
        <x:f>Daily!D47</x:f>
        <x:v>Skill A + interval circuit</x:v>
      </x:c>
      <x:c r="C151" s="318" t="str">
        <x:v>Core</x:v>
      </x:c>
      <x:c r="D151" s="318" t="str">
        <x:v>rounds</x:v>
      </x:c>
      <x:c r="E151" s="320" t="b">
        <x:v>1</x:v>
      </x:c>
      <x:c r="F151" s="328" t="n">
        <x:v>2</x:v>
      </x:c>
      <x:c r="G151" s="329" t="str">
        <x:f>IF(AND(OR(Daily!Z47=TRUE,Daily!AB47=TRUE),COUNT(Daily!AA47)&gt;0),SUM(Daily!AA47),"")</x:f>
      </x:c>
      <x:c r="H151" s="329" t="n">
        <x:f>IF(AND(E151=TRUE,ISNUMBER(F151),F151&gt;0),100,"")</x:f>
        <x:v>100</x:v>
      </x:c>
      <x:c r="I151" s="329" t="str">
        <x:f>IF(AND(ISNUMBER(H151),ISNUMBER(G151)),IF(J151="lower",IF(G151&gt;0,100*F151/G151,""),100*G151/F151),"")</x:f>
      </x:c>
      <x:c r="J151" s="321" t="str">
        <x:v>higher</x:v>
      </x:c>
      <x:c r="N151" s="363" t="n">
        <x:f>Daily!A31</x:f>
        <x:v>46370.5</x:v>
      </x:c>
      <x:c r="O151" s="359" t="str">
        <x:f>Daily!D31</x:f>
        <x:v>Skill A + interval circuit</x:v>
      </x:c>
      <x:c r="P151" s="371" t="str">
        <x:v>Upside-down hanging shoulder/ab work</x:v>
      </x:c>
      <x:c r="Q151" s="360" t="str">
        <x:v>seconds</x:v>
      </x:c>
      <x:c r="R151" s="365" t="n">
        <x:v>3</x:v>
      </x:c>
      <x:c r="S151" s="365" t="n">
        <x:v>30</x:v>
      </x:c>
      <x:c r="T151" s="366" t="n">
        <x:f>IF(OR(COUNTIFS(Strategy!$B$36:$B$90,P151)&lt;&gt;1,COUNTIFS(Strategy!$B$36:$B$90,P151,Strategy!$C$36:$C$90,"&lt;&gt;")&lt;&gt;1),"",INDEX(Strategy!$C$36:$C$90,MATCH(P151,Strategy!$B$36:$B$90,0)))</x:f>
        <x:v>5</x:v>
      </x:c>
      <x:c r="U151" s="366" t="n">
        <x:f>IF(OR(COUNT(R151:S151)&lt;&gt;2,R151&lt;0,R151&lt;&gt;INT(R151),S151&lt;=0),"",R151*S151)</x:f>
        <x:v>90</x:v>
      </x:c>
      <x:c r="V151" s="388" t="n">
        <x:f>IF(OR(NOT(ISNUMBER(U151)),NOT(ISNUMBER($O$1)),$O$1&lt;=0),"",IF(Q151="seconds",U151/$O$1,IF(Q151="reps/leg",2*U151,IF(Q151="reps",U151,""))))</x:f>
        <x:v>30</x:v>
      </x:c>
      <x:c r="W151" s="359" t="str">
        <x:f>IF(OR(COUNTIFS(Strategy!$B$36:$B$90,P151)&lt;&gt;1,COUNTIFS(Strategy!$B$36:$B$90,P151,Strategy!$D$36:$D$90,"&lt;&gt;")&lt;&gt;1),"",INDEX(Strategy!$D$36:$D$90,MATCH(P151,Strategy!$B$36:$B$90,0)))</x:f>
        <x:v>seconds</x:v>
      </x:c>
      <x:c r="X151" s="369" t="n">
        <x:f>IF(OR(COUNT(T151:V151)&lt;&gt;3,Q151&lt;&gt;W151,T151&lt;0,T151&gt;10),"",T151*V151)</x:f>
        <x:v>150</x:v>
      </x:c>
      <x:c r="Y151" s="373" t="str">
        <x:v>Core: one 30-second work interval per round; rest excluded.</x:v>
      </x:c>
    </x:row>
    <x:row r="152" ht="15" hidden="0" customHeight="1">
      <x:c r="A152" s="327" t="n">
        <x:f>Daily!A48</x:f>
        <x:v>46399.5</x:v>
      </x:c>
      <x:c r="B152" s="322" t="str">
        <x:f>Daily!D48</x:f>
        <x:v>Handstand technique</x:v>
      </x:c>
      <x:c r="C152" s="322" t="str">
        <x:v>A · Wrist/shoulder mobility</x:v>
      </x:c>
      <x:c r="D152" s="322" t="str">
        <x:v>seconds</x:v>
      </x:c>
      <x:c r="E152" s="324" t="b">
        <x:v>1</x:v>
      </x:c>
      <x:c r="F152" s="330" t="n">
        <x:v>60</x:v>
      </x:c>
      <x:c r="G152" s="331" t="str">
        <x:f>IF(AND(OR(Daily!H48=TRUE,Daily!AB48=TRUE),COUNT(Daily!I48)&gt;0),SUM(Daily!I48)*86400,"")</x:f>
      </x:c>
      <x:c r="H152" s="331" t="n">
        <x:f>IF(AND(E152=TRUE,ISNUMBER(F152),F152&gt;0),100,"")</x:f>
        <x:v>100</x:v>
      </x:c>
      <x:c r="I152" s="331" t="str">
        <x:f>IF(AND(ISNUMBER(H152),ISNUMBER(G152)),IF(J152="lower",IF(G152&gt;0,100*F152/G152,""),100*G152/F152),"")</x:f>
      </x:c>
      <x:c r="J152" s="325" t="str">
        <x:v>higher</x:v>
      </x:c>
      <x:c r="N152" s="364" t="n">
        <x:f>Daily!A32</x:f>
        <x:v>46371.5</x:v>
      </x:c>
      <x:c r="O152" s="361" t="str">
        <x:f>Daily!D32</x:f>
        <x:v>Handstand technique</x:v>
      </x:c>
      <x:c r="P152" s="372" t="str">
        <x:v>Wrist/shoulder mobility</x:v>
      </x:c>
      <x:c r="Q152" s="362" t="str">
        <x:v>seconds</x:v>
      </x:c>
      <x:c r="R152" s="367" t="n">
        <x:v>1</x:v>
      </x:c>
      <x:c r="S152" s="367" t="n">
        <x:v>60</x:v>
      </x:c>
      <x:c r="T152" s="368" t="n">
        <x:f>IF(OR(COUNTIFS(Strategy!$B$36:$B$90,P152)&lt;&gt;1,COUNTIFS(Strategy!$B$36:$B$90,P152,Strategy!$C$36:$C$90,"&lt;&gt;")&lt;&gt;1),"",INDEX(Strategy!$C$36:$C$90,MATCH(P152,Strategy!$B$36:$B$90,0)))</x:f>
        <x:v>1</x:v>
      </x:c>
      <x:c r="U152" s="368" t="n">
        <x:f>IF(OR(COUNT(R152:S152)&lt;&gt;2,R152&lt;0,R152&lt;&gt;INT(R152),S152&lt;=0),"",R152*S152)</x:f>
        <x:v>60</x:v>
      </x:c>
      <x:c r="V152" s="389" t="n">
        <x:f>IF(OR(NOT(ISNUMBER(U152)),NOT(ISNUMBER($O$1)),$O$1&lt;=0),"",IF(Q152="seconds",U152/$O$1,IF(Q152="reps/leg",2*U152,IF(Q152="reps",U152,""))))</x:f>
        <x:v>20</x:v>
      </x:c>
      <x:c r="W152" s="361" t="str">
        <x:f>IF(OR(COUNTIFS(Strategy!$B$36:$B$90,P152)&lt;&gt;1,COUNTIFS(Strategy!$B$36:$B$90,P152,Strategy!$D$36:$D$90,"&lt;&gt;")&lt;&gt;1),"",INDEX(Strategy!$D$36:$D$90,MATCH(P152,Strategy!$B$36:$B$90,0)))</x:f>
        <x:v>seconds</x:v>
      </x:c>
      <x:c r="X152" s="370" t="n">
        <x:f>IF(OR(COUNT(T152:V152)&lt;&gt;3,Q152&lt;&gt;W152,T152&lt;0,T152&gt;10),"",T152*V152)</x:f>
        <x:v>20</x:v>
      </x:c>
      <x:c r="Y152" s="374" t="str"/>
    </x:row>
    <x:row r="153" ht="15" hidden="0" customHeight="1">
      <x:c r="A153" s="326" t="n">
        <x:f>Daily!A48</x:f>
        <x:v>46399.5</x:v>
      </x:c>
      <x:c r="B153" s="318" t="str">
        <x:f>Daily!D48</x:f>
        <x:v>Handstand technique</x:v>
      </x:c>
      <x:c r="C153" s="318" t="str">
        <x:v>B · Easy chest-to-wall hold</x:v>
      </x:c>
      <x:c r="D153" s="318" t="str">
        <x:v>seconds</x:v>
      </x:c>
      <x:c r="E153" s="320" t="b">
        <x:v>1</x:v>
      </x:c>
      <x:c r="F153" s="328" t="n">
        <x:v>20</x:v>
      </x:c>
      <x:c r="G153" s="329" t="str">
        <x:f>IF(AND(OR(Daily!N48=TRUE,Daily!AB48=TRUE),COUNT(Daily!O48,Daily!P48)&gt;0),SUM(Daily!O48,Daily!P48)*86400,"")</x:f>
      </x:c>
      <x:c r="H153" s="329" t="n">
        <x:f>IF(AND(E153=TRUE,ISNUMBER(F153),F153&gt;0),100,"")</x:f>
        <x:v>100</x:v>
      </x:c>
      <x:c r="I153" s="329" t="str">
        <x:f>IF(AND(ISNUMBER(H153),ISNUMBER(G153)),IF(J153="lower",IF(G153&gt;0,100*F153/G153,""),100*G153/F153),"")</x:f>
      </x:c>
      <x:c r="J153" s="321" t="str">
        <x:v>higher</x:v>
      </x:c>
      <x:c r="N153" s="363" t="n">
        <x:f>Daily!A32</x:f>
        <x:v>46371.5</x:v>
      </x:c>
      <x:c r="O153" s="359" t="str">
        <x:f>Daily!D32</x:f>
        <x:v>Handstand technique</x:v>
      </x:c>
      <x:c r="P153" s="371" t="str">
        <x:v>Easy chest-to-wall hold</x:v>
      </x:c>
      <x:c r="Q153" s="360" t="str">
        <x:v>seconds</x:v>
      </x:c>
      <x:c r="R153" s="365" t="n">
        <x:v>2</x:v>
      </x:c>
      <x:c r="S153" s="365" t="n">
        <x:v>10</x:v>
      </x:c>
      <x:c r="T153" s="366" t="n">
        <x:f>IF(OR(COUNTIFS(Strategy!$B$36:$B$90,P153)&lt;&gt;1,COUNTIFS(Strategy!$B$36:$B$90,P153,Strategy!$C$36:$C$90,"&lt;&gt;")&lt;&gt;1),"",INDEX(Strategy!$C$36:$C$90,MATCH(P153,Strategy!$B$36:$B$90,0)))</x:f>
        <x:v>1</x:v>
      </x:c>
      <x:c r="U153" s="366" t="n">
        <x:f>IF(OR(COUNT(R153:S153)&lt;&gt;2,R153&lt;0,R153&lt;&gt;INT(R153),S153&lt;=0),"",R153*S153)</x:f>
        <x:v>20</x:v>
      </x:c>
      <x:c r="V153" s="388" t="n">
        <x:f>IF(OR(NOT(ISNUMBER(U153)),NOT(ISNUMBER($O$1)),$O$1&lt;=0),"",IF(Q153="seconds",U153/$O$1,IF(Q153="reps/leg",2*U153,IF(Q153="reps",U153,""))))</x:f>
        <x:v>6.666666666666667</x:v>
      </x:c>
      <x:c r="W153" s="359" t="str">
        <x:f>IF(OR(COUNTIFS(Strategy!$B$36:$B$90,P153)&lt;&gt;1,COUNTIFS(Strategy!$B$36:$B$90,P153,Strategy!$D$36:$D$90,"&lt;&gt;")&lt;&gt;1),"",INDEX(Strategy!$D$36:$D$90,MATCH(P153,Strategy!$B$36:$B$90,0)))</x:f>
        <x:v>seconds</x:v>
      </x:c>
      <x:c r="X153" s="369" t="n">
        <x:f>IF(OR(COUNT(T153:V153)&lt;&gt;3,Q153&lt;&gt;W153,T153&lt;0,T153&gt;10),"",T153*V153)</x:f>
        <x:v>6.666666666666667</x:v>
      </x:c>
      <x:c r="Y153" s="373" t="str"/>
    </x:row>
    <x:row r="154" ht="15" hidden="0" customHeight="1">
      <x:c r="A154" s="327" t="n">
        <x:f>Daily!A48</x:f>
        <x:v>46399.5</x:v>
      </x:c>
      <x:c r="B154" s="322" t="str">
        <x:f>Daily!D48</x:f>
        <x:v>Handstand technique</x:v>
      </x:c>
      <x:c r="C154" s="322" t="str">
        <x:v>C · Wall handstand line drill</x:v>
      </x:c>
      <x:c r="D154" s="322" t="str">
        <x:v>seconds</x:v>
      </x:c>
      <x:c r="E154" s="324" t="b">
        <x:v>1</x:v>
      </x:c>
      <x:c r="F154" s="330" t="n">
        <x:v>10</x:v>
      </x:c>
      <x:c r="G154" s="331" t="str">
        <x:f>IF(AND(OR(Daily!T48=TRUE,Daily!AB48=TRUE),COUNT(Daily!U48)&gt;0),SUM(Daily!U48)*86400,"")</x:f>
      </x:c>
      <x:c r="H154" s="331" t="n">
        <x:f>IF(AND(E154=TRUE,ISNUMBER(F154),F154&gt;0),100,"")</x:f>
        <x:v>100</x:v>
      </x:c>
      <x:c r="I154" s="331" t="str">
        <x:f>IF(AND(ISNUMBER(H154),ISNUMBER(G154)),IF(J154="lower",IF(G154&gt;0,100*F154/G154,""),100*G154/F154),"")</x:f>
      </x:c>
      <x:c r="J154" s="325" t="str">
        <x:v>higher</x:v>
      </x:c>
      <x:c r="N154" s="364" t="n">
        <x:f>Daily!A32</x:f>
        <x:v>46371.5</x:v>
      </x:c>
      <x:c r="O154" s="361" t="str">
        <x:f>Daily!D32</x:f>
        <x:v>Handstand technique</x:v>
      </x:c>
      <x:c r="P154" s="372" t="str">
        <x:v>Wall handstand line drill</x:v>
      </x:c>
      <x:c r="Q154" s="362" t="str">
        <x:v>seconds</x:v>
      </x:c>
      <x:c r="R154" s="367" t="n">
        <x:v>1</x:v>
      </x:c>
      <x:c r="S154" s="367" t="n">
        <x:v>10</x:v>
      </x:c>
      <x:c r="T154" s="368" t="n">
        <x:f>IF(OR(COUNTIFS(Strategy!$B$36:$B$90,P154)&lt;&gt;1,COUNTIFS(Strategy!$B$36:$B$90,P154,Strategy!$C$36:$C$90,"&lt;&gt;")&lt;&gt;1),"",INDEX(Strategy!$C$36:$C$90,MATCH(P154,Strategy!$B$36:$B$90,0)))</x:f>
        <x:v>1</x:v>
      </x:c>
      <x:c r="U154" s="368" t="n">
        <x:f>IF(OR(COUNT(R154:S154)&lt;&gt;2,R154&lt;0,R154&lt;&gt;INT(R154),S154&lt;=0),"",R154*S154)</x:f>
        <x:v>10</x:v>
      </x:c>
      <x:c r="V154" s="389" t="n">
        <x:f>IF(OR(NOT(ISNUMBER(U154)),NOT(ISNUMBER($O$1)),$O$1&lt;=0),"",IF(Q154="seconds",U154/$O$1,IF(Q154="reps/leg",2*U154,IF(Q154="reps",U154,""))))</x:f>
        <x:v>3.3333333333333335</x:v>
      </x:c>
      <x:c r="W154" s="361" t="str">
        <x:f>IF(OR(COUNTIFS(Strategy!$B$36:$B$90,P154)&lt;&gt;1,COUNTIFS(Strategy!$B$36:$B$90,P154,Strategy!$D$36:$D$90,"&lt;&gt;")&lt;&gt;1),"",INDEX(Strategy!$D$36:$D$90,MATCH(P154,Strategy!$B$36:$B$90,0)))</x:f>
        <x:v>seconds</x:v>
      </x:c>
      <x:c r="X154" s="370" t="n">
        <x:f>IF(OR(COUNT(T154:V154)&lt;&gt;3,Q154&lt;&gt;W154,T154&lt;0,T154&gt;10),"",T154*V154)</x:f>
        <x:v>3.3333333333333335</x:v>
      </x:c>
      <x:c r="Y154" s="374" t="str"/>
    </x:row>
    <x:row r="155" ht="15" hidden="0" customHeight="1">
      <x:c r="A155" s="326" t="n">
        <x:f>Daily!A49</x:f>
        <x:v>46401.5</x:v>
      </x:c>
      <x:c r="B155" s="318" t="str">
        <x:f>Daily!D49</x:f>
        <x:v>Skill B + interval circuit</x:v>
      </x:c>
      <x:c r="C155" s="318" t="str">
        <x:v>B · Easy wall handstand</x:v>
      </x:c>
      <x:c r="D155" s="318" t="str">
        <x:v>seconds</x:v>
      </x:c>
      <x:c r="E155" s="320" t="b">
        <x:v>1</x:v>
      </x:c>
      <x:c r="F155" s="328" t="n">
        <x:v>15</x:v>
      </x:c>
      <x:c r="G155" s="329" t="str">
        <x:f>IF(AND(OR(Daily!N49=TRUE,Daily!AB49=TRUE),COUNT(Daily!O49)&gt;0),SUM(Daily!O49)*86400,"")</x:f>
      </x:c>
      <x:c r="H155" s="329" t="n">
        <x:f>IF(AND(E155=TRUE,ISNUMBER(F155),F155&gt;0),100,"")</x:f>
        <x:v>100</x:v>
      </x:c>
      <x:c r="I155" s="329" t="str">
        <x:f>IF(AND(ISNUMBER(H155),ISNUMBER(G155)),IF(J155="lower",IF(G155&gt;0,100*F155/G155,""),100*G155/F155),"")</x:f>
      </x:c>
      <x:c r="J155" s="321" t="str">
        <x:v>higher</x:v>
      </x:c>
      <x:c r="N155" s="363" t="n">
        <x:f>Daily!A33</x:f>
        <x:v>46373.5</x:v>
      </x:c>
      <x:c r="O155" s="359" t="str">
        <x:f>Daily!D33</x:f>
        <x:v>Skill B + interval circuit</x:v>
      </x:c>
      <x:c r="P155" s="371" t="str">
        <x:v>Easy wall handstand</x:v>
      </x:c>
      <x:c r="Q155" s="360" t="str">
        <x:v>seconds</x:v>
      </x:c>
      <x:c r="R155" s="365" t="n">
        <x:v>1</x:v>
      </x:c>
      <x:c r="S155" s="365" t="n">
        <x:v>15</x:v>
      </x:c>
      <x:c r="T155" s="366" t="n">
        <x:f>IF(OR(COUNTIFS(Strategy!$B$36:$B$90,P155)&lt;&gt;1,COUNTIFS(Strategy!$B$36:$B$90,P155,Strategy!$C$36:$C$90,"&lt;&gt;")&lt;&gt;1),"",INDEX(Strategy!$C$36:$C$90,MATCH(P155,Strategy!$B$36:$B$90,0)))</x:f>
        <x:v>1</x:v>
      </x:c>
      <x:c r="U155" s="366" t="n">
        <x:f>IF(OR(COUNT(R155:S155)&lt;&gt;2,R155&lt;0,R155&lt;&gt;INT(R155),S155&lt;=0),"",R155*S155)</x:f>
        <x:v>15</x:v>
      </x:c>
      <x:c r="V155" s="388" t="n">
        <x:f>IF(OR(NOT(ISNUMBER(U155)),NOT(ISNUMBER($O$1)),$O$1&lt;=0),"",IF(Q155="seconds",U155/$O$1,IF(Q155="reps/leg",2*U155,IF(Q155="reps",U155,""))))</x:f>
        <x:v>5</x:v>
      </x:c>
      <x:c r="W155" s="359" t="str">
        <x:f>IF(OR(COUNTIFS(Strategy!$B$36:$B$90,P155)&lt;&gt;1,COUNTIFS(Strategy!$B$36:$B$90,P155,Strategy!$D$36:$D$90,"&lt;&gt;")&lt;&gt;1),"",INDEX(Strategy!$D$36:$D$90,MATCH(P155,Strategy!$B$36:$B$90,0)))</x:f>
        <x:v>seconds</x:v>
      </x:c>
      <x:c r="X155" s="369" t="n">
        <x:f>IF(OR(COUNT(T155:V155)&lt;&gt;3,Q155&lt;&gt;W155,T155&lt;0,T155&gt;10),"",T155*V155)</x:f>
        <x:v>5</x:v>
      </x:c>
      <x:c r="Y155" s="373" t="str"/>
    </x:row>
    <x:row r="156" ht="15" hidden="0" customHeight="1">
      <x:c r="A156" s="327" t="n">
        <x:f>Daily!A49</x:f>
        <x:v>46401.5</x:v>
      </x:c>
      <x:c r="B156" s="322" t="str">
        <x:f>Daily!D49</x:f>
        <x:v>Skill B + interval circuit</x:v>
      </x:c>
      <x:c r="C156" s="322" t="str">
        <x:v>C · Gentle wrist/shoulder mobility</x:v>
      </x:c>
      <x:c r="D156" s="322" t="str">
        <x:v>seconds</x:v>
      </x:c>
      <x:c r="E156" s="324" t="b">
        <x:v>1</x:v>
      </x:c>
      <x:c r="F156" s="330" t="n">
        <x:v>120</x:v>
      </x:c>
      <x:c r="G156" s="331" t="str">
        <x:f>IF(AND(OR(Daily!T49=TRUE,Daily!AB49=TRUE),COUNT(Daily!U49)&gt;0),SUM(Daily!U49)*86400,"")</x:f>
      </x:c>
      <x:c r="H156" s="331" t="n">
        <x:f>IF(AND(E156=TRUE,ISNUMBER(F156),F156&gt;0),100,"")</x:f>
        <x:v>100</x:v>
      </x:c>
      <x:c r="I156" s="331" t="str">
        <x:f>IF(AND(ISNUMBER(H156),ISNUMBER(G156)),IF(J156="lower",IF(G156&gt;0,100*F156/G156,""),100*G156/F156),"")</x:f>
      </x:c>
      <x:c r="J156" s="325" t="str">
        <x:v>higher</x:v>
      </x:c>
      <x:c r="N156" s="364" t="n">
        <x:f>Daily!A33</x:f>
        <x:v>46373.5</x:v>
      </x:c>
      <x:c r="O156" s="361" t="str">
        <x:f>Daily!D33</x:f>
        <x:v>Skill B + interval circuit</x:v>
      </x:c>
      <x:c r="P156" s="372" t="str">
        <x:v>Easy pike push-up</x:v>
      </x:c>
      <x:c r="Q156" s="362" t="str">
        <x:v>reps</x:v>
      </x:c>
      <x:c r="R156" s="367" t="n">
        <x:v>1</x:v>
      </x:c>
      <x:c r="S156" s="367" t="n">
        <x:v>4</x:v>
      </x:c>
      <x:c r="T156" s="368" t="n">
        <x:f>IF(OR(COUNTIFS(Strategy!$B$36:$B$90,P156)&lt;&gt;1,COUNTIFS(Strategy!$B$36:$B$90,P156,Strategy!$C$36:$C$90,"&lt;&gt;")&lt;&gt;1),"",INDEX(Strategy!$C$36:$C$90,MATCH(P156,Strategy!$B$36:$B$90,0)))</x:f>
        <x:v>1</x:v>
      </x:c>
      <x:c r="U156" s="368" t="n">
        <x:f>IF(OR(COUNT(R156:S156)&lt;&gt;2,R156&lt;0,R156&lt;&gt;INT(R156),S156&lt;=0),"",R156*S156)</x:f>
        <x:v>4</x:v>
      </x:c>
      <x:c r="V156" s="389" t="n">
        <x:f>IF(OR(NOT(ISNUMBER(U156)),NOT(ISNUMBER($O$1)),$O$1&lt;=0),"",IF(Q156="seconds",U156/$O$1,IF(Q156="reps/leg",2*U156,IF(Q156="reps",U156,""))))</x:f>
        <x:v>4</x:v>
      </x:c>
      <x:c r="W156" s="361" t="str">
        <x:f>IF(OR(COUNTIFS(Strategy!$B$36:$B$90,P156)&lt;&gt;1,COUNTIFS(Strategy!$B$36:$B$90,P156,Strategy!$D$36:$D$90,"&lt;&gt;")&lt;&gt;1),"",INDEX(Strategy!$D$36:$D$90,MATCH(P156,Strategy!$B$36:$B$90,0)))</x:f>
        <x:v>reps</x:v>
      </x:c>
      <x:c r="X156" s="370" t="n">
        <x:f>IF(OR(COUNT(T156:V156)&lt;&gt;3,Q156&lt;&gt;W156,T156&lt;0,T156&gt;10),"",T156*V156)</x:f>
        <x:v>4</x:v>
      </x:c>
      <x:c r="Y156" s="374" t="str"/>
    </x:row>
    <x:row r="157" ht="15" hidden="0" customHeight="1">
      <x:c r="A157" s="326" t="n">
        <x:f>Daily!A49</x:f>
        <x:v>46401.5</x:v>
      </x:c>
      <x:c r="B157" s="318" t="str">
        <x:f>Daily!D49</x:f>
        <x:v>Skill B + interval circuit</x:v>
      </x:c>
      <x:c r="C157" s="318" t="str">
        <x:v>Core</x:v>
      </x:c>
      <x:c r="D157" s="318" t="str">
        <x:v>rounds</x:v>
      </x:c>
      <x:c r="E157" s="320" t="b">
        <x:v>1</x:v>
      </x:c>
      <x:c r="F157" s="328" t="n">
        <x:v>2</x:v>
      </x:c>
      <x:c r="G157" s="329" t="str">
        <x:f>IF(AND(OR(Daily!Z49=TRUE,Daily!AB49=TRUE),COUNT(Daily!AA49)&gt;0),SUM(Daily!AA49),"")</x:f>
      </x:c>
      <x:c r="H157" s="329" t="n">
        <x:f>IF(AND(E157=TRUE,ISNUMBER(F157),F157&gt;0),100,"")</x:f>
        <x:v>100</x:v>
      </x:c>
      <x:c r="I157" s="329" t="str">
        <x:f>IF(AND(ISNUMBER(H157),ISNUMBER(G157)),IF(J157="lower",IF(G157&gt;0,100*F157/G157,""),100*G157/F157),"")</x:f>
      </x:c>
      <x:c r="J157" s="321" t="str">
        <x:v>higher</x:v>
      </x:c>
      <x:c r="N157" s="363" t="n">
        <x:f>Daily!A33</x:f>
        <x:v>46373.5</x:v>
      </x:c>
      <x:c r="O157" s="359" t="str">
        <x:f>Daily!D33</x:f>
        <x:v>Skill B + interval circuit</x:v>
      </x:c>
      <x:c r="P157" s="371" t="str">
        <x:v>Assisted smooth pistol</x:v>
      </x:c>
      <x:c r="Q157" s="360" t="str">
        <x:v>reps/leg</x:v>
      </x:c>
      <x:c r="R157" s="365" t="n">
        <x:v>1</x:v>
      </x:c>
      <x:c r="S157" s="365" t="n">
        <x:v>3</x:v>
      </x:c>
      <x:c r="T157" s="366" t="n">
        <x:f>IF(OR(COUNTIFS(Strategy!$B$36:$B$90,P157)&lt;&gt;1,COUNTIFS(Strategy!$B$36:$B$90,P157,Strategy!$C$36:$C$90,"&lt;&gt;")&lt;&gt;1),"",INDEX(Strategy!$C$36:$C$90,MATCH(P157,Strategy!$B$36:$B$90,0)))</x:f>
        <x:v>2</x:v>
      </x:c>
      <x:c r="U157" s="366" t="n">
        <x:f>IF(OR(COUNT(R157:S157)&lt;&gt;2,R157&lt;0,R157&lt;&gt;INT(R157),S157&lt;=0),"",R157*S157)</x:f>
        <x:v>3</x:v>
      </x:c>
      <x:c r="V157" s="388" t="n">
        <x:f>IF(OR(NOT(ISNUMBER(U157)),NOT(ISNUMBER($O$1)),$O$1&lt;=0),"",IF(Q157="seconds",U157/$O$1,IF(Q157="reps/leg",2*U157,IF(Q157="reps",U157,""))))</x:f>
        <x:v>6</x:v>
      </x:c>
      <x:c r="W157" s="359" t="str">
        <x:f>IF(OR(COUNTIFS(Strategy!$B$36:$B$90,P157)&lt;&gt;1,COUNTIFS(Strategy!$B$36:$B$90,P157,Strategy!$D$36:$D$90,"&lt;&gt;")&lt;&gt;1),"",INDEX(Strategy!$D$36:$D$90,MATCH(P157,Strategy!$B$36:$B$90,0)))</x:f>
        <x:v>reps/leg</x:v>
      </x:c>
      <x:c r="X157" s="369" t="n">
        <x:f>IF(OR(COUNT(T157:V157)&lt;&gt;3,Q157&lt;&gt;W157,T157&lt;0,T157&gt;10),"",T157*V157)</x:f>
        <x:v>12</x:v>
      </x:c>
      <x:c r="Y157" s="373" t="str"/>
    </x:row>
    <x:row r="158" ht="15" hidden="0" customHeight="1">
      <x:c r="A158" s="327" t="n">
        <x:f>Daily!A50</x:f>
        <x:v>46403.5</x:v>
      </x:c>
      <x:c r="B158" s="322" t="str">
        <x:f>Daily!D50</x:f>
        <x:v>Skill micro-session</x:v>
      </x:c>
      <x:c r="C158" s="322" t="str">
        <x:v>A · Wrist/shoulder mobility</x:v>
      </x:c>
      <x:c r="D158" s="322" t="str">
        <x:v>seconds</x:v>
      </x:c>
      <x:c r="E158" s="324" t="b">
        <x:v>1</x:v>
      </x:c>
      <x:c r="F158" s="330" t="n">
        <x:v>60</x:v>
      </x:c>
      <x:c r="G158" s="331" t="str">
        <x:f>IF(AND(OR(Daily!H50=TRUE,Daily!AB50=TRUE),COUNT(Daily!I50)&gt;0),SUM(Daily!I50)*86400,"")</x:f>
      </x:c>
      <x:c r="H158" s="331" t="n">
        <x:f>IF(AND(E158=TRUE,ISNUMBER(F158),F158&gt;0),100,"")</x:f>
        <x:v>100</x:v>
      </x:c>
      <x:c r="I158" s="331" t="str">
        <x:f>IF(AND(ISNUMBER(H158),ISNUMBER(G158)),IF(J158="lower",IF(G158&gt;0,100*F158/G158,""),100*G158/F158),"")</x:f>
      </x:c>
      <x:c r="J158" s="325" t="str">
        <x:v>higher</x:v>
      </x:c>
      <x:c r="N158" s="364" t="n">
        <x:f>Daily!A33</x:f>
        <x:v>46373.5</x:v>
      </x:c>
      <x:c r="O158" s="361" t="str">
        <x:f>Daily!D33</x:f>
        <x:v>Skill B + interval circuit</x:v>
      </x:c>
      <x:c r="P158" s="372" t="str">
        <x:v>Pull-up</x:v>
      </x:c>
      <x:c r="Q158" s="362" t="str">
        <x:v>seconds</x:v>
      </x:c>
      <x:c r="R158" s="367" t="n">
        <x:v>3</x:v>
      </x:c>
      <x:c r="S158" s="367" t="n">
        <x:v>30</x:v>
      </x:c>
      <x:c r="T158" s="368" t="n">
        <x:f>IF(OR(COUNTIFS(Strategy!$B$36:$B$90,P158)&lt;&gt;1,COUNTIFS(Strategy!$B$36:$B$90,P158,Strategy!$C$36:$C$90,"&lt;&gt;")&lt;&gt;1),"",INDEX(Strategy!$C$36:$C$90,MATCH(P158,Strategy!$B$36:$B$90,0)))</x:f>
        <x:v>6</x:v>
      </x:c>
      <x:c r="U158" s="368" t="n">
        <x:f>IF(OR(COUNT(R158:S158)&lt;&gt;2,R158&lt;0,R158&lt;&gt;INT(R158),S158&lt;=0),"",R158*S158)</x:f>
        <x:v>90</x:v>
      </x:c>
      <x:c r="V158" s="389" t="n">
        <x:f>IF(OR(NOT(ISNUMBER(U158)),NOT(ISNUMBER($O$1)),$O$1&lt;=0),"",IF(Q158="seconds",U158/$O$1,IF(Q158="reps/leg",2*U158,IF(Q158="reps",U158,""))))</x:f>
        <x:v>30</x:v>
      </x:c>
      <x:c r="W158" s="361" t="str">
        <x:f>IF(OR(COUNTIFS(Strategy!$B$36:$B$90,P158)&lt;&gt;1,COUNTIFS(Strategy!$B$36:$B$90,P158,Strategy!$D$36:$D$90,"&lt;&gt;")&lt;&gt;1),"",INDEX(Strategy!$D$36:$D$90,MATCH(P158,Strategy!$B$36:$B$90,0)))</x:f>
        <x:v>seconds</x:v>
      </x:c>
      <x:c r="X158" s="370" t="n">
        <x:f>IF(OR(COUNT(T158:V158)&lt;&gt;3,Q158&lt;&gt;W158,T158&lt;0,T158&gt;10),"",T158*V158)</x:f>
        <x:v>180</x:v>
      </x:c>
      <x:c r="Y158" s="374" t="str">
        <x:v>Core: one 30-second work interval per round; rest excluded.</x:v>
      </x:c>
    </x:row>
    <x:row r="159" ht="15" hidden="0" customHeight="1">
      <x:c r="A159" s="326" t="n">
        <x:f>Daily!A50</x:f>
        <x:v>46403.5</x:v>
      </x:c>
      <x:c r="B159" s="318" t="str">
        <x:f>Daily!D50</x:f>
        <x:v>Skill micro-session</x:v>
      </x:c>
      <x:c r="C159" s="318" t="str">
        <x:v>B · Easy chest-to-wall hold</x:v>
      </x:c>
      <x:c r="D159" s="318" t="str">
        <x:v>seconds</x:v>
      </x:c>
      <x:c r="E159" s="320" t="b">
        <x:v>1</x:v>
      </x:c>
      <x:c r="F159" s="328" t="n">
        <x:v>20</x:v>
      </x:c>
      <x:c r="G159" s="329" t="str">
        <x:f>IF(AND(OR(Daily!N50=TRUE,Daily!AB50=TRUE),COUNT(Daily!O50,Daily!P50)&gt;0),SUM(Daily!O50,Daily!P50)*86400,"")</x:f>
      </x:c>
      <x:c r="H159" s="329" t="n">
        <x:f>IF(AND(E159=TRUE,ISNUMBER(F159),F159&gt;0),100,"")</x:f>
        <x:v>100</x:v>
      </x:c>
      <x:c r="I159" s="329" t="str">
        <x:f>IF(AND(ISNUMBER(H159),ISNUMBER(G159)),IF(J159="lower",IF(G159&gt;0,100*F159/G159,""),100*G159/F159),"")</x:f>
      </x:c>
      <x:c r="J159" s="321" t="str">
        <x:v>higher</x:v>
      </x:c>
      <x:c r="N159" s="363" t="n">
        <x:f>Daily!A33</x:f>
        <x:v>46373.5</x:v>
      </x:c>
      <x:c r="O159" s="359" t="str">
        <x:f>Daily!D33</x:f>
        <x:v>Skill B + interval circuit</x:v>
      </x:c>
      <x:c r="P159" s="371" t="str">
        <x:v>Push-up</x:v>
      </x:c>
      <x:c r="Q159" s="360" t="str">
        <x:v>seconds</x:v>
      </x:c>
      <x:c r="R159" s="365" t="n">
        <x:v>3</x:v>
      </x:c>
      <x:c r="S159" s="365" t="n">
        <x:v>30</x:v>
      </x:c>
      <x:c r="T159" s="366" t="n">
        <x:f>IF(OR(COUNTIFS(Strategy!$B$36:$B$90,P159)&lt;&gt;1,COUNTIFS(Strategy!$B$36:$B$90,P159,Strategy!$C$36:$C$90,"&lt;&gt;")&lt;&gt;1),"",INDEX(Strategy!$C$36:$C$90,MATCH(P159,Strategy!$B$36:$B$90,0)))</x:f>
        <x:v>4</x:v>
      </x:c>
      <x:c r="U159" s="366" t="n">
        <x:f>IF(OR(COUNT(R159:S159)&lt;&gt;2,R159&lt;0,R159&lt;&gt;INT(R159),S159&lt;=0),"",R159*S159)</x:f>
        <x:v>90</x:v>
      </x:c>
      <x:c r="V159" s="388" t="n">
        <x:f>IF(OR(NOT(ISNUMBER(U159)),NOT(ISNUMBER($O$1)),$O$1&lt;=0),"",IF(Q159="seconds",U159/$O$1,IF(Q159="reps/leg",2*U159,IF(Q159="reps",U159,""))))</x:f>
        <x:v>30</x:v>
      </x:c>
      <x:c r="W159" s="359" t="str">
        <x:f>IF(OR(COUNTIFS(Strategy!$B$36:$B$90,P159)&lt;&gt;1,COUNTIFS(Strategy!$B$36:$B$90,P159,Strategy!$D$36:$D$90,"&lt;&gt;")&lt;&gt;1),"",INDEX(Strategy!$D$36:$D$90,MATCH(P159,Strategy!$B$36:$B$90,0)))</x:f>
        <x:v>seconds</x:v>
      </x:c>
      <x:c r="X159" s="369" t="n">
        <x:f>IF(OR(COUNT(T159:V159)&lt;&gt;3,Q159&lt;&gt;W159,T159&lt;0,T159&gt;10),"",T159*V159)</x:f>
        <x:v>120</x:v>
      </x:c>
      <x:c r="Y159" s="373" t="str">
        <x:v>Core: one 30-second work interval per round; rest excluded.</x:v>
      </x:c>
    </x:row>
    <x:row r="160" ht="15" hidden="0" customHeight="1">
      <x:c r="A160" s="327" t="n">
        <x:f>Daily!A50</x:f>
        <x:v>46403.5</x:v>
      </x:c>
      <x:c r="B160" s="322" t="str">
        <x:f>Daily!D50</x:f>
        <x:v>Skill micro-session</x:v>
      </x:c>
      <x:c r="C160" s="322" t="str">
        <x:v>C · Wall handstand line drill</x:v>
      </x:c>
      <x:c r="D160" s="322" t="str">
        <x:v>seconds</x:v>
      </x:c>
      <x:c r="E160" s="324" t="b">
        <x:v>1</x:v>
      </x:c>
      <x:c r="F160" s="330" t="n">
        <x:v>10</x:v>
      </x:c>
      <x:c r="G160" s="331" t="str">
        <x:f>IF(AND(OR(Daily!T50=TRUE,Daily!AB50=TRUE),COUNT(Daily!U50)&gt;0),SUM(Daily!U50)*86400,"")</x:f>
      </x:c>
      <x:c r="H160" s="331" t="n">
        <x:f>IF(AND(E160=TRUE,ISNUMBER(F160),F160&gt;0),100,"")</x:f>
        <x:v>100</x:v>
      </x:c>
      <x:c r="I160" s="331" t="str">
        <x:f>IF(AND(ISNUMBER(H160),ISNUMBER(G160)),IF(J160="lower",IF(G160&gt;0,100*F160/G160,""),100*G160/F160),"")</x:f>
      </x:c>
      <x:c r="J160" s="325" t="str">
        <x:v>higher</x:v>
      </x:c>
      <x:c r="N160" s="364" t="n">
        <x:f>Daily!A33</x:f>
        <x:v>46373.5</x:v>
      </x:c>
      <x:c r="O160" s="361" t="str">
        <x:f>Daily!D33</x:f>
        <x:v>Skill B + interval circuit</x:v>
      </x:c>
      <x:c r="P160" s="372" t="str">
        <x:v>Weighted squat</x:v>
      </x:c>
      <x:c r="Q160" s="362" t="str">
        <x:v>seconds</x:v>
      </x:c>
      <x:c r="R160" s="367" t="n">
        <x:v>3</x:v>
      </x:c>
      <x:c r="S160" s="367" t="n">
        <x:v>30</x:v>
      </x:c>
      <x:c r="T160" s="368" t="n">
        <x:f>IF(OR(COUNTIFS(Strategy!$B$36:$B$90,P160)&lt;&gt;1,COUNTIFS(Strategy!$B$36:$B$90,P160,Strategy!$C$36:$C$90,"&lt;&gt;")&lt;&gt;1),"",INDEX(Strategy!$C$36:$C$90,MATCH(P160,Strategy!$B$36:$B$90,0)))</x:f>
        <x:v>5</x:v>
      </x:c>
      <x:c r="U160" s="368" t="n">
        <x:f>IF(OR(COUNT(R160:S160)&lt;&gt;2,R160&lt;0,R160&lt;&gt;INT(R160),S160&lt;=0),"",R160*S160)</x:f>
        <x:v>90</x:v>
      </x:c>
      <x:c r="V160" s="389" t="n">
        <x:f>IF(OR(NOT(ISNUMBER(U160)),NOT(ISNUMBER($O$1)),$O$1&lt;=0),"",IF(Q160="seconds",U160/$O$1,IF(Q160="reps/leg",2*U160,IF(Q160="reps",U160,""))))</x:f>
        <x:v>30</x:v>
      </x:c>
      <x:c r="W160" s="361" t="str">
        <x:f>IF(OR(COUNTIFS(Strategy!$B$36:$B$90,P160)&lt;&gt;1,COUNTIFS(Strategy!$B$36:$B$90,P160,Strategy!$D$36:$D$90,"&lt;&gt;")&lt;&gt;1),"",INDEX(Strategy!$D$36:$D$90,MATCH(P160,Strategy!$B$36:$B$90,0)))</x:f>
        <x:v>seconds</x:v>
      </x:c>
      <x:c r="X160" s="370" t="n">
        <x:f>IF(OR(COUNT(T160:V160)&lt;&gt;3,Q160&lt;&gt;W160,T160&lt;0,T160&gt;10),"",T160*V160)</x:f>
        <x:v>150</x:v>
      </x:c>
      <x:c r="Y160" s="374" t="str">
        <x:v>Core: one 30-second work interval per round; rest excluded.</x:v>
      </x:c>
    </x:row>
    <x:row r="161" ht="15" hidden="0" customHeight="1">
      <x:c r="N161" s="363" t="n">
        <x:f>Daily!A33</x:f>
        <x:v>46373.5</x:v>
      </x:c>
      <x:c r="O161" s="359" t="str">
        <x:f>Daily!D33</x:f>
        <x:v>Skill B + interval circuit</x:v>
      </x:c>
      <x:c r="P161" s="371" t="str">
        <x:v>Upside-down hanging shoulder/ab work</x:v>
      </x:c>
      <x:c r="Q161" s="360" t="str">
        <x:v>seconds</x:v>
      </x:c>
      <x:c r="R161" s="365" t="n">
        <x:v>3</x:v>
      </x:c>
      <x:c r="S161" s="365" t="n">
        <x:v>30</x:v>
      </x:c>
      <x:c r="T161" s="366" t="n">
        <x:f>IF(OR(COUNTIFS(Strategy!$B$36:$B$90,P161)&lt;&gt;1,COUNTIFS(Strategy!$B$36:$B$90,P161,Strategy!$C$36:$C$90,"&lt;&gt;")&lt;&gt;1),"",INDEX(Strategy!$C$36:$C$90,MATCH(P161,Strategy!$B$36:$B$90,0)))</x:f>
        <x:v>5</x:v>
      </x:c>
      <x:c r="U161" s="366" t="n">
        <x:f>IF(OR(COUNT(R161:S161)&lt;&gt;2,R161&lt;0,R161&lt;&gt;INT(R161),S161&lt;=0),"",R161*S161)</x:f>
        <x:v>90</x:v>
      </x:c>
      <x:c r="V161" s="388" t="n">
        <x:f>IF(OR(NOT(ISNUMBER(U161)),NOT(ISNUMBER($O$1)),$O$1&lt;=0),"",IF(Q161="seconds",U161/$O$1,IF(Q161="reps/leg",2*U161,IF(Q161="reps",U161,""))))</x:f>
        <x:v>30</x:v>
      </x:c>
      <x:c r="W161" s="359" t="str">
        <x:f>IF(OR(COUNTIFS(Strategy!$B$36:$B$90,P161)&lt;&gt;1,COUNTIFS(Strategy!$B$36:$B$90,P161,Strategy!$D$36:$D$90,"&lt;&gt;")&lt;&gt;1),"",INDEX(Strategy!$D$36:$D$90,MATCH(P161,Strategy!$B$36:$B$90,0)))</x:f>
        <x:v>seconds</x:v>
      </x:c>
      <x:c r="X161" s="369" t="n">
        <x:f>IF(OR(COUNT(T161:V161)&lt;&gt;3,Q161&lt;&gt;W161,T161&lt;0,T161&gt;10),"",T161*V161)</x:f>
        <x:v>150</x:v>
      </x:c>
      <x:c r="Y161" s="373" t="str">
        <x:v>Core: one 30-second work interval per round; rest excluded.</x:v>
      </x:c>
    </x:row>
    <x:row r="162" ht="15" hidden="0" customHeight="1">
      <x:c r="N162" s="364" t="n">
        <x:f>Daily!A34</x:f>
        <x:v>46375.5</x:v>
      </x:c>
      <x:c r="O162" s="361" t="str">
        <x:f>Daily!D34</x:f>
        <x:v>Skill micro-session</x:v>
      </x:c>
      <x:c r="P162" s="372" t="str">
        <x:v>Wrist/shoulder mobility</x:v>
      </x:c>
      <x:c r="Q162" s="362" t="str">
        <x:v>seconds</x:v>
      </x:c>
      <x:c r="R162" s="367" t="n">
        <x:v>1</x:v>
      </x:c>
      <x:c r="S162" s="367" t="n">
        <x:v>60</x:v>
      </x:c>
      <x:c r="T162" s="368" t="n">
        <x:f>IF(OR(COUNTIFS(Strategy!$B$36:$B$90,P162)&lt;&gt;1,COUNTIFS(Strategy!$B$36:$B$90,P162,Strategy!$C$36:$C$90,"&lt;&gt;")&lt;&gt;1),"",INDEX(Strategy!$C$36:$C$90,MATCH(P162,Strategy!$B$36:$B$90,0)))</x:f>
        <x:v>1</x:v>
      </x:c>
      <x:c r="U162" s="368" t="n">
        <x:f>IF(OR(COUNT(R162:S162)&lt;&gt;2,R162&lt;0,R162&lt;&gt;INT(R162),S162&lt;=0),"",R162*S162)</x:f>
        <x:v>60</x:v>
      </x:c>
      <x:c r="V162" s="389" t="n">
        <x:f>IF(OR(NOT(ISNUMBER(U162)),NOT(ISNUMBER($O$1)),$O$1&lt;=0),"",IF(Q162="seconds",U162/$O$1,IF(Q162="reps/leg",2*U162,IF(Q162="reps",U162,""))))</x:f>
        <x:v>20</x:v>
      </x:c>
      <x:c r="W162" s="361" t="str">
        <x:f>IF(OR(COUNTIFS(Strategy!$B$36:$B$90,P162)&lt;&gt;1,COUNTIFS(Strategy!$B$36:$B$90,P162,Strategy!$D$36:$D$90,"&lt;&gt;")&lt;&gt;1),"",INDEX(Strategy!$D$36:$D$90,MATCH(P162,Strategy!$B$36:$B$90,0)))</x:f>
        <x:v>seconds</x:v>
      </x:c>
      <x:c r="X162" s="370" t="n">
        <x:f>IF(OR(COUNT(T162:V162)&lt;&gt;3,Q162&lt;&gt;W162,T162&lt;0,T162&gt;10),"",T162*V162)</x:f>
        <x:v>20</x:v>
      </x:c>
      <x:c r="Y162" s="374" t="str"/>
    </x:row>
    <x:row r="163" ht="15" hidden="0" customHeight="1">
      <x:c r="N163" s="363" t="n">
        <x:f>Daily!A34</x:f>
        <x:v>46375.5</x:v>
      </x:c>
      <x:c r="O163" s="359" t="str">
        <x:f>Daily!D34</x:f>
        <x:v>Skill micro-session</x:v>
      </x:c>
      <x:c r="P163" s="371" t="str">
        <x:v>Easy chest-to-wall hold</x:v>
      </x:c>
      <x:c r="Q163" s="360" t="str">
        <x:v>seconds</x:v>
      </x:c>
      <x:c r="R163" s="365" t="n">
        <x:v>2</x:v>
      </x:c>
      <x:c r="S163" s="365" t="n">
        <x:v>10</x:v>
      </x:c>
      <x:c r="T163" s="366" t="n">
        <x:f>IF(OR(COUNTIFS(Strategy!$B$36:$B$90,P163)&lt;&gt;1,COUNTIFS(Strategy!$B$36:$B$90,P163,Strategy!$C$36:$C$90,"&lt;&gt;")&lt;&gt;1),"",INDEX(Strategy!$C$36:$C$90,MATCH(P163,Strategy!$B$36:$B$90,0)))</x:f>
        <x:v>1</x:v>
      </x:c>
      <x:c r="U163" s="366" t="n">
        <x:f>IF(OR(COUNT(R163:S163)&lt;&gt;2,R163&lt;0,R163&lt;&gt;INT(R163),S163&lt;=0),"",R163*S163)</x:f>
        <x:v>20</x:v>
      </x:c>
      <x:c r="V163" s="388" t="n">
        <x:f>IF(OR(NOT(ISNUMBER(U163)),NOT(ISNUMBER($O$1)),$O$1&lt;=0),"",IF(Q163="seconds",U163/$O$1,IF(Q163="reps/leg",2*U163,IF(Q163="reps",U163,""))))</x:f>
        <x:v>6.666666666666667</x:v>
      </x:c>
      <x:c r="W163" s="359" t="str">
        <x:f>IF(OR(COUNTIFS(Strategy!$B$36:$B$90,P163)&lt;&gt;1,COUNTIFS(Strategy!$B$36:$B$90,P163,Strategy!$D$36:$D$90,"&lt;&gt;")&lt;&gt;1),"",INDEX(Strategy!$D$36:$D$90,MATCH(P163,Strategy!$B$36:$B$90,0)))</x:f>
        <x:v>seconds</x:v>
      </x:c>
      <x:c r="X163" s="369" t="n">
        <x:f>IF(OR(COUNT(T163:V163)&lt;&gt;3,Q163&lt;&gt;W163,T163&lt;0,T163&gt;10),"",T163*V163)</x:f>
        <x:v>6.666666666666667</x:v>
      </x:c>
      <x:c r="Y163" s="373" t="str"/>
    </x:row>
    <x:row r="164" ht="15" hidden="0" customHeight="1">
      <x:c r="N164" s="364" t="n">
        <x:f>Daily!A34</x:f>
        <x:v>46375.5</x:v>
      </x:c>
      <x:c r="O164" s="361" t="str">
        <x:f>Daily!D34</x:f>
        <x:v>Skill micro-session</x:v>
      </x:c>
      <x:c r="P164" s="372" t="str">
        <x:v>Wall handstand line drill</x:v>
      </x:c>
      <x:c r="Q164" s="362" t="str">
        <x:v>seconds</x:v>
      </x:c>
      <x:c r="R164" s="367" t="n">
        <x:v>1</x:v>
      </x:c>
      <x:c r="S164" s="367" t="n">
        <x:v>10</x:v>
      </x:c>
      <x:c r="T164" s="368" t="n">
        <x:f>IF(OR(COUNTIFS(Strategy!$B$36:$B$90,P164)&lt;&gt;1,COUNTIFS(Strategy!$B$36:$B$90,P164,Strategy!$C$36:$C$90,"&lt;&gt;")&lt;&gt;1),"",INDEX(Strategy!$C$36:$C$90,MATCH(P164,Strategy!$B$36:$B$90,0)))</x:f>
        <x:v>1</x:v>
      </x:c>
      <x:c r="U164" s="368" t="n">
        <x:f>IF(OR(COUNT(R164:S164)&lt;&gt;2,R164&lt;0,R164&lt;&gt;INT(R164),S164&lt;=0),"",R164*S164)</x:f>
        <x:v>10</x:v>
      </x:c>
      <x:c r="V164" s="389" t="n">
        <x:f>IF(OR(NOT(ISNUMBER(U164)),NOT(ISNUMBER($O$1)),$O$1&lt;=0),"",IF(Q164="seconds",U164/$O$1,IF(Q164="reps/leg",2*U164,IF(Q164="reps",U164,""))))</x:f>
        <x:v>3.3333333333333335</x:v>
      </x:c>
      <x:c r="W164" s="361" t="str">
        <x:f>IF(OR(COUNTIFS(Strategy!$B$36:$B$90,P164)&lt;&gt;1,COUNTIFS(Strategy!$B$36:$B$90,P164,Strategy!$D$36:$D$90,"&lt;&gt;")&lt;&gt;1),"",INDEX(Strategy!$D$36:$D$90,MATCH(P164,Strategy!$B$36:$B$90,0)))</x:f>
        <x:v>seconds</x:v>
      </x:c>
      <x:c r="X164" s="370" t="n">
        <x:f>IF(OR(COUNT(T164:V164)&lt;&gt;3,Q164&lt;&gt;W164,T164&lt;0,T164&gt;10),"",T164*V164)</x:f>
        <x:v>3.3333333333333335</x:v>
      </x:c>
      <x:c r="Y164" s="374" t="str"/>
    </x:row>
    <x:row r="165" ht="15" hidden="0" customHeight="1">
      <x:c r="N165" s="363" t="n">
        <x:f>Daily!A35</x:f>
        <x:v>46377.5</x:v>
      </x:c>
      <x:c r="O165" s="359" t="str">
        <x:f>Daily!D35</x:f>
        <x:v>Skill A + interval circuit</x:v>
      </x:c>
      <x:c r="P165" s="371" t="str">
        <x:v>Light-band or strict muscle-up</x:v>
      </x:c>
      <x:c r="Q165" s="360" t="str">
        <x:v>reps</x:v>
      </x:c>
      <x:c r="R165" s="365" t="n">
        <x:v>3</x:v>
      </x:c>
      <x:c r="S165" s="365" t="n">
        <x:v>1</x:v>
      </x:c>
      <x:c r="T165" s="366" t="n">
        <x:f>IF(OR(COUNTIFS(Strategy!$B$36:$B$90,P165)&lt;&gt;1,COUNTIFS(Strategy!$B$36:$B$90,P165,Strategy!$C$36:$C$90,"&lt;&gt;")&lt;&gt;1),"",INDEX(Strategy!$C$36:$C$90,MATCH(P165,Strategy!$B$36:$B$90,0)))</x:f>
        <x:v>8</x:v>
      </x:c>
      <x:c r="U165" s="366" t="n">
        <x:f>IF(OR(COUNT(R165:S165)&lt;&gt;2,R165&lt;0,R165&lt;&gt;INT(R165),S165&lt;=0),"",R165*S165)</x:f>
        <x:v>3</x:v>
      </x:c>
      <x:c r="V165" s="388" t="n">
        <x:f>IF(OR(NOT(ISNUMBER(U165)),NOT(ISNUMBER($O$1)),$O$1&lt;=0),"",IF(Q165="seconds",U165/$O$1,IF(Q165="reps/leg",2*U165,IF(Q165="reps",U165,""))))</x:f>
        <x:v>3</x:v>
      </x:c>
      <x:c r="W165" s="359" t="str">
        <x:f>IF(OR(COUNTIFS(Strategy!$B$36:$B$90,P165)&lt;&gt;1,COUNTIFS(Strategy!$B$36:$B$90,P165,Strategy!$D$36:$D$90,"&lt;&gt;")&lt;&gt;1),"",INDEX(Strategy!$D$36:$D$90,MATCH(P165,Strategy!$B$36:$B$90,0)))</x:f>
        <x:v>reps</x:v>
      </x:c>
      <x:c r="X165" s="369" t="n">
        <x:f>IF(OR(COUNT(T165:V165)&lt;&gt;3,Q165&lt;&gt;W165,T165&lt;0,T165&gt;10),"",T165*V165)</x:f>
        <x:v>24</x:v>
      </x:c>
      <x:c r="Y165" s="373" t="str"/>
    </x:row>
    <x:row r="166" ht="15" hidden="0" customHeight="1">
      <x:c r="N166" s="364" t="n">
        <x:f>Daily!A35</x:f>
        <x:v>46377.5</x:v>
      </x:c>
      <x:c r="O166" s="361" t="str">
        <x:f>Daily!D35</x:f>
        <x:v>Skill A + interval circuit</x:v>
      </x:c>
      <x:c r="P166" s="372" t="str">
        <x:v>Stronger-band back-off muscle-up</x:v>
      </x:c>
      <x:c r="Q166" s="362" t="str">
        <x:v>reps</x:v>
      </x:c>
      <x:c r="R166" s="367" t="n">
        <x:v>2</x:v>
      </x:c>
      <x:c r="S166" s="367" t="n">
        <x:v>2</x:v>
      </x:c>
      <x:c r="T166" s="368" t="n">
        <x:f>IF(OR(COUNTIFS(Strategy!$B$36:$B$90,P166)&lt;&gt;1,COUNTIFS(Strategy!$B$36:$B$90,P166,Strategy!$C$36:$C$90,"&lt;&gt;")&lt;&gt;1),"",INDEX(Strategy!$C$36:$C$90,MATCH(P166,Strategy!$B$36:$B$90,0)))</x:f>
        <x:v>4</x:v>
      </x:c>
      <x:c r="U166" s="368" t="n">
        <x:f>IF(OR(COUNT(R166:S166)&lt;&gt;2,R166&lt;0,R166&lt;&gt;INT(R166),S166&lt;=0),"",R166*S166)</x:f>
        <x:v>4</x:v>
      </x:c>
      <x:c r="V166" s="389" t="n">
        <x:f>IF(OR(NOT(ISNUMBER(U166)),NOT(ISNUMBER($O$1)),$O$1&lt;=0),"",IF(Q166="seconds",U166/$O$1,IF(Q166="reps/leg",2*U166,IF(Q166="reps",U166,""))))</x:f>
        <x:v>4</x:v>
      </x:c>
      <x:c r="W166" s="361" t="str">
        <x:f>IF(OR(COUNTIFS(Strategy!$B$36:$B$90,P166)&lt;&gt;1,COUNTIFS(Strategy!$B$36:$B$90,P166,Strategy!$D$36:$D$90,"&lt;&gt;")&lt;&gt;1),"",INDEX(Strategy!$D$36:$D$90,MATCH(P166,Strategy!$B$36:$B$90,0)))</x:f>
        <x:v>reps</x:v>
      </x:c>
      <x:c r="X166" s="370" t="n">
        <x:f>IF(OR(COUNT(T166:V166)&lt;&gt;3,Q166&lt;&gt;W166,T166&lt;0,T166&gt;10),"",T166*V166)</x:f>
        <x:v>16</x:v>
      </x:c>
      <x:c r="Y166" s="374" t="str"/>
    </x:row>
    <x:row r="167" ht="15" hidden="0" customHeight="1">
      <x:c r="N167" s="363" t="n">
        <x:f>Daily!A35</x:f>
        <x:v>46377.5</x:v>
      </x:c>
      <x:c r="O167" s="359" t="str">
        <x:f>Daily!D35</x:f>
        <x:v>Skill A + interval circuit</x:v>
      </x:c>
      <x:c r="P167" s="371" t="str">
        <x:v>Unassisted pistol</x:v>
      </x:c>
      <x:c r="Q167" s="360" t="str">
        <x:v>reps/leg</x:v>
      </x:c>
      <x:c r="R167" s="365" t="n">
        <x:v>3</x:v>
      </x:c>
      <x:c r="S167" s="365" t="n">
        <x:v>1</x:v>
      </x:c>
      <x:c r="T167" s="366" t="n">
        <x:f>IF(OR(COUNTIFS(Strategy!$B$36:$B$90,P167)&lt;&gt;1,COUNTIFS(Strategy!$B$36:$B$90,P167,Strategy!$C$36:$C$90,"&lt;&gt;")&lt;&gt;1),"",INDEX(Strategy!$C$36:$C$90,MATCH(P167,Strategy!$B$36:$B$90,0)))</x:f>
        <x:v>2</x:v>
      </x:c>
      <x:c r="U167" s="366" t="n">
        <x:f>IF(OR(COUNT(R167:S167)&lt;&gt;2,R167&lt;0,R167&lt;&gt;INT(R167),S167&lt;=0),"",R167*S167)</x:f>
        <x:v>3</x:v>
      </x:c>
      <x:c r="V167" s="388" t="n">
        <x:f>IF(OR(NOT(ISNUMBER(U167)),NOT(ISNUMBER($O$1)),$O$1&lt;=0),"",IF(Q167="seconds",U167/$O$1,IF(Q167="reps/leg",2*U167,IF(Q167="reps",U167,""))))</x:f>
        <x:v>6</x:v>
      </x:c>
      <x:c r="W167" s="359" t="str">
        <x:f>IF(OR(COUNTIFS(Strategy!$B$36:$B$90,P167)&lt;&gt;1,COUNTIFS(Strategy!$B$36:$B$90,P167,Strategy!$D$36:$D$90,"&lt;&gt;")&lt;&gt;1),"",INDEX(Strategy!$D$36:$D$90,MATCH(P167,Strategy!$B$36:$B$90,0)))</x:f>
        <x:v>reps/leg</x:v>
      </x:c>
      <x:c r="X167" s="369" t="n">
        <x:f>IF(OR(COUNT(T167:V167)&lt;&gt;3,Q167&lt;&gt;W167,T167&lt;0,T167&gt;10),"",T167*V167)</x:f>
        <x:v>12</x:v>
      </x:c>
      <x:c r="Y167" s="373" t="str"/>
    </x:row>
    <x:row r="168" ht="15" hidden="0" customHeight="1">
      <x:c r="N168" s="364" t="n">
        <x:f>Daily!A35</x:f>
        <x:v>46377.5</x:v>
      </x:c>
      <x:c r="O168" s="361" t="str">
        <x:f>Daily!D35</x:f>
        <x:v>Skill A + interval circuit</x:v>
      </x:c>
      <x:c r="P168" s="372" t="str">
        <x:v>Pull-up</x:v>
      </x:c>
      <x:c r="Q168" s="362" t="str">
        <x:v>seconds</x:v>
      </x:c>
      <x:c r="R168" s="367" t="n">
        <x:v>5</x:v>
      </x:c>
      <x:c r="S168" s="367" t="n">
        <x:v>30</x:v>
      </x:c>
      <x:c r="T168" s="368" t="n">
        <x:f>IF(OR(COUNTIFS(Strategy!$B$36:$B$90,P168)&lt;&gt;1,COUNTIFS(Strategy!$B$36:$B$90,P168,Strategy!$C$36:$C$90,"&lt;&gt;")&lt;&gt;1),"",INDEX(Strategy!$C$36:$C$90,MATCH(P168,Strategy!$B$36:$B$90,0)))</x:f>
        <x:v>6</x:v>
      </x:c>
      <x:c r="U168" s="368" t="n">
        <x:f>IF(OR(COUNT(R168:S168)&lt;&gt;2,R168&lt;0,R168&lt;&gt;INT(R168),S168&lt;=0),"",R168*S168)</x:f>
        <x:v>150</x:v>
      </x:c>
      <x:c r="V168" s="389" t="n">
        <x:f>IF(OR(NOT(ISNUMBER(U168)),NOT(ISNUMBER($O$1)),$O$1&lt;=0),"",IF(Q168="seconds",U168/$O$1,IF(Q168="reps/leg",2*U168,IF(Q168="reps",U168,""))))</x:f>
        <x:v>50</x:v>
      </x:c>
      <x:c r="W168" s="361" t="str">
        <x:f>IF(OR(COUNTIFS(Strategy!$B$36:$B$90,P168)&lt;&gt;1,COUNTIFS(Strategy!$B$36:$B$90,P168,Strategy!$D$36:$D$90,"&lt;&gt;")&lt;&gt;1),"",INDEX(Strategy!$D$36:$D$90,MATCH(P168,Strategy!$B$36:$B$90,0)))</x:f>
        <x:v>seconds</x:v>
      </x:c>
      <x:c r="X168" s="370" t="n">
        <x:f>IF(OR(COUNT(T168:V168)&lt;&gt;3,Q168&lt;&gt;W168,T168&lt;0,T168&gt;10),"",T168*V168)</x:f>
        <x:v>300</x:v>
      </x:c>
      <x:c r="Y168" s="374" t="str">
        <x:v>Core: one 30-second work interval per round; rest excluded.</x:v>
      </x:c>
    </x:row>
    <x:row r="169" ht="15" hidden="0" customHeight="1">
      <x:c r="N169" s="363" t="n">
        <x:f>Daily!A35</x:f>
        <x:v>46377.5</x:v>
      </x:c>
      <x:c r="O169" s="359" t="str">
        <x:f>Daily!D35</x:f>
        <x:v>Skill A + interval circuit</x:v>
      </x:c>
      <x:c r="P169" s="371" t="str">
        <x:v>Push-up</x:v>
      </x:c>
      <x:c r="Q169" s="360" t="str">
        <x:v>seconds</x:v>
      </x:c>
      <x:c r="R169" s="365" t="n">
        <x:v>5</x:v>
      </x:c>
      <x:c r="S169" s="365" t="n">
        <x:v>30</x:v>
      </x:c>
      <x:c r="T169" s="366" t="n">
        <x:f>IF(OR(COUNTIFS(Strategy!$B$36:$B$90,P169)&lt;&gt;1,COUNTIFS(Strategy!$B$36:$B$90,P169,Strategy!$C$36:$C$90,"&lt;&gt;")&lt;&gt;1),"",INDEX(Strategy!$C$36:$C$90,MATCH(P169,Strategy!$B$36:$B$90,0)))</x:f>
        <x:v>4</x:v>
      </x:c>
      <x:c r="U169" s="366" t="n">
        <x:f>IF(OR(COUNT(R169:S169)&lt;&gt;2,R169&lt;0,R169&lt;&gt;INT(R169),S169&lt;=0),"",R169*S169)</x:f>
        <x:v>150</x:v>
      </x:c>
      <x:c r="V169" s="388" t="n">
        <x:f>IF(OR(NOT(ISNUMBER(U169)),NOT(ISNUMBER($O$1)),$O$1&lt;=0),"",IF(Q169="seconds",U169/$O$1,IF(Q169="reps/leg",2*U169,IF(Q169="reps",U169,""))))</x:f>
        <x:v>50</x:v>
      </x:c>
      <x:c r="W169" s="359" t="str">
        <x:f>IF(OR(COUNTIFS(Strategy!$B$36:$B$90,P169)&lt;&gt;1,COUNTIFS(Strategy!$B$36:$B$90,P169,Strategy!$D$36:$D$90,"&lt;&gt;")&lt;&gt;1),"",INDEX(Strategy!$D$36:$D$90,MATCH(P169,Strategy!$B$36:$B$90,0)))</x:f>
        <x:v>seconds</x:v>
      </x:c>
      <x:c r="X169" s="369" t="n">
        <x:f>IF(OR(COUNT(T169:V169)&lt;&gt;3,Q169&lt;&gt;W169,T169&lt;0,T169&gt;10),"",T169*V169)</x:f>
        <x:v>200</x:v>
      </x:c>
      <x:c r="Y169" s="373" t="str">
        <x:v>Core: one 30-second work interval per round; rest excluded.</x:v>
      </x:c>
    </x:row>
    <x:row r="170" ht="15" hidden="0" customHeight="1">
      <x:c r="N170" s="364" t="n">
        <x:f>Daily!A35</x:f>
        <x:v>46377.5</x:v>
      </x:c>
      <x:c r="O170" s="361" t="str">
        <x:f>Daily!D35</x:f>
        <x:v>Skill A + interval circuit</x:v>
      </x:c>
      <x:c r="P170" s="372" t="str">
        <x:v>Weighted squat</x:v>
      </x:c>
      <x:c r="Q170" s="362" t="str">
        <x:v>seconds</x:v>
      </x:c>
      <x:c r="R170" s="367" t="n">
        <x:v>5</x:v>
      </x:c>
      <x:c r="S170" s="367" t="n">
        <x:v>30</x:v>
      </x:c>
      <x:c r="T170" s="368" t="n">
        <x:f>IF(OR(COUNTIFS(Strategy!$B$36:$B$90,P170)&lt;&gt;1,COUNTIFS(Strategy!$B$36:$B$90,P170,Strategy!$C$36:$C$90,"&lt;&gt;")&lt;&gt;1),"",INDEX(Strategy!$C$36:$C$90,MATCH(P170,Strategy!$B$36:$B$90,0)))</x:f>
        <x:v>5</x:v>
      </x:c>
      <x:c r="U170" s="368" t="n">
        <x:f>IF(OR(COUNT(R170:S170)&lt;&gt;2,R170&lt;0,R170&lt;&gt;INT(R170),S170&lt;=0),"",R170*S170)</x:f>
        <x:v>150</x:v>
      </x:c>
      <x:c r="V170" s="389" t="n">
        <x:f>IF(OR(NOT(ISNUMBER(U170)),NOT(ISNUMBER($O$1)),$O$1&lt;=0),"",IF(Q170="seconds",U170/$O$1,IF(Q170="reps/leg",2*U170,IF(Q170="reps",U170,""))))</x:f>
        <x:v>50</x:v>
      </x:c>
      <x:c r="W170" s="361" t="str">
        <x:f>IF(OR(COUNTIFS(Strategy!$B$36:$B$90,P170)&lt;&gt;1,COUNTIFS(Strategy!$B$36:$B$90,P170,Strategy!$D$36:$D$90,"&lt;&gt;")&lt;&gt;1),"",INDEX(Strategy!$D$36:$D$90,MATCH(P170,Strategy!$B$36:$B$90,0)))</x:f>
        <x:v>seconds</x:v>
      </x:c>
      <x:c r="X170" s="370" t="n">
        <x:f>IF(OR(COUNT(T170:V170)&lt;&gt;3,Q170&lt;&gt;W170,T170&lt;0,T170&gt;10),"",T170*V170)</x:f>
        <x:v>250</x:v>
      </x:c>
      <x:c r="Y170" s="374" t="str">
        <x:v>Core: one 30-second work interval per round; rest excluded.</x:v>
      </x:c>
    </x:row>
    <x:row r="171" ht="15" hidden="0" customHeight="1">
      <x:c r="N171" s="363" t="n">
        <x:f>Daily!A35</x:f>
        <x:v>46377.5</x:v>
      </x:c>
      <x:c r="O171" s="359" t="str">
        <x:f>Daily!D35</x:f>
        <x:v>Skill A + interval circuit</x:v>
      </x:c>
      <x:c r="P171" s="371" t="str">
        <x:v>Upside-down hanging shoulder/ab work</x:v>
      </x:c>
      <x:c r="Q171" s="360" t="str">
        <x:v>seconds</x:v>
      </x:c>
      <x:c r="R171" s="365" t="n">
        <x:v>5</x:v>
      </x:c>
      <x:c r="S171" s="365" t="n">
        <x:v>30</x:v>
      </x:c>
      <x:c r="T171" s="366" t="n">
        <x:f>IF(OR(COUNTIFS(Strategy!$B$36:$B$90,P171)&lt;&gt;1,COUNTIFS(Strategy!$B$36:$B$90,P171,Strategy!$C$36:$C$90,"&lt;&gt;")&lt;&gt;1),"",INDEX(Strategy!$C$36:$C$90,MATCH(P171,Strategy!$B$36:$B$90,0)))</x:f>
        <x:v>5</x:v>
      </x:c>
      <x:c r="U171" s="366" t="n">
        <x:f>IF(OR(COUNT(R171:S171)&lt;&gt;2,R171&lt;0,R171&lt;&gt;INT(R171),S171&lt;=0),"",R171*S171)</x:f>
        <x:v>150</x:v>
      </x:c>
      <x:c r="V171" s="388" t="n">
        <x:f>IF(OR(NOT(ISNUMBER(U171)),NOT(ISNUMBER($O$1)),$O$1&lt;=0),"",IF(Q171="seconds",U171/$O$1,IF(Q171="reps/leg",2*U171,IF(Q171="reps",U171,""))))</x:f>
        <x:v>50</x:v>
      </x:c>
      <x:c r="W171" s="359" t="str">
        <x:f>IF(OR(COUNTIFS(Strategy!$B$36:$B$90,P171)&lt;&gt;1,COUNTIFS(Strategy!$B$36:$B$90,P171,Strategy!$D$36:$D$90,"&lt;&gt;")&lt;&gt;1),"",INDEX(Strategy!$D$36:$D$90,MATCH(P171,Strategy!$B$36:$B$90,0)))</x:f>
        <x:v>seconds</x:v>
      </x:c>
      <x:c r="X171" s="369" t="n">
        <x:f>IF(OR(COUNT(T171:V171)&lt;&gt;3,Q171&lt;&gt;W171,T171&lt;0,T171&gt;10),"",T171*V171)</x:f>
        <x:v>250</x:v>
      </x:c>
      <x:c r="Y171" s="373" t="str">
        <x:v>Core: one 30-second work interval per round; rest excluded.</x:v>
      </x:c>
    </x:row>
    <x:row r="172" ht="15" hidden="0" customHeight="1">
      <x:c r="N172" s="364" t="n">
        <x:f>Daily!A36</x:f>
        <x:v>46378.5</x:v>
      </x:c>
      <x:c r="O172" s="361" t="str">
        <x:f>Daily!D36</x:f>
        <x:v>Handstand technique</x:v>
      </x:c>
      <x:c r="P172" s="372" t="str">
        <x:v>Wrist/shoulder mobility</x:v>
      </x:c>
      <x:c r="Q172" s="362" t="str">
        <x:v>seconds</x:v>
      </x:c>
      <x:c r="R172" s="367" t="n">
        <x:v>1</x:v>
      </x:c>
      <x:c r="S172" s="367" t="n">
        <x:v>120</x:v>
      </x:c>
      <x:c r="T172" s="368" t="n">
        <x:f>IF(OR(COUNTIFS(Strategy!$B$36:$B$90,P172)&lt;&gt;1,COUNTIFS(Strategy!$B$36:$B$90,P172,Strategy!$C$36:$C$90,"&lt;&gt;")&lt;&gt;1),"",INDEX(Strategy!$C$36:$C$90,MATCH(P172,Strategy!$B$36:$B$90,0)))</x:f>
        <x:v>1</x:v>
      </x:c>
      <x:c r="U172" s="368" t="n">
        <x:f>IF(OR(COUNT(R172:S172)&lt;&gt;2,R172&lt;0,R172&lt;&gt;INT(R172),S172&lt;=0),"",R172*S172)</x:f>
        <x:v>120</x:v>
      </x:c>
      <x:c r="V172" s="389" t="n">
        <x:f>IF(OR(NOT(ISNUMBER(U172)),NOT(ISNUMBER($O$1)),$O$1&lt;=0),"",IF(Q172="seconds",U172/$O$1,IF(Q172="reps/leg",2*U172,IF(Q172="reps",U172,""))))</x:f>
        <x:v>40</x:v>
      </x:c>
      <x:c r="W172" s="361" t="str">
        <x:f>IF(OR(COUNTIFS(Strategy!$B$36:$B$90,P172)&lt;&gt;1,COUNTIFS(Strategy!$B$36:$B$90,P172,Strategy!$D$36:$D$90,"&lt;&gt;")&lt;&gt;1),"",INDEX(Strategy!$D$36:$D$90,MATCH(P172,Strategy!$B$36:$B$90,0)))</x:f>
        <x:v>seconds</x:v>
      </x:c>
      <x:c r="X172" s="370" t="n">
        <x:f>IF(OR(COUNT(T172:V172)&lt;&gt;3,Q172&lt;&gt;W172,T172&lt;0,T172&gt;10),"",T172*V172)</x:f>
        <x:v>40</x:v>
      </x:c>
      <x:c r="Y172" s="374" t="str"/>
    </x:row>
    <x:row r="173" ht="15" hidden="0" customHeight="1">
      <x:c r="N173" s="363" t="n">
        <x:f>Daily!A36</x:f>
        <x:v>46378.5</x:v>
      </x:c>
      <x:c r="O173" s="359" t="str">
        <x:f>Daily!D36</x:f>
        <x:v>Handstand technique</x:v>
      </x:c>
      <x:c r="P173" s="371" t="str">
        <x:v>Easy chest-to-wall hold</x:v>
      </x:c>
      <x:c r="Q173" s="360" t="str">
        <x:v>seconds</x:v>
      </x:c>
      <x:c r="R173" s="365" t="n">
        <x:v>3</x:v>
      </x:c>
      <x:c r="S173" s="365" t="n">
        <x:v>15</x:v>
      </x:c>
      <x:c r="T173" s="366" t="n">
        <x:f>IF(OR(COUNTIFS(Strategy!$B$36:$B$90,P173)&lt;&gt;1,COUNTIFS(Strategy!$B$36:$B$90,P173,Strategy!$C$36:$C$90,"&lt;&gt;")&lt;&gt;1),"",INDEX(Strategy!$C$36:$C$90,MATCH(P173,Strategy!$B$36:$B$90,0)))</x:f>
        <x:v>1</x:v>
      </x:c>
      <x:c r="U173" s="366" t="n">
        <x:f>IF(OR(COUNT(R173:S173)&lt;&gt;2,R173&lt;0,R173&lt;&gt;INT(R173),S173&lt;=0),"",R173*S173)</x:f>
        <x:v>45</x:v>
      </x:c>
      <x:c r="V173" s="388" t="n">
        <x:f>IF(OR(NOT(ISNUMBER(U173)),NOT(ISNUMBER($O$1)),$O$1&lt;=0),"",IF(Q173="seconds",U173/$O$1,IF(Q173="reps/leg",2*U173,IF(Q173="reps",U173,""))))</x:f>
        <x:v>15</x:v>
      </x:c>
      <x:c r="W173" s="359" t="str">
        <x:f>IF(OR(COUNTIFS(Strategy!$B$36:$B$90,P173)&lt;&gt;1,COUNTIFS(Strategy!$B$36:$B$90,P173,Strategy!$D$36:$D$90,"&lt;&gt;")&lt;&gt;1),"",INDEX(Strategy!$D$36:$D$90,MATCH(P173,Strategy!$B$36:$B$90,0)))</x:f>
        <x:v>seconds</x:v>
      </x:c>
      <x:c r="X173" s="369" t="n">
        <x:f>IF(OR(COUNT(T173:V173)&lt;&gt;3,Q173&lt;&gt;W173,T173&lt;0,T173&gt;10),"",T173*V173)</x:f>
        <x:v>15</x:v>
      </x:c>
      <x:c r="Y173" s="373" t="str"/>
    </x:row>
    <x:row r="174" ht="15" hidden="0" customHeight="1">
      <x:c r="N174" s="364" t="n">
        <x:f>Daily!A36</x:f>
        <x:v>46378.5</x:v>
      </x:c>
      <x:c r="O174" s="361" t="str">
        <x:f>Daily!D36</x:f>
        <x:v>Handstand technique</x:v>
      </x:c>
      <x:c r="P174" s="372" t="str">
        <x:v>Wall handstand line drill</x:v>
      </x:c>
      <x:c r="Q174" s="362" t="str">
        <x:v>seconds</x:v>
      </x:c>
      <x:c r="R174" s="367" t="n">
        <x:v>2</x:v>
      </x:c>
      <x:c r="S174" s="367" t="n">
        <x:v>15</x:v>
      </x:c>
      <x:c r="T174" s="368" t="n">
        <x:f>IF(OR(COUNTIFS(Strategy!$B$36:$B$90,P174)&lt;&gt;1,COUNTIFS(Strategy!$B$36:$B$90,P174,Strategy!$C$36:$C$90,"&lt;&gt;")&lt;&gt;1),"",INDEX(Strategy!$C$36:$C$90,MATCH(P174,Strategy!$B$36:$B$90,0)))</x:f>
        <x:v>1</x:v>
      </x:c>
      <x:c r="U174" s="368" t="n">
        <x:f>IF(OR(COUNT(R174:S174)&lt;&gt;2,R174&lt;0,R174&lt;&gt;INT(R174),S174&lt;=0),"",R174*S174)</x:f>
        <x:v>30</x:v>
      </x:c>
      <x:c r="V174" s="389" t="n">
        <x:f>IF(OR(NOT(ISNUMBER(U174)),NOT(ISNUMBER($O$1)),$O$1&lt;=0),"",IF(Q174="seconds",U174/$O$1,IF(Q174="reps/leg",2*U174,IF(Q174="reps",U174,""))))</x:f>
        <x:v>10</x:v>
      </x:c>
      <x:c r="W174" s="361" t="str">
        <x:f>IF(OR(COUNTIFS(Strategy!$B$36:$B$90,P174)&lt;&gt;1,COUNTIFS(Strategy!$B$36:$B$90,P174,Strategy!$D$36:$D$90,"&lt;&gt;")&lt;&gt;1),"",INDEX(Strategy!$D$36:$D$90,MATCH(P174,Strategy!$B$36:$B$90,0)))</x:f>
        <x:v>seconds</x:v>
      </x:c>
      <x:c r="X174" s="370" t="n">
        <x:f>IF(OR(COUNT(T174:V174)&lt;&gt;3,Q174&lt;&gt;W174,T174&lt;0,T174&gt;10),"",T174*V174)</x:f>
        <x:v>10</x:v>
      </x:c>
      <x:c r="Y174" s="374" t="str"/>
    </x:row>
    <x:row r="175" ht="15" hidden="0" customHeight="1">
      <x:c r="N175" s="363" t="n">
        <x:f>Daily!A37</x:f>
        <x:v>46380.5</x:v>
      </x:c>
      <x:c r="O175" s="359" t="str">
        <x:f>Daily!D37</x:f>
        <x:v>Skill B + circuit</x:v>
      </x:c>
      <x:c r="P175" s="371" t="str">
        <x:v>Full-ROM wall HSPU negative</x:v>
      </x:c>
      <x:c r="Q175" s="360" t="str">
        <x:v>reps</x:v>
      </x:c>
      <x:c r="R175" s="365" t="n">
        <x:v>3</x:v>
      </x:c>
      <x:c r="S175" s="365" t="n">
        <x:v>1</x:v>
      </x:c>
      <x:c r="T175" s="366" t="n">
        <x:f>IF(OR(COUNTIFS(Strategy!$B$36:$B$90,P175)&lt;&gt;1,COUNTIFS(Strategy!$B$36:$B$90,P175,Strategy!$C$36:$C$90,"&lt;&gt;")&lt;&gt;1),"",INDEX(Strategy!$C$36:$C$90,MATCH(P175,Strategy!$B$36:$B$90,0)))</x:f>
        <x:v>7</x:v>
      </x:c>
      <x:c r="U175" s="366" t="n">
        <x:f>IF(OR(COUNT(R175:S175)&lt;&gt;2,R175&lt;0,R175&lt;&gt;INT(R175),S175&lt;=0),"",R175*S175)</x:f>
        <x:v>3</x:v>
      </x:c>
      <x:c r="V175" s="388" t="n">
        <x:f>IF(OR(NOT(ISNUMBER(U175)),NOT(ISNUMBER($O$1)),$O$1&lt;=0),"",IF(Q175="seconds",U175/$O$1,IF(Q175="reps/leg",2*U175,IF(Q175="reps",U175,""))))</x:f>
        <x:v>3</x:v>
      </x:c>
      <x:c r="W175" s="359" t="str">
        <x:f>IF(OR(COUNTIFS(Strategy!$B$36:$B$90,P175)&lt;&gt;1,COUNTIFS(Strategy!$B$36:$B$90,P175,Strategy!$D$36:$D$90,"&lt;&gt;")&lt;&gt;1),"",INDEX(Strategy!$D$36:$D$90,MATCH(P175,Strategy!$B$36:$B$90,0)))</x:f>
        <x:v>reps</x:v>
      </x:c>
      <x:c r="X175" s="369" t="n">
        <x:f>IF(OR(COUNT(T175:V175)&lt;&gt;3,Q175&lt;&gt;W175,T175&lt;0,T175&gt;10),"",T175*V175)</x:f>
        <x:v>21</x:v>
      </x:c>
      <x:c r="Y175" s="373" t="str"/>
    </x:row>
    <x:row r="176" ht="15" hidden="0" customHeight="1">
      <x:c r="N176" s="364" t="n">
        <x:f>Daily!A37</x:f>
        <x:v>46380.5</x:v>
      </x:c>
      <x:c r="O176" s="361" t="str">
        <x:f>Daily!D37</x:f>
        <x:v>Skill B + circuit</x:v>
      </x:c>
      <x:c r="P176" s="372" t="str">
        <x:v>Partial wall HSPU</x:v>
      </x:c>
      <x:c r="Q176" s="362" t="str">
        <x:v>reps</x:v>
      </x:c>
      <x:c r="R176" s="367" t="n">
        <x:v>3</x:v>
      </x:c>
      <x:c r="S176" s="367" t="n">
        <x:v>3</x:v>
      </x:c>
      <x:c r="T176" s="368" t="n">
        <x:f>IF(OR(COUNTIFS(Strategy!$B$36:$B$90,P176)&lt;&gt;1,COUNTIFS(Strategy!$B$36:$B$90,P176,Strategy!$C$36:$C$90,"&lt;&gt;")&lt;&gt;1),"",INDEX(Strategy!$C$36:$C$90,MATCH(P176,Strategy!$B$36:$B$90,0)))</x:f>
        <x:v>4</x:v>
      </x:c>
      <x:c r="U176" s="368" t="n">
        <x:f>IF(OR(COUNT(R176:S176)&lt;&gt;2,R176&lt;0,R176&lt;&gt;INT(R176),S176&lt;=0),"",R176*S176)</x:f>
        <x:v>9</x:v>
      </x:c>
      <x:c r="V176" s="389" t="n">
        <x:f>IF(OR(NOT(ISNUMBER(U176)),NOT(ISNUMBER($O$1)),$O$1&lt;=0),"",IF(Q176="seconds",U176/$O$1,IF(Q176="reps/leg",2*U176,IF(Q176="reps",U176,""))))</x:f>
        <x:v>9</x:v>
      </x:c>
      <x:c r="W176" s="361" t="str">
        <x:f>IF(OR(COUNTIFS(Strategy!$B$36:$B$90,P176)&lt;&gt;1,COUNTIFS(Strategy!$B$36:$B$90,P176,Strategy!$D$36:$D$90,"&lt;&gt;")&lt;&gt;1),"",INDEX(Strategy!$D$36:$D$90,MATCH(P176,Strategy!$B$36:$B$90,0)))</x:f>
        <x:v>reps</x:v>
      </x:c>
      <x:c r="X176" s="370" t="n">
        <x:f>IF(OR(COUNT(T176:V176)&lt;&gt;3,Q176&lt;&gt;W176,T176&lt;0,T176&gt;10),"",T176*V176)</x:f>
        <x:v>36</x:v>
      </x:c>
      <x:c r="Y176" s="374" t="str"/>
    </x:row>
    <x:row r="177" ht="15" hidden="0" customHeight="1">
      <x:c r="N177" s="363" t="n">
        <x:f>Daily!A37</x:f>
        <x:v>46380.5</x:v>
      </x:c>
      <x:c r="O177" s="359" t="str">
        <x:f>Daily!D37</x:f>
        <x:v>Skill B + circuit</x:v>
      </x:c>
      <x:c r="P177" s="371" t="str">
        <x:v>Unassisted pistol</x:v>
      </x:c>
      <x:c r="Q177" s="360" t="str">
        <x:v>reps/leg</x:v>
      </x:c>
      <x:c r="R177" s="365" t="n">
        <x:v>3</x:v>
      </x:c>
      <x:c r="S177" s="365" t="n">
        <x:v>1</x:v>
      </x:c>
      <x:c r="T177" s="366" t="n">
        <x:f>IF(OR(COUNTIFS(Strategy!$B$36:$B$90,P177)&lt;&gt;1,COUNTIFS(Strategy!$B$36:$B$90,P177,Strategy!$C$36:$C$90,"&lt;&gt;")&lt;&gt;1),"",INDEX(Strategy!$C$36:$C$90,MATCH(P177,Strategy!$B$36:$B$90,0)))</x:f>
        <x:v>2</x:v>
      </x:c>
      <x:c r="U177" s="366" t="n">
        <x:f>IF(OR(COUNT(R177:S177)&lt;&gt;2,R177&lt;0,R177&lt;&gt;INT(R177),S177&lt;=0),"",R177*S177)</x:f>
        <x:v>3</x:v>
      </x:c>
      <x:c r="V177" s="388" t="n">
        <x:f>IF(OR(NOT(ISNUMBER(U177)),NOT(ISNUMBER($O$1)),$O$1&lt;=0),"",IF(Q177="seconds",U177/$O$1,IF(Q177="reps/leg",2*U177,IF(Q177="reps",U177,""))))</x:f>
        <x:v>6</x:v>
      </x:c>
      <x:c r="W177" s="359" t="str">
        <x:f>IF(OR(COUNTIFS(Strategy!$B$36:$B$90,P177)&lt;&gt;1,COUNTIFS(Strategy!$B$36:$B$90,P177,Strategy!$D$36:$D$90,"&lt;&gt;")&lt;&gt;1),"",INDEX(Strategy!$D$36:$D$90,MATCH(P177,Strategy!$B$36:$B$90,0)))</x:f>
        <x:v>reps/leg</x:v>
      </x:c>
      <x:c r="X177" s="369" t="n">
        <x:f>IF(OR(COUNT(T177:V177)&lt;&gt;3,Q177&lt;&gt;W177,T177&lt;0,T177&gt;10),"",T177*V177)</x:f>
        <x:v>12</x:v>
      </x:c>
      <x:c r="Y177" s="373" t="str"/>
    </x:row>
    <x:row r="178" ht="15" hidden="0" customHeight="1">
      <x:c r="N178" s="364" t="n">
        <x:f>Daily!A37</x:f>
        <x:v>46380.5</x:v>
      </x:c>
      <x:c r="O178" s="361" t="str">
        <x:f>Daily!D37</x:f>
        <x:v>Skill B + circuit</x:v>
      </x:c>
      <x:c r="P178" s="372" t="str">
        <x:v>Pull-up</x:v>
      </x:c>
      <x:c r="Q178" s="362" t="str">
        <x:v>seconds</x:v>
      </x:c>
      <x:c r="R178" s="367" t="n">
        <x:v>5</x:v>
      </x:c>
      <x:c r="S178" s="367" t="n">
        <x:v>30</x:v>
      </x:c>
      <x:c r="T178" s="368" t="n">
        <x:f>IF(OR(COUNTIFS(Strategy!$B$36:$B$90,P178)&lt;&gt;1,COUNTIFS(Strategy!$B$36:$B$90,P178,Strategy!$C$36:$C$90,"&lt;&gt;")&lt;&gt;1),"",INDEX(Strategy!$C$36:$C$90,MATCH(P178,Strategy!$B$36:$B$90,0)))</x:f>
        <x:v>6</x:v>
      </x:c>
      <x:c r="U178" s="368" t="n">
        <x:f>IF(OR(COUNT(R178:S178)&lt;&gt;2,R178&lt;0,R178&lt;&gt;INT(R178),S178&lt;=0),"",R178*S178)</x:f>
        <x:v>150</x:v>
      </x:c>
      <x:c r="V178" s="389" t="n">
        <x:f>IF(OR(NOT(ISNUMBER(U178)),NOT(ISNUMBER($O$1)),$O$1&lt;=0),"",IF(Q178="seconds",U178/$O$1,IF(Q178="reps/leg",2*U178,IF(Q178="reps",U178,""))))</x:f>
        <x:v>50</x:v>
      </x:c>
      <x:c r="W178" s="361" t="str">
        <x:f>IF(OR(COUNTIFS(Strategy!$B$36:$B$90,P178)&lt;&gt;1,COUNTIFS(Strategy!$B$36:$B$90,P178,Strategy!$D$36:$D$90,"&lt;&gt;")&lt;&gt;1),"",INDEX(Strategy!$D$36:$D$90,MATCH(P178,Strategy!$B$36:$B$90,0)))</x:f>
        <x:v>seconds</x:v>
      </x:c>
      <x:c r="X178" s="370" t="n">
        <x:f>IF(OR(COUNT(T178:V178)&lt;&gt;3,Q178&lt;&gt;W178,T178&lt;0,T178&gt;10),"",T178*V178)</x:f>
        <x:v>300</x:v>
      </x:c>
      <x:c r="Y178" s="374" t="str">
        <x:v>Core: one 30-second work interval per round; rest excluded.</x:v>
      </x:c>
    </x:row>
    <x:row r="179" ht="15" hidden="0" customHeight="1">
      <x:c r="N179" s="363" t="n">
        <x:f>Daily!A37</x:f>
        <x:v>46380.5</x:v>
      </x:c>
      <x:c r="O179" s="359" t="str">
        <x:f>Daily!D37</x:f>
        <x:v>Skill B + circuit</x:v>
      </x:c>
      <x:c r="P179" s="371" t="str">
        <x:v>Push-up</x:v>
      </x:c>
      <x:c r="Q179" s="360" t="str">
        <x:v>seconds</x:v>
      </x:c>
      <x:c r="R179" s="365" t="n">
        <x:v>5</x:v>
      </x:c>
      <x:c r="S179" s="365" t="n">
        <x:v>30</x:v>
      </x:c>
      <x:c r="T179" s="366" t="n">
        <x:f>IF(OR(COUNTIFS(Strategy!$B$36:$B$90,P179)&lt;&gt;1,COUNTIFS(Strategy!$B$36:$B$90,P179,Strategy!$C$36:$C$90,"&lt;&gt;")&lt;&gt;1),"",INDEX(Strategy!$C$36:$C$90,MATCH(P179,Strategy!$B$36:$B$90,0)))</x:f>
        <x:v>4</x:v>
      </x:c>
      <x:c r="U179" s="366" t="n">
        <x:f>IF(OR(COUNT(R179:S179)&lt;&gt;2,R179&lt;0,R179&lt;&gt;INT(R179),S179&lt;=0),"",R179*S179)</x:f>
        <x:v>150</x:v>
      </x:c>
      <x:c r="V179" s="388" t="n">
        <x:f>IF(OR(NOT(ISNUMBER(U179)),NOT(ISNUMBER($O$1)),$O$1&lt;=0),"",IF(Q179="seconds",U179/$O$1,IF(Q179="reps/leg",2*U179,IF(Q179="reps",U179,""))))</x:f>
        <x:v>50</x:v>
      </x:c>
      <x:c r="W179" s="359" t="str">
        <x:f>IF(OR(COUNTIFS(Strategy!$B$36:$B$90,P179)&lt;&gt;1,COUNTIFS(Strategy!$B$36:$B$90,P179,Strategy!$D$36:$D$90,"&lt;&gt;")&lt;&gt;1),"",INDEX(Strategy!$D$36:$D$90,MATCH(P179,Strategy!$B$36:$B$90,0)))</x:f>
        <x:v>seconds</x:v>
      </x:c>
      <x:c r="X179" s="369" t="n">
        <x:f>IF(OR(COUNT(T179:V179)&lt;&gt;3,Q179&lt;&gt;W179,T179&lt;0,T179&gt;10),"",T179*V179)</x:f>
        <x:v>200</x:v>
      </x:c>
      <x:c r="Y179" s="373" t="str">
        <x:v>Core: one 30-second work interval per round; rest excluded.</x:v>
      </x:c>
    </x:row>
    <x:row r="180" ht="15" hidden="0" customHeight="1">
      <x:c r="N180" s="364" t="n">
        <x:f>Daily!A37</x:f>
        <x:v>46380.5</x:v>
      </x:c>
      <x:c r="O180" s="361" t="str">
        <x:f>Daily!D37</x:f>
        <x:v>Skill B + circuit</x:v>
      </x:c>
      <x:c r="P180" s="372" t="str">
        <x:v>Weighted squat</x:v>
      </x:c>
      <x:c r="Q180" s="362" t="str">
        <x:v>seconds</x:v>
      </x:c>
      <x:c r="R180" s="367" t="n">
        <x:v>5</x:v>
      </x:c>
      <x:c r="S180" s="367" t="n">
        <x:v>30</x:v>
      </x:c>
      <x:c r="T180" s="368" t="n">
        <x:f>IF(OR(COUNTIFS(Strategy!$B$36:$B$90,P180)&lt;&gt;1,COUNTIFS(Strategy!$B$36:$B$90,P180,Strategy!$C$36:$C$90,"&lt;&gt;")&lt;&gt;1),"",INDEX(Strategy!$C$36:$C$90,MATCH(P180,Strategy!$B$36:$B$90,0)))</x:f>
        <x:v>5</x:v>
      </x:c>
      <x:c r="U180" s="368" t="n">
        <x:f>IF(OR(COUNT(R180:S180)&lt;&gt;2,R180&lt;0,R180&lt;&gt;INT(R180),S180&lt;=0),"",R180*S180)</x:f>
        <x:v>150</x:v>
      </x:c>
      <x:c r="V180" s="389" t="n">
        <x:f>IF(OR(NOT(ISNUMBER(U180)),NOT(ISNUMBER($O$1)),$O$1&lt;=0),"",IF(Q180="seconds",U180/$O$1,IF(Q180="reps/leg",2*U180,IF(Q180="reps",U180,""))))</x:f>
        <x:v>50</x:v>
      </x:c>
      <x:c r="W180" s="361" t="str">
        <x:f>IF(OR(COUNTIFS(Strategy!$B$36:$B$90,P180)&lt;&gt;1,COUNTIFS(Strategy!$B$36:$B$90,P180,Strategy!$D$36:$D$90,"&lt;&gt;")&lt;&gt;1),"",INDEX(Strategy!$D$36:$D$90,MATCH(P180,Strategy!$B$36:$B$90,0)))</x:f>
        <x:v>seconds</x:v>
      </x:c>
      <x:c r="X180" s="370" t="n">
        <x:f>IF(OR(COUNT(T180:V180)&lt;&gt;3,Q180&lt;&gt;W180,T180&lt;0,T180&gt;10),"",T180*V180)</x:f>
        <x:v>250</x:v>
      </x:c>
      <x:c r="Y180" s="374" t="str">
        <x:v>Core: one 30-second work interval per round; rest excluded.</x:v>
      </x:c>
    </x:row>
    <x:row r="181" ht="15" hidden="0" customHeight="1">
      <x:c r="N181" s="363" t="n">
        <x:f>Daily!A37</x:f>
        <x:v>46380.5</x:v>
      </x:c>
      <x:c r="O181" s="359" t="str">
        <x:f>Daily!D37</x:f>
        <x:v>Skill B + circuit</x:v>
      </x:c>
      <x:c r="P181" s="371" t="str">
        <x:v>Upside-down hanging shoulder/ab work</x:v>
      </x:c>
      <x:c r="Q181" s="360" t="str">
        <x:v>seconds</x:v>
      </x:c>
      <x:c r="R181" s="365" t="n">
        <x:v>5</x:v>
      </x:c>
      <x:c r="S181" s="365" t="n">
        <x:v>30</x:v>
      </x:c>
      <x:c r="T181" s="366" t="n">
        <x:f>IF(OR(COUNTIFS(Strategy!$B$36:$B$90,P181)&lt;&gt;1,COUNTIFS(Strategy!$B$36:$B$90,P181,Strategy!$C$36:$C$90,"&lt;&gt;")&lt;&gt;1),"",INDEX(Strategy!$C$36:$C$90,MATCH(P181,Strategy!$B$36:$B$90,0)))</x:f>
        <x:v>5</x:v>
      </x:c>
      <x:c r="U181" s="366" t="n">
        <x:f>IF(OR(COUNT(R181:S181)&lt;&gt;2,R181&lt;0,R181&lt;&gt;INT(R181),S181&lt;=0),"",R181*S181)</x:f>
        <x:v>150</x:v>
      </x:c>
      <x:c r="V181" s="388" t="n">
        <x:f>IF(OR(NOT(ISNUMBER(U181)),NOT(ISNUMBER($O$1)),$O$1&lt;=0),"",IF(Q181="seconds",U181/$O$1,IF(Q181="reps/leg",2*U181,IF(Q181="reps",U181,""))))</x:f>
        <x:v>50</x:v>
      </x:c>
      <x:c r="W181" s="359" t="str">
        <x:f>IF(OR(COUNTIFS(Strategy!$B$36:$B$90,P181)&lt;&gt;1,COUNTIFS(Strategy!$B$36:$B$90,P181,Strategy!$D$36:$D$90,"&lt;&gt;")&lt;&gt;1),"",INDEX(Strategy!$D$36:$D$90,MATCH(P181,Strategy!$B$36:$B$90,0)))</x:f>
        <x:v>seconds</x:v>
      </x:c>
      <x:c r="X181" s="369" t="n">
        <x:f>IF(OR(COUNT(T181:V181)&lt;&gt;3,Q181&lt;&gt;W181,T181&lt;0,T181&gt;10),"",T181*V181)</x:f>
        <x:v>250</x:v>
      </x:c>
      <x:c r="Y181" s="373" t="str">
        <x:v>Core: one 30-second work interval per round; rest excluded.</x:v>
      </x:c>
    </x:row>
    <x:row r="182" ht="15" hidden="0" customHeight="1">
      <x:c r="N182" s="364" t="n">
        <x:f>Daily!A38</x:f>
        <x:v>46382.5</x:v>
      </x:c>
      <x:c r="O182" s="361" t="str">
        <x:f>Daily!D38</x:f>
        <x:v>Skill micro-session</x:v>
      </x:c>
      <x:c r="P182" s="372" t="str">
        <x:v>Wrist/shoulder mobility</x:v>
      </x:c>
      <x:c r="Q182" s="362" t="str">
        <x:v>seconds</x:v>
      </x:c>
      <x:c r="R182" s="367" t="n">
        <x:v>1</x:v>
      </x:c>
      <x:c r="S182" s="367" t="n">
        <x:v>120</x:v>
      </x:c>
      <x:c r="T182" s="368" t="n">
        <x:f>IF(OR(COUNTIFS(Strategy!$B$36:$B$90,P182)&lt;&gt;1,COUNTIFS(Strategy!$B$36:$B$90,P182,Strategy!$C$36:$C$90,"&lt;&gt;")&lt;&gt;1),"",INDEX(Strategy!$C$36:$C$90,MATCH(P182,Strategy!$B$36:$B$90,0)))</x:f>
        <x:v>1</x:v>
      </x:c>
      <x:c r="U182" s="368" t="n">
        <x:f>IF(OR(COUNT(R182:S182)&lt;&gt;2,R182&lt;0,R182&lt;&gt;INT(R182),S182&lt;=0),"",R182*S182)</x:f>
        <x:v>120</x:v>
      </x:c>
      <x:c r="V182" s="389" t="n">
        <x:f>IF(OR(NOT(ISNUMBER(U182)),NOT(ISNUMBER($O$1)),$O$1&lt;=0),"",IF(Q182="seconds",U182/$O$1,IF(Q182="reps/leg",2*U182,IF(Q182="reps",U182,""))))</x:f>
        <x:v>40</x:v>
      </x:c>
      <x:c r="W182" s="361" t="str">
        <x:f>IF(OR(COUNTIFS(Strategy!$B$36:$B$90,P182)&lt;&gt;1,COUNTIFS(Strategy!$B$36:$B$90,P182,Strategy!$D$36:$D$90,"&lt;&gt;")&lt;&gt;1),"",INDEX(Strategy!$D$36:$D$90,MATCH(P182,Strategy!$B$36:$B$90,0)))</x:f>
        <x:v>seconds</x:v>
      </x:c>
      <x:c r="X182" s="370" t="n">
        <x:f>IF(OR(COUNT(T182:V182)&lt;&gt;3,Q182&lt;&gt;W182,T182&lt;0,T182&gt;10),"",T182*V182)</x:f>
        <x:v>40</x:v>
      </x:c>
      <x:c r="Y182" s="374" t="str"/>
    </x:row>
    <x:row r="183" ht="15" hidden="0" customHeight="1">
      <x:c r="N183" s="363" t="n">
        <x:f>Daily!A38</x:f>
        <x:v>46382.5</x:v>
      </x:c>
      <x:c r="O183" s="359" t="str">
        <x:f>Daily!D38</x:f>
        <x:v>Skill micro-session</x:v>
      </x:c>
      <x:c r="P183" s="371" t="str">
        <x:v>Easy chest-to-wall hold</x:v>
      </x:c>
      <x:c r="Q183" s="360" t="str">
        <x:v>seconds</x:v>
      </x:c>
      <x:c r="R183" s="365" t="n">
        <x:v>3</x:v>
      </x:c>
      <x:c r="S183" s="365" t="n">
        <x:v>15</x:v>
      </x:c>
      <x:c r="T183" s="366" t="n">
        <x:f>IF(OR(COUNTIFS(Strategy!$B$36:$B$90,P183)&lt;&gt;1,COUNTIFS(Strategy!$B$36:$B$90,P183,Strategy!$C$36:$C$90,"&lt;&gt;")&lt;&gt;1),"",INDEX(Strategy!$C$36:$C$90,MATCH(P183,Strategy!$B$36:$B$90,0)))</x:f>
        <x:v>1</x:v>
      </x:c>
      <x:c r="U183" s="366" t="n">
        <x:f>IF(OR(COUNT(R183:S183)&lt;&gt;2,R183&lt;0,R183&lt;&gt;INT(R183),S183&lt;=0),"",R183*S183)</x:f>
        <x:v>45</x:v>
      </x:c>
      <x:c r="V183" s="388" t="n">
        <x:f>IF(OR(NOT(ISNUMBER(U183)),NOT(ISNUMBER($O$1)),$O$1&lt;=0),"",IF(Q183="seconds",U183/$O$1,IF(Q183="reps/leg",2*U183,IF(Q183="reps",U183,""))))</x:f>
        <x:v>15</x:v>
      </x:c>
      <x:c r="W183" s="359" t="str">
        <x:f>IF(OR(COUNTIFS(Strategy!$B$36:$B$90,P183)&lt;&gt;1,COUNTIFS(Strategy!$B$36:$B$90,P183,Strategy!$D$36:$D$90,"&lt;&gt;")&lt;&gt;1),"",INDEX(Strategy!$D$36:$D$90,MATCH(P183,Strategy!$B$36:$B$90,0)))</x:f>
        <x:v>seconds</x:v>
      </x:c>
      <x:c r="X183" s="369" t="n">
        <x:f>IF(OR(COUNT(T183:V183)&lt;&gt;3,Q183&lt;&gt;W183,T183&lt;0,T183&gt;10),"",T183*V183)</x:f>
        <x:v>15</x:v>
      </x:c>
      <x:c r="Y183" s="373" t="str"/>
    </x:row>
    <x:row r="184" ht="15" hidden="0" customHeight="1">
      <x:c r="N184" s="364" t="n">
        <x:f>Daily!A38</x:f>
        <x:v>46382.5</x:v>
      </x:c>
      <x:c r="O184" s="361" t="str">
        <x:f>Daily!D38</x:f>
        <x:v>Skill micro-session</x:v>
      </x:c>
      <x:c r="P184" s="372" t="str">
        <x:v>Wall handstand line drill</x:v>
      </x:c>
      <x:c r="Q184" s="362" t="str">
        <x:v>seconds</x:v>
      </x:c>
      <x:c r="R184" s="367" t="n">
        <x:v>3</x:v>
      </x:c>
      <x:c r="S184" s="367" t="n">
        <x:v>15</x:v>
      </x:c>
      <x:c r="T184" s="368" t="n">
        <x:f>IF(OR(COUNTIFS(Strategy!$B$36:$B$90,P184)&lt;&gt;1,COUNTIFS(Strategy!$B$36:$B$90,P184,Strategy!$C$36:$C$90,"&lt;&gt;")&lt;&gt;1),"",INDEX(Strategy!$C$36:$C$90,MATCH(P184,Strategy!$B$36:$B$90,0)))</x:f>
        <x:v>1</x:v>
      </x:c>
      <x:c r="U184" s="368" t="n">
        <x:f>IF(OR(COUNT(R184:S184)&lt;&gt;2,R184&lt;0,R184&lt;&gt;INT(R184),S184&lt;=0),"",R184*S184)</x:f>
        <x:v>45</x:v>
      </x:c>
      <x:c r="V184" s="389" t="n">
        <x:f>IF(OR(NOT(ISNUMBER(U184)),NOT(ISNUMBER($O$1)),$O$1&lt;=0),"",IF(Q184="seconds",U184/$O$1,IF(Q184="reps/leg",2*U184,IF(Q184="reps",U184,""))))</x:f>
        <x:v>15</x:v>
      </x:c>
      <x:c r="W184" s="361" t="str">
        <x:f>IF(OR(COUNTIFS(Strategy!$B$36:$B$90,P184)&lt;&gt;1,COUNTIFS(Strategy!$B$36:$B$90,P184,Strategy!$D$36:$D$90,"&lt;&gt;")&lt;&gt;1),"",INDEX(Strategy!$D$36:$D$90,MATCH(P184,Strategy!$B$36:$B$90,0)))</x:f>
        <x:v>seconds</x:v>
      </x:c>
      <x:c r="X184" s="370" t="n">
        <x:f>IF(OR(COUNT(T184:V184)&lt;&gt;3,Q184&lt;&gt;W184,T184&lt;0,T184&gt;10),"",T184*V184)</x:f>
        <x:v>15</x:v>
      </x:c>
      <x:c r="Y184" s="374" t="str"/>
    </x:row>
    <x:row r="185" ht="15" hidden="0" customHeight="1">
      <x:c r="N185" s="363" t="n">
        <x:f>Daily!A39</x:f>
        <x:v>46384.5</x:v>
      </x:c>
      <x:c r="O185" s="359" t="str">
        <x:f>Daily!D39</x:f>
        <x:v>Skill A + interval circuit</x:v>
      </x:c>
      <x:c r="P185" s="371" t="str">
        <x:v>Quality muscle-up attempts</x:v>
      </x:c>
      <x:c r="Q185" s="360" t="str">
        <x:v>reps</x:v>
      </x:c>
      <x:c r="R185" s="365" t="n">
        <x:v>5</x:v>
      </x:c>
      <x:c r="S185" s="365" t="n">
        <x:v>1</x:v>
      </x:c>
      <x:c r="T185" s="366" t="n">
        <x:f>IF(OR(COUNTIFS(Strategy!$B$36:$B$90,P185)&lt;&gt;1,COUNTIFS(Strategy!$B$36:$B$90,P185,Strategy!$C$36:$C$90,"&lt;&gt;")&lt;&gt;1),"",INDEX(Strategy!$C$36:$C$90,MATCH(P185,Strategy!$B$36:$B$90,0)))</x:f>
        <x:v>8</x:v>
      </x:c>
      <x:c r="U185" s="366" t="n">
        <x:f>IF(OR(COUNT(R185:S185)&lt;&gt;2,R185&lt;0,R185&lt;&gt;INT(R185),S185&lt;=0),"",R185*S185)</x:f>
        <x:v>5</x:v>
      </x:c>
      <x:c r="V185" s="388" t="n">
        <x:f>IF(OR(NOT(ISNUMBER(U185)),NOT(ISNUMBER($O$1)),$O$1&lt;=0),"",IF(Q185="seconds",U185/$O$1,IF(Q185="reps/leg",2*U185,IF(Q185="reps",U185,""))))</x:f>
        <x:v>5</x:v>
      </x:c>
      <x:c r="W185" s="359" t="str">
        <x:f>IF(OR(COUNTIFS(Strategy!$B$36:$B$90,P185)&lt;&gt;1,COUNTIFS(Strategy!$B$36:$B$90,P185,Strategy!$D$36:$D$90,"&lt;&gt;")&lt;&gt;1),"",INDEX(Strategy!$D$36:$D$90,MATCH(P185,Strategy!$B$36:$B$90,0)))</x:f>
        <x:v>reps</x:v>
      </x:c>
      <x:c r="X185" s="369" t="n">
        <x:f>IF(OR(COUNT(T185:V185)&lt;&gt;3,Q185&lt;&gt;W185,T185&lt;0,T185&gt;10),"",T185*V185)</x:f>
        <x:v>40</x:v>
      </x:c>
      <x:c r="Y185" s="373" t="str">
        <x:v>Upper bound of 3–5 planned singles.</x:v>
      </x:c>
    </x:row>
    <x:row r="186" ht="15" hidden="0" customHeight="1">
      <x:c r="N186" s="364" t="n">
        <x:f>Daily!A39</x:f>
        <x:v>46384.5</x:v>
      </x:c>
      <x:c r="O186" s="361" t="str">
        <x:f>Daily!D39</x:f>
        <x:v>Skill A + interval circuit</x:v>
      </x:c>
      <x:c r="P186" s="372" t="str">
        <x:v>Band-assisted muscle-up</x:v>
      </x:c>
      <x:c r="Q186" s="362" t="str">
        <x:v>reps</x:v>
      </x:c>
      <x:c r="R186" s="367" t="n">
        <x:v>2</x:v>
      </x:c>
      <x:c r="S186" s="367" t="n">
        <x:v>2</x:v>
      </x:c>
      <x:c r="T186" s="368" t="n">
        <x:f>IF(OR(COUNTIFS(Strategy!$B$36:$B$90,P186)&lt;&gt;1,COUNTIFS(Strategy!$B$36:$B$90,P186,Strategy!$C$36:$C$90,"&lt;&gt;")&lt;&gt;1),"",INDEX(Strategy!$C$36:$C$90,MATCH(P186,Strategy!$B$36:$B$90,0)))</x:f>
        <x:v>6</x:v>
      </x:c>
      <x:c r="U186" s="368" t="n">
        <x:f>IF(OR(COUNT(R186:S186)&lt;&gt;2,R186&lt;0,R186&lt;&gt;INT(R186),S186&lt;=0),"",R186*S186)</x:f>
        <x:v>4</x:v>
      </x:c>
      <x:c r="V186" s="389" t="n">
        <x:f>IF(OR(NOT(ISNUMBER(U186)),NOT(ISNUMBER($O$1)),$O$1&lt;=0),"",IF(Q186="seconds",U186/$O$1,IF(Q186="reps/leg",2*U186,IF(Q186="reps",U186,""))))</x:f>
        <x:v>4</x:v>
      </x:c>
      <x:c r="W186" s="361" t="str">
        <x:f>IF(OR(COUNTIFS(Strategy!$B$36:$B$90,P186)&lt;&gt;1,COUNTIFS(Strategy!$B$36:$B$90,P186,Strategy!$D$36:$D$90,"&lt;&gt;")&lt;&gt;1),"",INDEX(Strategy!$D$36:$D$90,MATCH(P186,Strategy!$B$36:$B$90,0)))</x:f>
        <x:v>reps</x:v>
      </x:c>
      <x:c r="X186" s="370" t="n">
        <x:f>IF(OR(COUNT(T186:V186)&lt;&gt;3,Q186&lt;&gt;W186,T186&lt;0,T186&gt;10),"",T186*V186)</x:f>
        <x:v>24</x:v>
      </x:c>
      <x:c r="Y186" s="374" t="str"/>
    </x:row>
    <x:row r="187" ht="15" hidden="0" customHeight="1">
      <x:c r="N187" s="363" t="n">
        <x:f>Daily!A39</x:f>
        <x:v>46384.5</x:v>
      </x:c>
      <x:c r="O187" s="359" t="str">
        <x:f>Daily!D39</x:f>
        <x:v>Skill A + interval circuit</x:v>
      </x:c>
      <x:c r="P187" s="371" t="str">
        <x:v>Pistol clusters</x:v>
      </x:c>
      <x:c r="Q187" s="360" t="str">
        <x:v>reps/leg</x:v>
      </x:c>
      <x:c r="R187" s="365" t="n">
        <x:v>3</x:v>
      </x:c>
      <x:c r="S187" s="365" t="n">
        <x:v>2</x:v>
      </x:c>
      <x:c r="T187" s="366" t="n">
        <x:f>IF(OR(COUNTIFS(Strategy!$B$36:$B$90,P187)&lt;&gt;1,COUNTIFS(Strategy!$B$36:$B$90,P187,Strategy!$C$36:$C$90,"&lt;&gt;")&lt;&gt;1),"",INDEX(Strategy!$C$36:$C$90,MATCH(P187,Strategy!$B$36:$B$90,0)))</x:f>
        <x:v>8</x:v>
      </x:c>
      <x:c r="U187" s="366" t="n">
        <x:f>IF(OR(COUNT(R187:S187)&lt;&gt;2,R187&lt;0,R187&lt;&gt;INT(R187),S187&lt;=0),"",R187*S187)</x:f>
        <x:v>6</x:v>
      </x:c>
      <x:c r="V187" s="388" t="n">
        <x:f>IF(OR(NOT(ISNUMBER(U187)),NOT(ISNUMBER($O$1)),$O$1&lt;=0),"",IF(Q187="seconds",U187/$O$1,IF(Q187="reps/leg",2*U187,IF(Q187="reps",U187,""))))</x:f>
        <x:v>12</x:v>
      </x:c>
      <x:c r="W187" s="359" t="str">
        <x:f>IF(OR(COUNTIFS(Strategy!$B$36:$B$90,P187)&lt;&gt;1,COUNTIFS(Strategy!$B$36:$B$90,P187,Strategy!$D$36:$D$90,"&lt;&gt;")&lt;&gt;1),"",INDEX(Strategy!$D$36:$D$90,MATCH(P187,Strategy!$B$36:$B$90,0)))</x:f>
        <x:v>reps/leg</x:v>
      </x:c>
      <x:c r="X187" s="369" t="n">
        <x:f>IF(OR(COUNT(T187:V187)&lt;&gt;3,Q187&lt;&gt;W187,T187&lt;0,T187&gt;10),"",T187*V187)</x:f>
        <x:v>96</x:v>
      </x:c>
      <x:c r="Y187" s="373" t="str">
        <x:v>Two reps per cluster; rest is excluded.</x:v>
      </x:c>
    </x:row>
    <x:row r="188" ht="15" hidden="0" customHeight="1">
      <x:c r="N188" s="364" t="n">
        <x:f>Daily!A39</x:f>
        <x:v>46384.5</x:v>
      </x:c>
      <x:c r="O188" s="361" t="str">
        <x:f>Daily!D39</x:f>
        <x:v>Skill A + interval circuit</x:v>
      </x:c>
      <x:c r="P188" s="372" t="str">
        <x:v>Pull-up</x:v>
      </x:c>
      <x:c r="Q188" s="362" t="str">
        <x:v>seconds</x:v>
      </x:c>
      <x:c r="R188" s="367" t="n">
        <x:v>5</x:v>
      </x:c>
      <x:c r="S188" s="367" t="n">
        <x:v>30</x:v>
      </x:c>
      <x:c r="T188" s="368" t="n">
        <x:f>IF(OR(COUNTIFS(Strategy!$B$36:$B$90,P188)&lt;&gt;1,COUNTIFS(Strategy!$B$36:$B$90,P188,Strategy!$C$36:$C$90,"&lt;&gt;")&lt;&gt;1),"",INDEX(Strategy!$C$36:$C$90,MATCH(P188,Strategy!$B$36:$B$90,0)))</x:f>
        <x:v>6</x:v>
      </x:c>
      <x:c r="U188" s="368" t="n">
        <x:f>IF(OR(COUNT(R188:S188)&lt;&gt;2,R188&lt;0,R188&lt;&gt;INT(R188),S188&lt;=0),"",R188*S188)</x:f>
        <x:v>150</x:v>
      </x:c>
      <x:c r="V188" s="389" t="n">
        <x:f>IF(OR(NOT(ISNUMBER(U188)),NOT(ISNUMBER($O$1)),$O$1&lt;=0),"",IF(Q188="seconds",U188/$O$1,IF(Q188="reps/leg",2*U188,IF(Q188="reps",U188,""))))</x:f>
        <x:v>50</x:v>
      </x:c>
      <x:c r="W188" s="361" t="str">
        <x:f>IF(OR(COUNTIFS(Strategy!$B$36:$B$90,P188)&lt;&gt;1,COUNTIFS(Strategy!$B$36:$B$90,P188,Strategy!$D$36:$D$90,"&lt;&gt;")&lt;&gt;1),"",INDEX(Strategy!$D$36:$D$90,MATCH(P188,Strategy!$B$36:$B$90,0)))</x:f>
        <x:v>seconds</x:v>
      </x:c>
      <x:c r="X188" s="370" t="n">
        <x:f>IF(OR(COUNT(T188:V188)&lt;&gt;3,Q188&lt;&gt;W188,T188&lt;0,T188&gt;10),"",T188*V188)</x:f>
        <x:v>300</x:v>
      </x:c>
      <x:c r="Y188" s="374" t="str">
        <x:v>Core: one 30-second work interval per round; rest excluded.</x:v>
      </x:c>
    </x:row>
    <x:row r="189" ht="15" hidden="0" customHeight="1">
      <x:c r="N189" s="363" t="n">
        <x:f>Daily!A39</x:f>
        <x:v>46384.5</x:v>
      </x:c>
      <x:c r="O189" s="359" t="str">
        <x:f>Daily!D39</x:f>
        <x:v>Skill A + interval circuit</x:v>
      </x:c>
      <x:c r="P189" s="371" t="str">
        <x:v>Push-up</x:v>
      </x:c>
      <x:c r="Q189" s="360" t="str">
        <x:v>seconds</x:v>
      </x:c>
      <x:c r="R189" s="365" t="n">
        <x:v>5</x:v>
      </x:c>
      <x:c r="S189" s="365" t="n">
        <x:v>30</x:v>
      </x:c>
      <x:c r="T189" s="366" t="n">
        <x:f>IF(OR(COUNTIFS(Strategy!$B$36:$B$90,P189)&lt;&gt;1,COUNTIFS(Strategy!$B$36:$B$90,P189,Strategy!$C$36:$C$90,"&lt;&gt;")&lt;&gt;1),"",INDEX(Strategy!$C$36:$C$90,MATCH(P189,Strategy!$B$36:$B$90,0)))</x:f>
        <x:v>4</x:v>
      </x:c>
      <x:c r="U189" s="366" t="n">
        <x:f>IF(OR(COUNT(R189:S189)&lt;&gt;2,R189&lt;0,R189&lt;&gt;INT(R189),S189&lt;=0),"",R189*S189)</x:f>
        <x:v>150</x:v>
      </x:c>
      <x:c r="V189" s="388" t="n">
        <x:f>IF(OR(NOT(ISNUMBER(U189)),NOT(ISNUMBER($O$1)),$O$1&lt;=0),"",IF(Q189="seconds",U189/$O$1,IF(Q189="reps/leg",2*U189,IF(Q189="reps",U189,""))))</x:f>
        <x:v>50</x:v>
      </x:c>
      <x:c r="W189" s="359" t="str">
        <x:f>IF(OR(COUNTIFS(Strategy!$B$36:$B$90,P189)&lt;&gt;1,COUNTIFS(Strategy!$B$36:$B$90,P189,Strategy!$D$36:$D$90,"&lt;&gt;")&lt;&gt;1),"",INDEX(Strategy!$D$36:$D$90,MATCH(P189,Strategy!$B$36:$B$90,0)))</x:f>
        <x:v>seconds</x:v>
      </x:c>
      <x:c r="X189" s="369" t="n">
        <x:f>IF(OR(COUNT(T189:V189)&lt;&gt;3,Q189&lt;&gt;W189,T189&lt;0,T189&gt;10),"",T189*V189)</x:f>
        <x:v>200</x:v>
      </x:c>
      <x:c r="Y189" s="373" t="str">
        <x:v>Core: one 30-second work interval per round; rest excluded.</x:v>
      </x:c>
    </x:row>
    <x:row r="190" ht="15" hidden="0" customHeight="1">
      <x:c r="N190" s="364" t="n">
        <x:f>Daily!A39</x:f>
        <x:v>46384.5</x:v>
      </x:c>
      <x:c r="O190" s="361" t="str">
        <x:f>Daily!D39</x:f>
        <x:v>Skill A + interval circuit</x:v>
      </x:c>
      <x:c r="P190" s="372" t="str">
        <x:v>Weighted squat</x:v>
      </x:c>
      <x:c r="Q190" s="362" t="str">
        <x:v>seconds</x:v>
      </x:c>
      <x:c r="R190" s="367" t="n">
        <x:v>5</x:v>
      </x:c>
      <x:c r="S190" s="367" t="n">
        <x:v>30</x:v>
      </x:c>
      <x:c r="T190" s="368" t="n">
        <x:f>IF(OR(COUNTIFS(Strategy!$B$36:$B$90,P190)&lt;&gt;1,COUNTIFS(Strategy!$B$36:$B$90,P190,Strategy!$C$36:$C$90,"&lt;&gt;")&lt;&gt;1),"",INDEX(Strategy!$C$36:$C$90,MATCH(P190,Strategy!$B$36:$B$90,0)))</x:f>
        <x:v>5</x:v>
      </x:c>
      <x:c r="U190" s="368" t="n">
        <x:f>IF(OR(COUNT(R190:S190)&lt;&gt;2,R190&lt;0,R190&lt;&gt;INT(R190),S190&lt;=0),"",R190*S190)</x:f>
        <x:v>150</x:v>
      </x:c>
      <x:c r="V190" s="389" t="n">
        <x:f>IF(OR(NOT(ISNUMBER(U190)),NOT(ISNUMBER($O$1)),$O$1&lt;=0),"",IF(Q190="seconds",U190/$O$1,IF(Q190="reps/leg",2*U190,IF(Q190="reps",U190,""))))</x:f>
        <x:v>50</x:v>
      </x:c>
      <x:c r="W190" s="361" t="str">
        <x:f>IF(OR(COUNTIFS(Strategy!$B$36:$B$90,P190)&lt;&gt;1,COUNTIFS(Strategy!$B$36:$B$90,P190,Strategy!$D$36:$D$90,"&lt;&gt;")&lt;&gt;1),"",INDEX(Strategy!$D$36:$D$90,MATCH(P190,Strategy!$B$36:$B$90,0)))</x:f>
        <x:v>seconds</x:v>
      </x:c>
      <x:c r="X190" s="370" t="n">
        <x:f>IF(OR(COUNT(T190:V190)&lt;&gt;3,Q190&lt;&gt;W190,T190&lt;0,T190&gt;10),"",T190*V190)</x:f>
        <x:v>250</x:v>
      </x:c>
      <x:c r="Y190" s="374" t="str">
        <x:v>Core: one 30-second work interval per round; rest excluded.</x:v>
      </x:c>
    </x:row>
    <x:row r="191" ht="15" hidden="0" customHeight="1">
      <x:c r="N191" s="363" t="n">
        <x:f>Daily!A39</x:f>
        <x:v>46384.5</x:v>
      </x:c>
      <x:c r="O191" s="359" t="str">
        <x:f>Daily!D39</x:f>
        <x:v>Skill A + interval circuit</x:v>
      </x:c>
      <x:c r="P191" s="371" t="str">
        <x:v>Upside-down hanging shoulder/ab work</x:v>
      </x:c>
      <x:c r="Q191" s="360" t="str">
        <x:v>seconds</x:v>
      </x:c>
      <x:c r="R191" s="365" t="n">
        <x:v>5</x:v>
      </x:c>
      <x:c r="S191" s="365" t="n">
        <x:v>30</x:v>
      </x:c>
      <x:c r="T191" s="366" t="n">
        <x:f>IF(OR(COUNTIFS(Strategy!$B$36:$B$90,P191)&lt;&gt;1,COUNTIFS(Strategy!$B$36:$B$90,P191,Strategy!$C$36:$C$90,"&lt;&gt;")&lt;&gt;1),"",INDEX(Strategy!$C$36:$C$90,MATCH(P191,Strategy!$B$36:$B$90,0)))</x:f>
        <x:v>5</x:v>
      </x:c>
      <x:c r="U191" s="366" t="n">
        <x:f>IF(OR(COUNT(R191:S191)&lt;&gt;2,R191&lt;0,R191&lt;&gt;INT(R191),S191&lt;=0),"",R191*S191)</x:f>
        <x:v>150</x:v>
      </x:c>
      <x:c r="V191" s="388" t="n">
        <x:f>IF(OR(NOT(ISNUMBER(U191)),NOT(ISNUMBER($O$1)),$O$1&lt;=0),"",IF(Q191="seconds",U191/$O$1,IF(Q191="reps/leg",2*U191,IF(Q191="reps",U191,""))))</x:f>
        <x:v>50</x:v>
      </x:c>
      <x:c r="W191" s="359" t="str">
        <x:f>IF(OR(COUNTIFS(Strategy!$B$36:$B$90,P191)&lt;&gt;1,COUNTIFS(Strategy!$B$36:$B$90,P191,Strategy!$D$36:$D$90,"&lt;&gt;")&lt;&gt;1),"",INDEX(Strategy!$D$36:$D$90,MATCH(P191,Strategy!$B$36:$B$90,0)))</x:f>
        <x:v>seconds</x:v>
      </x:c>
      <x:c r="X191" s="369" t="n">
        <x:f>IF(OR(COUNT(T191:V191)&lt;&gt;3,Q191&lt;&gt;W191,T191&lt;0,T191&gt;10),"",T191*V191)</x:f>
        <x:v>250</x:v>
      </x:c>
      <x:c r="Y191" s="373" t="str">
        <x:v>Core: one 30-second work interval per round; rest excluded.</x:v>
      </x:c>
    </x:row>
    <x:row r="192" ht="15" hidden="0" customHeight="1">
      <x:c r="N192" s="364" t="n">
        <x:f>Daily!A40</x:f>
        <x:v>46385.5</x:v>
      </x:c>
      <x:c r="O192" s="361" t="str">
        <x:f>Daily!D40</x:f>
        <x:v>Handstand technique</x:v>
      </x:c>
      <x:c r="P192" s="372" t="str">
        <x:v>Wrist/shoulder mobility</x:v>
      </x:c>
      <x:c r="Q192" s="362" t="str">
        <x:v>seconds</x:v>
      </x:c>
      <x:c r="R192" s="367" t="n">
        <x:v>1</x:v>
      </x:c>
      <x:c r="S192" s="367" t="n">
        <x:v>120</x:v>
      </x:c>
      <x:c r="T192" s="368" t="n">
        <x:f>IF(OR(COUNTIFS(Strategy!$B$36:$B$90,P192)&lt;&gt;1,COUNTIFS(Strategy!$B$36:$B$90,P192,Strategy!$C$36:$C$90,"&lt;&gt;")&lt;&gt;1),"",INDEX(Strategy!$C$36:$C$90,MATCH(P192,Strategy!$B$36:$B$90,0)))</x:f>
        <x:v>1</x:v>
      </x:c>
      <x:c r="U192" s="368" t="n">
        <x:f>IF(OR(COUNT(R192:S192)&lt;&gt;2,R192&lt;0,R192&lt;&gt;INT(R192),S192&lt;=0),"",R192*S192)</x:f>
        <x:v>120</x:v>
      </x:c>
      <x:c r="V192" s="389" t="n">
        <x:f>IF(OR(NOT(ISNUMBER(U192)),NOT(ISNUMBER($O$1)),$O$1&lt;=0),"",IF(Q192="seconds",U192/$O$1,IF(Q192="reps/leg",2*U192,IF(Q192="reps",U192,""))))</x:f>
        <x:v>40</x:v>
      </x:c>
      <x:c r="W192" s="361" t="str">
        <x:f>IF(OR(COUNTIFS(Strategy!$B$36:$B$90,P192)&lt;&gt;1,COUNTIFS(Strategy!$B$36:$B$90,P192,Strategy!$D$36:$D$90,"&lt;&gt;")&lt;&gt;1),"",INDEX(Strategy!$D$36:$D$90,MATCH(P192,Strategy!$B$36:$B$90,0)))</x:f>
        <x:v>seconds</x:v>
      </x:c>
      <x:c r="X192" s="370" t="n">
        <x:f>IF(OR(COUNT(T192:V192)&lt;&gt;3,Q192&lt;&gt;W192,T192&lt;0,T192&gt;10),"",T192*V192)</x:f>
        <x:v>40</x:v>
      </x:c>
      <x:c r="Y192" s="374" t="str"/>
    </x:row>
    <x:row r="193" ht="15" hidden="0" customHeight="1">
      <x:c r="N193" s="363" t="n">
        <x:f>Daily!A40</x:f>
        <x:v>46385.5</x:v>
      </x:c>
      <x:c r="O193" s="359" t="str">
        <x:f>Daily!D40</x:f>
        <x:v>Handstand technique</x:v>
      </x:c>
      <x:c r="P193" s="371" t="str">
        <x:v>Easy chest-to-wall hold</x:v>
      </x:c>
      <x:c r="Q193" s="360" t="str">
        <x:v>seconds</x:v>
      </x:c>
      <x:c r="R193" s="365" t="n">
        <x:v>3</x:v>
      </x:c>
      <x:c r="S193" s="365" t="n">
        <x:v>15</x:v>
      </x:c>
      <x:c r="T193" s="366" t="n">
        <x:f>IF(OR(COUNTIFS(Strategy!$B$36:$B$90,P193)&lt;&gt;1,COUNTIFS(Strategy!$B$36:$B$90,P193,Strategy!$C$36:$C$90,"&lt;&gt;")&lt;&gt;1),"",INDEX(Strategy!$C$36:$C$90,MATCH(P193,Strategy!$B$36:$B$90,0)))</x:f>
        <x:v>1</x:v>
      </x:c>
      <x:c r="U193" s="366" t="n">
        <x:f>IF(OR(COUNT(R193:S193)&lt;&gt;2,R193&lt;0,R193&lt;&gt;INT(R193),S193&lt;=0),"",R193*S193)</x:f>
        <x:v>45</x:v>
      </x:c>
      <x:c r="V193" s="388" t="n">
        <x:f>IF(OR(NOT(ISNUMBER(U193)),NOT(ISNUMBER($O$1)),$O$1&lt;=0),"",IF(Q193="seconds",U193/$O$1,IF(Q193="reps/leg",2*U193,IF(Q193="reps",U193,""))))</x:f>
        <x:v>15</x:v>
      </x:c>
      <x:c r="W193" s="359" t="str">
        <x:f>IF(OR(COUNTIFS(Strategy!$B$36:$B$90,P193)&lt;&gt;1,COUNTIFS(Strategy!$B$36:$B$90,P193,Strategy!$D$36:$D$90,"&lt;&gt;")&lt;&gt;1),"",INDEX(Strategy!$D$36:$D$90,MATCH(P193,Strategy!$B$36:$B$90,0)))</x:f>
        <x:v>seconds</x:v>
      </x:c>
      <x:c r="X193" s="369" t="n">
        <x:f>IF(OR(COUNT(T193:V193)&lt;&gt;3,Q193&lt;&gt;W193,T193&lt;0,T193&gt;10),"",T193*V193)</x:f>
        <x:v>15</x:v>
      </x:c>
      <x:c r="Y193" s="373" t="str"/>
    </x:row>
    <x:row r="194" ht="15" hidden="0" customHeight="1">
      <x:c r="N194" s="364" t="n">
        <x:f>Daily!A40</x:f>
        <x:v>46385.5</x:v>
      </x:c>
      <x:c r="O194" s="361" t="str">
        <x:f>Daily!D40</x:f>
        <x:v>Handstand technique</x:v>
      </x:c>
      <x:c r="P194" s="372" t="str">
        <x:v>Wall handstand line drill</x:v>
      </x:c>
      <x:c r="Q194" s="362" t="str">
        <x:v>seconds</x:v>
      </x:c>
      <x:c r="R194" s="367" t="n">
        <x:v>2</x:v>
      </x:c>
      <x:c r="S194" s="367" t="n">
        <x:v>15</x:v>
      </x:c>
      <x:c r="T194" s="368" t="n">
        <x:f>IF(OR(COUNTIFS(Strategy!$B$36:$B$90,P194)&lt;&gt;1,COUNTIFS(Strategy!$B$36:$B$90,P194,Strategy!$C$36:$C$90,"&lt;&gt;")&lt;&gt;1),"",INDEX(Strategy!$C$36:$C$90,MATCH(P194,Strategy!$B$36:$B$90,0)))</x:f>
        <x:v>1</x:v>
      </x:c>
      <x:c r="U194" s="368" t="n">
        <x:f>IF(OR(COUNT(R194:S194)&lt;&gt;2,R194&lt;0,R194&lt;&gt;INT(R194),S194&lt;=0),"",R194*S194)</x:f>
        <x:v>30</x:v>
      </x:c>
      <x:c r="V194" s="389" t="n">
        <x:f>IF(OR(NOT(ISNUMBER(U194)),NOT(ISNUMBER($O$1)),$O$1&lt;=0),"",IF(Q194="seconds",U194/$O$1,IF(Q194="reps/leg",2*U194,IF(Q194="reps",U194,""))))</x:f>
        <x:v>10</x:v>
      </x:c>
      <x:c r="W194" s="361" t="str">
        <x:f>IF(OR(COUNTIFS(Strategy!$B$36:$B$90,P194)&lt;&gt;1,COUNTIFS(Strategy!$B$36:$B$90,P194,Strategy!$D$36:$D$90,"&lt;&gt;")&lt;&gt;1),"",INDEX(Strategy!$D$36:$D$90,MATCH(P194,Strategy!$B$36:$B$90,0)))</x:f>
        <x:v>seconds</x:v>
      </x:c>
      <x:c r="X194" s="370" t="n">
        <x:f>IF(OR(COUNT(T194:V194)&lt;&gt;3,Q194&lt;&gt;W194,T194&lt;0,T194&gt;10),"",T194*V194)</x:f>
        <x:v>10</x:v>
      </x:c>
      <x:c r="Y194" s="374" t="str"/>
    </x:row>
    <x:row r="195" ht="15" hidden="0" customHeight="1">
      <x:c r="N195" s="363" t="n">
        <x:f>Daily!A41</x:f>
        <x:v>46387.5</x:v>
      </x:c>
      <x:c r="O195" s="359" t="str">
        <x:f>Daily!D41</x:f>
        <x:v>Skill B + circuit</x:v>
      </x:c>
      <x:c r="P195" s="371" t="str">
        <x:v>Wall HSPU clusters</x:v>
      </x:c>
      <x:c r="Q195" s="360" t="str">
        <x:v>reps</x:v>
      </x:c>
      <x:c r="R195" s="365" t="n">
        <x:v>3</x:v>
      </x:c>
      <x:c r="S195" s="365" t="n">
        <x:v>2</x:v>
      </x:c>
      <x:c r="T195" s="366" t="n">
        <x:f>IF(OR(COUNTIFS(Strategy!$B$36:$B$90,P195)&lt;&gt;1,COUNTIFS(Strategy!$B$36:$B$90,P195,Strategy!$C$36:$C$90,"&lt;&gt;")&lt;&gt;1),"",INDEX(Strategy!$C$36:$C$90,MATCH(P195,Strategy!$B$36:$B$90,0)))</x:f>
        <x:v>8</x:v>
      </x:c>
      <x:c r="U195" s="366" t="n">
        <x:f>IF(OR(COUNT(R195:S195)&lt;&gt;2,R195&lt;0,R195&lt;&gt;INT(R195),S195&lt;=0),"",R195*S195)</x:f>
        <x:v>6</x:v>
      </x:c>
      <x:c r="V195" s="388" t="n">
        <x:f>IF(OR(NOT(ISNUMBER(U195)),NOT(ISNUMBER($O$1)),$O$1&lt;=0),"",IF(Q195="seconds",U195/$O$1,IF(Q195="reps/leg",2*U195,IF(Q195="reps",U195,""))))</x:f>
        <x:v>6</x:v>
      </x:c>
      <x:c r="W195" s="359" t="str">
        <x:f>IF(OR(COUNTIFS(Strategy!$B$36:$B$90,P195)&lt;&gt;1,COUNTIFS(Strategy!$B$36:$B$90,P195,Strategy!$D$36:$D$90,"&lt;&gt;")&lt;&gt;1),"",INDEX(Strategy!$D$36:$D$90,MATCH(P195,Strategy!$B$36:$B$90,0)))</x:f>
        <x:v>reps</x:v>
      </x:c>
      <x:c r="X195" s="369" t="n">
        <x:f>IF(OR(COUNT(T195:V195)&lt;&gt;3,Q195&lt;&gt;W195,T195&lt;0,T195&gt;10),"",T195*V195)</x:f>
        <x:v>48</x:v>
      </x:c>
      <x:c r="Y195" s="373" t="str">
        <x:v>Two reps per cluster; rest is excluded.</x:v>
      </x:c>
    </x:row>
    <x:row r="196" ht="15" hidden="0" customHeight="1">
      <x:c r="N196" s="364" t="n">
        <x:f>Daily!A41</x:f>
        <x:v>46387.5</x:v>
      </x:c>
      <x:c r="O196" s="361" t="str">
        <x:f>Daily!D41</x:f>
        <x:v>Skill B + circuit</x:v>
      </x:c>
      <x:c r="P196" s="372" t="str">
        <x:v>Easy wall handstand</x:v>
      </x:c>
      <x:c r="Q196" s="362" t="str">
        <x:v>seconds</x:v>
      </x:c>
      <x:c r="R196" s="367" t="n">
        <x:v>2</x:v>
      </x:c>
      <x:c r="S196" s="367" t="n">
        <x:v>20</x:v>
      </x:c>
      <x:c r="T196" s="368" t="n">
        <x:f>IF(OR(COUNTIFS(Strategy!$B$36:$B$90,P196)&lt;&gt;1,COUNTIFS(Strategy!$B$36:$B$90,P196,Strategy!$C$36:$C$90,"&lt;&gt;")&lt;&gt;1),"",INDEX(Strategy!$C$36:$C$90,MATCH(P196,Strategy!$B$36:$B$90,0)))</x:f>
        <x:v>1</x:v>
      </x:c>
      <x:c r="U196" s="368" t="n">
        <x:f>IF(OR(COUNT(R196:S196)&lt;&gt;2,R196&lt;0,R196&lt;&gt;INT(R196),S196&lt;=0),"",R196*S196)</x:f>
        <x:v>40</x:v>
      </x:c>
      <x:c r="V196" s="389" t="n">
        <x:f>IF(OR(NOT(ISNUMBER(U196)),NOT(ISNUMBER($O$1)),$O$1&lt;=0),"",IF(Q196="seconds",U196/$O$1,IF(Q196="reps/leg",2*U196,IF(Q196="reps",U196,""))))</x:f>
        <x:v>13.333333333333334</x:v>
      </x:c>
      <x:c r="W196" s="361" t="str">
        <x:f>IF(OR(COUNTIFS(Strategy!$B$36:$B$90,P196)&lt;&gt;1,COUNTIFS(Strategy!$B$36:$B$90,P196,Strategy!$D$36:$D$90,"&lt;&gt;")&lt;&gt;1),"",INDEX(Strategy!$D$36:$D$90,MATCH(P196,Strategy!$B$36:$B$90,0)))</x:f>
        <x:v>seconds</x:v>
      </x:c>
      <x:c r="X196" s="370" t="n">
        <x:f>IF(OR(COUNT(T196:V196)&lt;&gt;3,Q196&lt;&gt;W196,T196&lt;0,T196&gt;10),"",T196*V196)</x:f>
        <x:v>13.333333333333334</x:v>
      </x:c>
      <x:c r="Y196" s="374" t="str"/>
    </x:row>
    <x:row r="197" ht="15" hidden="0" customHeight="1">
      <x:c r="N197" s="363" t="n">
        <x:f>Daily!A41</x:f>
        <x:v>46387.5</x:v>
      </x:c>
      <x:c r="O197" s="359" t="str">
        <x:f>Daily!D41</x:f>
        <x:v>Skill B + circuit</x:v>
      </x:c>
      <x:c r="P197" s="371" t="str">
        <x:v>Pistol clusters</x:v>
      </x:c>
      <x:c r="Q197" s="360" t="str">
        <x:v>reps/leg</x:v>
      </x:c>
      <x:c r="R197" s="365" t="n">
        <x:v>3</x:v>
      </x:c>
      <x:c r="S197" s="365" t="n">
        <x:v>2</x:v>
      </x:c>
      <x:c r="T197" s="366" t="n">
        <x:f>IF(OR(COUNTIFS(Strategy!$B$36:$B$90,P197)&lt;&gt;1,COUNTIFS(Strategy!$B$36:$B$90,P197,Strategy!$C$36:$C$90,"&lt;&gt;")&lt;&gt;1),"",INDEX(Strategy!$C$36:$C$90,MATCH(P197,Strategy!$B$36:$B$90,0)))</x:f>
        <x:v>8</x:v>
      </x:c>
      <x:c r="U197" s="366" t="n">
        <x:f>IF(OR(COUNT(R197:S197)&lt;&gt;2,R197&lt;0,R197&lt;&gt;INT(R197),S197&lt;=0),"",R197*S197)</x:f>
        <x:v>6</x:v>
      </x:c>
      <x:c r="V197" s="388" t="n">
        <x:f>IF(OR(NOT(ISNUMBER(U197)),NOT(ISNUMBER($O$1)),$O$1&lt;=0),"",IF(Q197="seconds",U197/$O$1,IF(Q197="reps/leg",2*U197,IF(Q197="reps",U197,""))))</x:f>
        <x:v>12</x:v>
      </x:c>
      <x:c r="W197" s="359" t="str">
        <x:f>IF(OR(COUNTIFS(Strategy!$B$36:$B$90,P197)&lt;&gt;1,COUNTIFS(Strategy!$B$36:$B$90,P197,Strategy!$D$36:$D$90,"&lt;&gt;")&lt;&gt;1),"",INDEX(Strategy!$D$36:$D$90,MATCH(P197,Strategy!$B$36:$B$90,0)))</x:f>
        <x:v>reps/leg</x:v>
      </x:c>
      <x:c r="X197" s="369" t="n">
        <x:f>IF(OR(COUNT(T197:V197)&lt;&gt;3,Q197&lt;&gt;W197,T197&lt;0,T197&gt;10),"",T197*V197)</x:f>
        <x:v>96</x:v>
      </x:c>
      <x:c r="Y197" s="373" t="str">
        <x:v>Two reps per cluster; rest is excluded.</x:v>
      </x:c>
    </x:row>
    <x:row r="198" ht="15" hidden="0" customHeight="1">
      <x:c r="N198" s="364" t="n">
        <x:f>Daily!A41</x:f>
        <x:v>46387.5</x:v>
      </x:c>
      <x:c r="O198" s="361" t="str">
        <x:f>Daily!D41</x:f>
        <x:v>Skill B + circuit</x:v>
      </x:c>
      <x:c r="P198" s="372" t="str">
        <x:v>Pull-up</x:v>
      </x:c>
      <x:c r="Q198" s="362" t="str">
        <x:v>seconds</x:v>
      </x:c>
      <x:c r="R198" s="367" t="n">
        <x:v>5</x:v>
      </x:c>
      <x:c r="S198" s="367" t="n">
        <x:v>30</x:v>
      </x:c>
      <x:c r="T198" s="368" t="n">
        <x:f>IF(OR(COUNTIFS(Strategy!$B$36:$B$90,P198)&lt;&gt;1,COUNTIFS(Strategy!$B$36:$B$90,P198,Strategy!$C$36:$C$90,"&lt;&gt;")&lt;&gt;1),"",INDEX(Strategy!$C$36:$C$90,MATCH(P198,Strategy!$B$36:$B$90,0)))</x:f>
        <x:v>6</x:v>
      </x:c>
      <x:c r="U198" s="368" t="n">
        <x:f>IF(OR(COUNT(R198:S198)&lt;&gt;2,R198&lt;0,R198&lt;&gt;INT(R198),S198&lt;=0),"",R198*S198)</x:f>
        <x:v>150</x:v>
      </x:c>
      <x:c r="V198" s="389" t="n">
        <x:f>IF(OR(NOT(ISNUMBER(U198)),NOT(ISNUMBER($O$1)),$O$1&lt;=0),"",IF(Q198="seconds",U198/$O$1,IF(Q198="reps/leg",2*U198,IF(Q198="reps",U198,""))))</x:f>
        <x:v>50</x:v>
      </x:c>
      <x:c r="W198" s="361" t="str">
        <x:f>IF(OR(COUNTIFS(Strategy!$B$36:$B$90,P198)&lt;&gt;1,COUNTIFS(Strategy!$B$36:$B$90,P198,Strategy!$D$36:$D$90,"&lt;&gt;")&lt;&gt;1),"",INDEX(Strategy!$D$36:$D$90,MATCH(P198,Strategy!$B$36:$B$90,0)))</x:f>
        <x:v>seconds</x:v>
      </x:c>
      <x:c r="X198" s="370" t="n">
        <x:f>IF(OR(COUNT(T198:V198)&lt;&gt;3,Q198&lt;&gt;W198,T198&lt;0,T198&gt;10),"",T198*V198)</x:f>
        <x:v>300</x:v>
      </x:c>
      <x:c r="Y198" s="374" t="str">
        <x:v>Core: one 30-second work interval per round; rest excluded.</x:v>
      </x:c>
    </x:row>
    <x:row r="199" ht="15" hidden="0" customHeight="1">
      <x:c r="N199" s="363" t="n">
        <x:f>Daily!A41</x:f>
        <x:v>46387.5</x:v>
      </x:c>
      <x:c r="O199" s="359" t="str">
        <x:f>Daily!D41</x:f>
        <x:v>Skill B + circuit</x:v>
      </x:c>
      <x:c r="P199" s="371" t="str">
        <x:v>Push-up</x:v>
      </x:c>
      <x:c r="Q199" s="360" t="str">
        <x:v>seconds</x:v>
      </x:c>
      <x:c r="R199" s="365" t="n">
        <x:v>5</x:v>
      </x:c>
      <x:c r="S199" s="365" t="n">
        <x:v>30</x:v>
      </x:c>
      <x:c r="T199" s="366" t="n">
        <x:f>IF(OR(COUNTIFS(Strategy!$B$36:$B$90,P199)&lt;&gt;1,COUNTIFS(Strategy!$B$36:$B$90,P199,Strategy!$C$36:$C$90,"&lt;&gt;")&lt;&gt;1),"",INDEX(Strategy!$C$36:$C$90,MATCH(P199,Strategy!$B$36:$B$90,0)))</x:f>
        <x:v>4</x:v>
      </x:c>
      <x:c r="U199" s="366" t="n">
        <x:f>IF(OR(COUNT(R199:S199)&lt;&gt;2,R199&lt;0,R199&lt;&gt;INT(R199),S199&lt;=0),"",R199*S199)</x:f>
        <x:v>150</x:v>
      </x:c>
      <x:c r="V199" s="388" t="n">
        <x:f>IF(OR(NOT(ISNUMBER(U199)),NOT(ISNUMBER($O$1)),$O$1&lt;=0),"",IF(Q199="seconds",U199/$O$1,IF(Q199="reps/leg",2*U199,IF(Q199="reps",U199,""))))</x:f>
        <x:v>50</x:v>
      </x:c>
      <x:c r="W199" s="359" t="str">
        <x:f>IF(OR(COUNTIFS(Strategy!$B$36:$B$90,P199)&lt;&gt;1,COUNTIFS(Strategy!$B$36:$B$90,P199,Strategy!$D$36:$D$90,"&lt;&gt;")&lt;&gt;1),"",INDEX(Strategy!$D$36:$D$90,MATCH(P199,Strategy!$B$36:$B$90,0)))</x:f>
        <x:v>seconds</x:v>
      </x:c>
      <x:c r="X199" s="369" t="n">
        <x:f>IF(OR(COUNT(T199:V199)&lt;&gt;3,Q199&lt;&gt;W199,T199&lt;0,T199&gt;10),"",T199*V199)</x:f>
        <x:v>200</x:v>
      </x:c>
      <x:c r="Y199" s="373" t="str">
        <x:v>Core: one 30-second work interval per round; rest excluded.</x:v>
      </x:c>
    </x:row>
    <x:row r="200" ht="15" hidden="0" customHeight="1">
      <x:c r="N200" s="364" t="n">
        <x:f>Daily!A41</x:f>
        <x:v>46387.5</x:v>
      </x:c>
      <x:c r="O200" s="361" t="str">
        <x:f>Daily!D41</x:f>
        <x:v>Skill B + circuit</x:v>
      </x:c>
      <x:c r="P200" s="372" t="str">
        <x:v>Weighted squat</x:v>
      </x:c>
      <x:c r="Q200" s="362" t="str">
        <x:v>seconds</x:v>
      </x:c>
      <x:c r="R200" s="367" t="n">
        <x:v>5</x:v>
      </x:c>
      <x:c r="S200" s="367" t="n">
        <x:v>30</x:v>
      </x:c>
      <x:c r="T200" s="368" t="n">
        <x:f>IF(OR(COUNTIFS(Strategy!$B$36:$B$90,P200)&lt;&gt;1,COUNTIFS(Strategy!$B$36:$B$90,P200,Strategy!$C$36:$C$90,"&lt;&gt;")&lt;&gt;1),"",INDEX(Strategy!$C$36:$C$90,MATCH(P200,Strategy!$B$36:$B$90,0)))</x:f>
        <x:v>5</x:v>
      </x:c>
      <x:c r="U200" s="368" t="n">
        <x:f>IF(OR(COUNT(R200:S200)&lt;&gt;2,R200&lt;0,R200&lt;&gt;INT(R200),S200&lt;=0),"",R200*S200)</x:f>
        <x:v>150</x:v>
      </x:c>
      <x:c r="V200" s="389" t="n">
        <x:f>IF(OR(NOT(ISNUMBER(U200)),NOT(ISNUMBER($O$1)),$O$1&lt;=0),"",IF(Q200="seconds",U200/$O$1,IF(Q200="reps/leg",2*U200,IF(Q200="reps",U200,""))))</x:f>
        <x:v>50</x:v>
      </x:c>
      <x:c r="W200" s="361" t="str">
        <x:f>IF(OR(COUNTIFS(Strategy!$B$36:$B$90,P200)&lt;&gt;1,COUNTIFS(Strategy!$B$36:$B$90,P200,Strategy!$D$36:$D$90,"&lt;&gt;")&lt;&gt;1),"",INDEX(Strategy!$D$36:$D$90,MATCH(P200,Strategy!$B$36:$B$90,0)))</x:f>
        <x:v>seconds</x:v>
      </x:c>
      <x:c r="X200" s="370" t="n">
        <x:f>IF(OR(COUNT(T200:V200)&lt;&gt;3,Q200&lt;&gt;W200,T200&lt;0,T200&gt;10),"",T200*V200)</x:f>
        <x:v>250</x:v>
      </x:c>
      <x:c r="Y200" s="374" t="str">
        <x:v>Core: one 30-second work interval per round; rest excluded.</x:v>
      </x:c>
    </x:row>
    <x:row r="201" ht="15" hidden="0" customHeight="1">
      <x:c r="N201" s="363" t="n">
        <x:f>Daily!A41</x:f>
        <x:v>46387.5</x:v>
      </x:c>
      <x:c r="O201" s="359" t="str">
        <x:f>Daily!D41</x:f>
        <x:v>Skill B + circuit</x:v>
      </x:c>
      <x:c r="P201" s="371" t="str">
        <x:v>Upside-down hanging shoulder/ab work</x:v>
      </x:c>
      <x:c r="Q201" s="360" t="str">
        <x:v>seconds</x:v>
      </x:c>
      <x:c r="R201" s="365" t="n">
        <x:v>5</x:v>
      </x:c>
      <x:c r="S201" s="365" t="n">
        <x:v>30</x:v>
      </x:c>
      <x:c r="T201" s="366" t="n">
        <x:f>IF(OR(COUNTIFS(Strategy!$B$36:$B$90,P201)&lt;&gt;1,COUNTIFS(Strategy!$B$36:$B$90,P201,Strategy!$C$36:$C$90,"&lt;&gt;")&lt;&gt;1),"",INDEX(Strategy!$C$36:$C$90,MATCH(P201,Strategy!$B$36:$B$90,0)))</x:f>
        <x:v>5</x:v>
      </x:c>
      <x:c r="U201" s="366" t="n">
        <x:f>IF(OR(COUNT(R201:S201)&lt;&gt;2,R201&lt;0,R201&lt;&gt;INT(R201),S201&lt;=0),"",R201*S201)</x:f>
        <x:v>150</x:v>
      </x:c>
      <x:c r="V201" s="388" t="n">
        <x:f>IF(OR(NOT(ISNUMBER(U201)),NOT(ISNUMBER($O$1)),$O$1&lt;=0),"",IF(Q201="seconds",U201/$O$1,IF(Q201="reps/leg",2*U201,IF(Q201="reps",U201,""))))</x:f>
        <x:v>50</x:v>
      </x:c>
      <x:c r="W201" s="359" t="str">
        <x:f>IF(OR(COUNTIFS(Strategy!$B$36:$B$90,P201)&lt;&gt;1,COUNTIFS(Strategy!$B$36:$B$90,P201,Strategy!$D$36:$D$90,"&lt;&gt;")&lt;&gt;1),"",INDEX(Strategy!$D$36:$D$90,MATCH(P201,Strategy!$B$36:$B$90,0)))</x:f>
        <x:v>seconds</x:v>
      </x:c>
      <x:c r="X201" s="369" t="n">
        <x:f>IF(OR(COUNT(T201:V201)&lt;&gt;3,Q201&lt;&gt;W201,T201&lt;0,T201&gt;10),"",T201*V201)</x:f>
        <x:v>250</x:v>
      </x:c>
      <x:c r="Y201" s="373" t="str">
        <x:v>Core: one 30-second work interval per round; rest excluded.</x:v>
      </x:c>
    </x:row>
    <x:row r="202" ht="15" hidden="0" customHeight="1">
      <x:c r="N202" s="364" t="n">
        <x:f>Daily!A42</x:f>
        <x:v>46389.5</x:v>
      </x:c>
      <x:c r="O202" s="361" t="str">
        <x:f>Daily!D42</x:f>
        <x:v>Skill micro-session</x:v>
      </x:c>
      <x:c r="P202" s="372" t="str">
        <x:v>Wrist/shoulder mobility</x:v>
      </x:c>
      <x:c r="Q202" s="362" t="str">
        <x:v>seconds</x:v>
      </x:c>
      <x:c r="R202" s="367" t="n">
        <x:v>1</x:v>
      </x:c>
      <x:c r="S202" s="367" t="n">
        <x:v>120</x:v>
      </x:c>
      <x:c r="T202" s="368" t="n">
        <x:f>IF(OR(COUNTIFS(Strategy!$B$36:$B$90,P202)&lt;&gt;1,COUNTIFS(Strategy!$B$36:$B$90,P202,Strategy!$C$36:$C$90,"&lt;&gt;")&lt;&gt;1),"",INDEX(Strategy!$C$36:$C$90,MATCH(P202,Strategy!$B$36:$B$90,0)))</x:f>
        <x:v>1</x:v>
      </x:c>
      <x:c r="U202" s="368" t="n">
        <x:f>IF(OR(COUNT(R202:S202)&lt;&gt;2,R202&lt;0,R202&lt;&gt;INT(R202),S202&lt;=0),"",R202*S202)</x:f>
        <x:v>120</x:v>
      </x:c>
      <x:c r="V202" s="389" t="n">
        <x:f>IF(OR(NOT(ISNUMBER(U202)),NOT(ISNUMBER($O$1)),$O$1&lt;=0),"",IF(Q202="seconds",U202/$O$1,IF(Q202="reps/leg",2*U202,IF(Q202="reps",U202,""))))</x:f>
        <x:v>40</x:v>
      </x:c>
      <x:c r="W202" s="361" t="str">
        <x:f>IF(OR(COUNTIFS(Strategy!$B$36:$B$90,P202)&lt;&gt;1,COUNTIFS(Strategy!$B$36:$B$90,P202,Strategy!$D$36:$D$90,"&lt;&gt;")&lt;&gt;1),"",INDEX(Strategy!$D$36:$D$90,MATCH(P202,Strategy!$B$36:$B$90,0)))</x:f>
        <x:v>seconds</x:v>
      </x:c>
      <x:c r="X202" s="370" t="n">
        <x:f>IF(OR(COUNT(T202:V202)&lt;&gt;3,Q202&lt;&gt;W202,T202&lt;0,T202&gt;10),"",T202*V202)</x:f>
        <x:v>40</x:v>
      </x:c>
      <x:c r="Y202" s="374" t="str"/>
    </x:row>
    <x:row r="203" ht="15" hidden="0" customHeight="1">
      <x:c r="N203" s="363" t="n">
        <x:f>Daily!A42</x:f>
        <x:v>46389.5</x:v>
      </x:c>
      <x:c r="O203" s="359" t="str">
        <x:f>Daily!D42</x:f>
        <x:v>Skill micro-session</x:v>
      </x:c>
      <x:c r="P203" s="371" t="str">
        <x:v>Easy chest-to-wall hold</x:v>
      </x:c>
      <x:c r="Q203" s="360" t="str">
        <x:v>seconds</x:v>
      </x:c>
      <x:c r="R203" s="365" t="n">
        <x:v>3</x:v>
      </x:c>
      <x:c r="S203" s="365" t="n">
        <x:v>15</x:v>
      </x:c>
      <x:c r="T203" s="366" t="n">
        <x:f>IF(OR(COUNTIFS(Strategy!$B$36:$B$90,P203)&lt;&gt;1,COUNTIFS(Strategy!$B$36:$B$90,P203,Strategy!$C$36:$C$90,"&lt;&gt;")&lt;&gt;1),"",INDEX(Strategy!$C$36:$C$90,MATCH(P203,Strategy!$B$36:$B$90,0)))</x:f>
        <x:v>1</x:v>
      </x:c>
      <x:c r="U203" s="366" t="n">
        <x:f>IF(OR(COUNT(R203:S203)&lt;&gt;2,R203&lt;0,R203&lt;&gt;INT(R203),S203&lt;=0),"",R203*S203)</x:f>
        <x:v>45</x:v>
      </x:c>
      <x:c r="V203" s="388" t="n">
        <x:f>IF(OR(NOT(ISNUMBER(U203)),NOT(ISNUMBER($O$1)),$O$1&lt;=0),"",IF(Q203="seconds",U203/$O$1,IF(Q203="reps/leg",2*U203,IF(Q203="reps",U203,""))))</x:f>
        <x:v>15</x:v>
      </x:c>
      <x:c r="W203" s="359" t="str">
        <x:f>IF(OR(COUNTIFS(Strategy!$B$36:$B$90,P203)&lt;&gt;1,COUNTIFS(Strategy!$B$36:$B$90,P203,Strategy!$D$36:$D$90,"&lt;&gt;")&lt;&gt;1),"",INDEX(Strategy!$D$36:$D$90,MATCH(P203,Strategy!$B$36:$B$90,0)))</x:f>
        <x:v>seconds</x:v>
      </x:c>
      <x:c r="X203" s="369" t="n">
        <x:f>IF(OR(COUNT(T203:V203)&lt;&gt;3,Q203&lt;&gt;W203,T203&lt;0,T203&gt;10),"",T203*V203)</x:f>
        <x:v>15</x:v>
      </x:c>
      <x:c r="Y203" s="373" t="str"/>
    </x:row>
    <x:row r="204" ht="15" hidden="0" customHeight="1">
      <x:c r="N204" s="364" t="n">
        <x:f>Daily!A42</x:f>
        <x:v>46389.5</x:v>
      </x:c>
      <x:c r="O204" s="361" t="str">
        <x:f>Daily!D42</x:f>
        <x:v>Skill micro-session</x:v>
      </x:c>
      <x:c r="P204" s="372" t="str">
        <x:v>Wall handstand line drill</x:v>
      </x:c>
      <x:c r="Q204" s="362" t="str">
        <x:v>seconds</x:v>
      </x:c>
      <x:c r="R204" s="367" t="n">
        <x:v>3</x:v>
      </x:c>
      <x:c r="S204" s="367" t="n">
        <x:v>15</x:v>
      </x:c>
      <x:c r="T204" s="368" t="n">
        <x:f>IF(OR(COUNTIFS(Strategy!$B$36:$B$90,P204)&lt;&gt;1,COUNTIFS(Strategy!$B$36:$B$90,P204,Strategy!$C$36:$C$90,"&lt;&gt;")&lt;&gt;1),"",INDEX(Strategy!$C$36:$C$90,MATCH(P204,Strategy!$B$36:$B$90,0)))</x:f>
        <x:v>1</x:v>
      </x:c>
      <x:c r="U204" s="368" t="n">
        <x:f>IF(OR(COUNT(R204:S204)&lt;&gt;2,R204&lt;0,R204&lt;&gt;INT(R204),S204&lt;=0),"",R204*S204)</x:f>
        <x:v>45</x:v>
      </x:c>
      <x:c r="V204" s="389" t="n">
        <x:f>IF(OR(NOT(ISNUMBER(U204)),NOT(ISNUMBER($O$1)),$O$1&lt;=0),"",IF(Q204="seconds",U204/$O$1,IF(Q204="reps/leg",2*U204,IF(Q204="reps",U204,""))))</x:f>
        <x:v>15</x:v>
      </x:c>
      <x:c r="W204" s="361" t="str">
        <x:f>IF(OR(COUNTIFS(Strategy!$B$36:$B$90,P204)&lt;&gt;1,COUNTIFS(Strategy!$B$36:$B$90,P204,Strategy!$D$36:$D$90,"&lt;&gt;")&lt;&gt;1),"",INDEX(Strategy!$D$36:$D$90,MATCH(P204,Strategy!$B$36:$B$90,0)))</x:f>
        <x:v>seconds</x:v>
      </x:c>
      <x:c r="X204" s="370" t="n">
        <x:f>IF(OR(COUNT(T204:V204)&lt;&gt;3,Q204&lt;&gt;W204,T204&lt;0,T204&gt;10),"",T204*V204)</x:f>
        <x:v>15</x:v>
      </x:c>
      <x:c r="Y204" s="374" t="str"/>
    </x:row>
    <x:row r="205" ht="15" hidden="0" customHeight="1">
      <x:c r="N205" s="363" t="n">
        <x:f>Daily!A43</x:f>
        <x:v>46391.5</x:v>
      </x:c>
      <x:c r="O205" s="359" t="str">
        <x:f>Daily!D43</x:f>
        <x:v>Skill A + interval circuit</x:v>
      </x:c>
      <x:c r="P205" s="371" t="str">
        <x:v>Quality muscle-up attempts</x:v>
      </x:c>
      <x:c r="Q205" s="360" t="str">
        <x:v>reps</x:v>
      </x:c>
      <x:c r="R205" s="365" t="n">
        <x:v>3</x:v>
      </x:c>
      <x:c r="S205" s="365" t="n">
        <x:v>1</x:v>
      </x:c>
      <x:c r="T205" s="366" t="n">
        <x:f>IF(OR(COUNTIFS(Strategy!$B$36:$B$90,P205)&lt;&gt;1,COUNTIFS(Strategy!$B$36:$B$90,P205,Strategy!$C$36:$C$90,"&lt;&gt;")&lt;&gt;1),"",INDEX(Strategy!$C$36:$C$90,MATCH(P205,Strategy!$B$36:$B$90,0)))</x:f>
        <x:v>8</x:v>
      </x:c>
      <x:c r="U205" s="366" t="n">
        <x:f>IF(OR(COUNT(R205:S205)&lt;&gt;2,R205&lt;0,R205&lt;&gt;INT(R205),S205&lt;=0),"",R205*S205)</x:f>
        <x:v>3</x:v>
      </x:c>
      <x:c r="V205" s="388" t="n">
        <x:f>IF(OR(NOT(ISNUMBER(U205)),NOT(ISNUMBER($O$1)),$O$1&lt;=0),"",IF(Q205="seconds",U205/$O$1,IF(Q205="reps/leg",2*U205,IF(Q205="reps",U205,""))))</x:f>
        <x:v>3</x:v>
      </x:c>
      <x:c r="W205" s="359" t="str">
        <x:f>IF(OR(COUNTIFS(Strategy!$B$36:$B$90,P205)&lt;&gt;1,COUNTIFS(Strategy!$B$36:$B$90,P205,Strategy!$D$36:$D$90,"&lt;&gt;")&lt;&gt;1),"",INDEX(Strategy!$D$36:$D$90,MATCH(P205,Strategy!$B$36:$B$90,0)))</x:f>
        <x:v>reps</x:v>
      </x:c>
      <x:c r="X205" s="369" t="n">
        <x:f>IF(OR(COUNT(T205:V205)&lt;&gt;3,Q205&lt;&gt;W205,T205&lt;0,T205&gt;10),"",T205*V205)</x:f>
        <x:v>24</x:v>
      </x:c>
      <x:c r="Y205" s="373" t="str">
        <x:v>One rep per planned attempt.</x:v>
      </x:c>
    </x:row>
    <x:row r="206" ht="15" hidden="0" customHeight="1">
      <x:c r="N206" s="364" t="n">
        <x:f>Daily!A43</x:f>
        <x:v>46391.5</x:v>
      </x:c>
      <x:c r="O206" s="361" t="str">
        <x:f>Daily!D43</x:f>
        <x:v>Skill A + interval circuit</x:v>
      </x:c>
      <x:c r="P206" s="372" t="str">
        <x:v>Crisp high pull</x:v>
      </x:c>
      <x:c r="Q206" s="362" t="str">
        <x:v>reps</x:v>
      </x:c>
      <x:c r="R206" s="367" t="n">
        <x:v>3</x:v>
      </x:c>
      <x:c r="S206" s="367" t="n">
        <x:v>2</x:v>
      </x:c>
      <x:c r="T206" s="368" t="n">
        <x:f>IF(OR(COUNTIFS(Strategy!$B$36:$B$90,P206)&lt;&gt;1,COUNTIFS(Strategy!$B$36:$B$90,P206,Strategy!$C$36:$C$90,"&lt;&gt;")&lt;&gt;1),"",INDEX(Strategy!$C$36:$C$90,MATCH(P206,Strategy!$B$36:$B$90,0)))</x:f>
        <x:v>4</x:v>
      </x:c>
      <x:c r="U206" s="368" t="n">
        <x:f>IF(OR(COUNT(R206:S206)&lt;&gt;2,R206&lt;0,R206&lt;&gt;INT(R206),S206&lt;=0),"",R206*S206)</x:f>
        <x:v>6</x:v>
      </x:c>
      <x:c r="V206" s="389" t="n">
        <x:f>IF(OR(NOT(ISNUMBER(U206)),NOT(ISNUMBER($O$1)),$O$1&lt;=0),"",IF(Q206="seconds",U206/$O$1,IF(Q206="reps/leg",2*U206,IF(Q206="reps",U206,""))))</x:f>
        <x:v>6</x:v>
      </x:c>
      <x:c r="W206" s="361" t="str">
        <x:f>IF(OR(COUNTIFS(Strategy!$B$36:$B$90,P206)&lt;&gt;1,COUNTIFS(Strategy!$B$36:$B$90,P206,Strategy!$D$36:$D$90,"&lt;&gt;")&lt;&gt;1),"",INDEX(Strategy!$D$36:$D$90,MATCH(P206,Strategy!$B$36:$B$90,0)))</x:f>
        <x:v>reps</x:v>
      </x:c>
      <x:c r="X206" s="370" t="n">
        <x:f>IF(OR(COUNT(T206:V206)&lt;&gt;3,Q206&lt;&gt;W206,T206&lt;0,T206&gt;10),"",T206*V206)</x:f>
        <x:v>24</x:v>
      </x:c>
      <x:c r="Y206" s="374" t="str"/>
    </x:row>
    <x:row r="207" ht="15" hidden="0" customHeight="1">
      <x:c r="N207" s="363" t="n">
        <x:f>Daily!A43</x:f>
        <x:v>46391.5</x:v>
      </x:c>
      <x:c r="O207" s="359" t="str">
        <x:f>Daily!D43</x:f>
        <x:v>Skill A + interval circuit</x:v>
      </x:c>
      <x:c r="P207" s="371" t="str">
        <x:v>Clean pistol</x:v>
      </x:c>
      <x:c r="Q207" s="360" t="str">
        <x:v>reps/leg</x:v>
      </x:c>
      <x:c r="R207" s="365" t="n">
        <x:v>3</x:v>
      </x:c>
      <x:c r="S207" s="365" t="n">
        <x:v>2</x:v>
      </x:c>
      <x:c r="T207" s="366" t="n">
        <x:f>IF(OR(COUNTIFS(Strategy!$B$36:$B$90,P207)&lt;&gt;1,COUNTIFS(Strategy!$B$36:$B$90,P207,Strategy!$C$36:$C$90,"&lt;&gt;")&lt;&gt;1),"",INDEX(Strategy!$C$36:$C$90,MATCH(P207,Strategy!$B$36:$B$90,0)))</x:f>
        <x:v>8</x:v>
      </x:c>
      <x:c r="U207" s="366" t="n">
        <x:f>IF(OR(COUNT(R207:S207)&lt;&gt;2,R207&lt;0,R207&lt;&gt;INT(R207),S207&lt;=0),"",R207*S207)</x:f>
        <x:v>6</x:v>
      </x:c>
      <x:c r="V207" s="388" t="n">
        <x:f>IF(OR(NOT(ISNUMBER(U207)),NOT(ISNUMBER($O$1)),$O$1&lt;=0),"",IF(Q207="seconds",U207/$O$1,IF(Q207="reps/leg",2*U207,IF(Q207="reps",U207,""))))</x:f>
        <x:v>12</x:v>
      </x:c>
      <x:c r="W207" s="359" t="str">
        <x:f>IF(OR(COUNTIFS(Strategy!$B$36:$B$90,P207)&lt;&gt;1,COUNTIFS(Strategy!$B$36:$B$90,P207,Strategy!$D$36:$D$90,"&lt;&gt;")&lt;&gt;1),"",INDEX(Strategy!$D$36:$D$90,MATCH(P207,Strategy!$B$36:$B$90,0)))</x:f>
        <x:v>reps/leg</x:v>
      </x:c>
      <x:c r="X207" s="369" t="n">
        <x:f>IF(OR(COUNT(T207:V207)&lt;&gt;3,Q207&lt;&gt;W207,T207&lt;0,T207&gt;10),"",T207*V207)</x:f>
        <x:v>96</x:v>
      </x:c>
      <x:c r="Y207" s="373" t="str"/>
    </x:row>
    <x:row r="208" ht="15" hidden="0" customHeight="1">
      <x:c r="N208" s="364" t="n">
        <x:f>Daily!A43</x:f>
        <x:v>46391.5</x:v>
      </x:c>
      <x:c r="O208" s="361" t="str">
        <x:f>Daily!D43</x:f>
        <x:v>Skill A + interval circuit</x:v>
      </x:c>
      <x:c r="P208" s="372" t="str">
        <x:v>Pull-up</x:v>
      </x:c>
      <x:c r="Q208" s="362" t="str">
        <x:v>seconds</x:v>
      </x:c>
      <x:c r="R208" s="367" t="n">
        <x:v>5</x:v>
      </x:c>
      <x:c r="S208" s="367" t="n">
        <x:v>30</x:v>
      </x:c>
      <x:c r="T208" s="368" t="n">
        <x:f>IF(OR(COUNTIFS(Strategy!$B$36:$B$90,P208)&lt;&gt;1,COUNTIFS(Strategy!$B$36:$B$90,P208,Strategy!$C$36:$C$90,"&lt;&gt;")&lt;&gt;1),"",INDEX(Strategy!$C$36:$C$90,MATCH(P208,Strategy!$B$36:$B$90,0)))</x:f>
        <x:v>6</x:v>
      </x:c>
      <x:c r="U208" s="368" t="n">
        <x:f>IF(OR(COUNT(R208:S208)&lt;&gt;2,R208&lt;0,R208&lt;&gt;INT(R208),S208&lt;=0),"",R208*S208)</x:f>
        <x:v>150</x:v>
      </x:c>
      <x:c r="V208" s="389" t="n">
        <x:f>IF(OR(NOT(ISNUMBER(U208)),NOT(ISNUMBER($O$1)),$O$1&lt;=0),"",IF(Q208="seconds",U208/$O$1,IF(Q208="reps/leg",2*U208,IF(Q208="reps",U208,""))))</x:f>
        <x:v>50</x:v>
      </x:c>
      <x:c r="W208" s="361" t="str">
        <x:f>IF(OR(COUNTIFS(Strategy!$B$36:$B$90,P208)&lt;&gt;1,COUNTIFS(Strategy!$B$36:$B$90,P208,Strategy!$D$36:$D$90,"&lt;&gt;")&lt;&gt;1),"",INDEX(Strategy!$D$36:$D$90,MATCH(P208,Strategy!$B$36:$B$90,0)))</x:f>
        <x:v>seconds</x:v>
      </x:c>
      <x:c r="X208" s="370" t="n">
        <x:f>IF(OR(COUNT(T208:V208)&lt;&gt;3,Q208&lt;&gt;W208,T208&lt;0,T208&gt;10),"",T208*V208)</x:f>
        <x:v>300</x:v>
      </x:c>
      <x:c r="Y208" s="374" t="str">
        <x:v>Core: one 30-second work interval per round; rest excluded.</x:v>
      </x:c>
    </x:row>
    <x:row r="209" ht="15" hidden="0" customHeight="1">
      <x:c r="N209" s="363" t="n">
        <x:f>Daily!A43</x:f>
        <x:v>46391.5</x:v>
      </x:c>
      <x:c r="O209" s="359" t="str">
        <x:f>Daily!D43</x:f>
        <x:v>Skill A + interval circuit</x:v>
      </x:c>
      <x:c r="P209" s="371" t="str">
        <x:v>Push-up</x:v>
      </x:c>
      <x:c r="Q209" s="360" t="str">
        <x:v>seconds</x:v>
      </x:c>
      <x:c r="R209" s="365" t="n">
        <x:v>5</x:v>
      </x:c>
      <x:c r="S209" s="365" t="n">
        <x:v>30</x:v>
      </x:c>
      <x:c r="T209" s="366" t="n">
        <x:f>IF(OR(COUNTIFS(Strategy!$B$36:$B$90,P209)&lt;&gt;1,COUNTIFS(Strategy!$B$36:$B$90,P209,Strategy!$C$36:$C$90,"&lt;&gt;")&lt;&gt;1),"",INDEX(Strategy!$C$36:$C$90,MATCH(P209,Strategy!$B$36:$B$90,0)))</x:f>
        <x:v>4</x:v>
      </x:c>
      <x:c r="U209" s="366" t="n">
        <x:f>IF(OR(COUNT(R209:S209)&lt;&gt;2,R209&lt;0,R209&lt;&gt;INT(R209),S209&lt;=0),"",R209*S209)</x:f>
        <x:v>150</x:v>
      </x:c>
      <x:c r="V209" s="388" t="n">
        <x:f>IF(OR(NOT(ISNUMBER(U209)),NOT(ISNUMBER($O$1)),$O$1&lt;=0),"",IF(Q209="seconds",U209/$O$1,IF(Q209="reps/leg",2*U209,IF(Q209="reps",U209,""))))</x:f>
        <x:v>50</x:v>
      </x:c>
      <x:c r="W209" s="359" t="str">
        <x:f>IF(OR(COUNTIFS(Strategy!$B$36:$B$90,P209)&lt;&gt;1,COUNTIFS(Strategy!$B$36:$B$90,P209,Strategy!$D$36:$D$90,"&lt;&gt;")&lt;&gt;1),"",INDEX(Strategy!$D$36:$D$90,MATCH(P209,Strategy!$B$36:$B$90,0)))</x:f>
        <x:v>seconds</x:v>
      </x:c>
      <x:c r="X209" s="369" t="n">
        <x:f>IF(OR(COUNT(T209:V209)&lt;&gt;3,Q209&lt;&gt;W209,T209&lt;0,T209&gt;10),"",T209*V209)</x:f>
        <x:v>200</x:v>
      </x:c>
      <x:c r="Y209" s="373" t="str">
        <x:v>Core: one 30-second work interval per round; rest excluded.</x:v>
      </x:c>
    </x:row>
    <x:row r="210" ht="15" hidden="0" customHeight="1">
      <x:c r="N210" s="364" t="n">
        <x:f>Daily!A43</x:f>
        <x:v>46391.5</x:v>
      </x:c>
      <x:c r="O210" s="361" t="str">
        <x:f>Daily!D43</x:f>
        <x:v>Skill A + interval circuit</x:v>
      </x:c>
      <x:c r="P210" s="372" t="str">
        <x:v>Weighted squat</x:v>
      </x:c>
      <x:c r="Q210" s="362" t="str">
        <x:v>seconds</x:v>
      </x:c>
      <x:c r="R210" s="367" t="n">
        <x:v>5</x:v>
      </x:c>
      <x:c r="S210" s="367" t="n">
        <x:v>30</x:v>
      </x:c>
      <x:c r="T210" s="368" t="n">
        <x:f>IF(OR(COUNTIFS(Strategy!$B$36:$B$90,P210)&lt;&gt;1,COUNTIFS(Strategy!$B$36:$B$90,P210,Strategy!$C$36:$C$90,"&lt;&gt;")&lt;&gt;1),"",INDEX(Strategy!$C$36:$C$90,MATCH(P210,Strategy!$B$36:$B$90,0)))</x:f>
        <x:v>5</x:v>
      </x:c>
      <x:c r="U210" s="368" t="n">
        <x:f>IF(OR(COUNT(R210:S210)&lt;&gt;2,R210&lt;0,R210&lt;&gt;INT(R210),S210&lt;=0),"",R210*S210)</x:f>
        <x:v>150</x:v>
      </x:c>
      <x:c r="V210" s="389" t="n">
        <x:f>IF(OR(NOT(ISNUMBER(U210)),NOT(ISNUMBER($O$1)),$O$1&lt;=0),"",IF(Q210="seconds",U210/$O$1,IF(Q210="reps/leg",2*U210,IF(Q210="reps",U210,""))))</x:f>
        <x:v>50</x:v>
      </x:c>
      <x:c r="W210" s="361" t="str">
        <x:f>IF(OR(COUNTIFS(Strategy!$B$36:$B$90,P210)&lt;&gt;1,COUNTIFS(Strategy!$B$36:$B$90,P210,Strategy!$D$36:$D$90,"&lt;&gt;")&lt;&gt;1),"",INDEX(Strategy!$D$36:$D$90,MATCH(P210,Strategy!$B$36:$B$90,0)))</x:f>
        <x:v>seconds</x:v>
      </x:c>
      <x:c r="X210" s="370" t="n">
        <x:f>IF(OR(COUNT(T210:V210)&lt;&gt;3,Q210&lt;&gt;W210,T210&lt;0,T210&gt;10),"",T210*V210)</x:f>
        <x:v>250</x:v>
      </x:c>
      <x:c r="Y210" s="374" t="str">
        <x:v>Core: one 30-second work interval per round; rest excluded.</x:v>
      </x:c>
    </x:row>
    <x:row r="211" ht="15" hidden="0" customHeight="1">
      <x:c r="N211" s="363" t="n">
        <x:f>Daily!A43</x:f>
        <x:v>46391.5</x:v>
      </x:c>
      <x:c r="O211" s="359" t="str">
        <x:f>Daily!D43</x:f>
        <x:v>Skill A + interval circuit</x:v>
      </x:c>
      <x:c r="P211" s="371" t="str">
        <x:v>Upside-down hanging shoulder/ab work</x:v>
      </x:c>
      <x:c r="Q211" s="360" t="str">
        <x:v>seconds</x:v>
      </x:c>
      <x:c r="R211" s="365" t="n">
        <x:v>5</x:v>
      </x:c>
      <x:c r="S211" s="365" t="n">
        <x:v>30</x:v>
      </x:c>
      <x:c r="T211" s="366" t="n">
        <x:f>IF(OR(COUNTIFS(Strategy!$B$36:$B$90,P211)&lt;&gt;1,COUNTIFS(Strategy!$B$36:$B$90,P211,Strategy!$C$36:$C$90,"&lt;&gt;")&lt;&gt;1),"",INDEX(Strategy!$C$36:$C$90,MATCH(P211,Strategy!$B$36:$B$90,0)))</x:f>
        <x:v>5</x:v>
      </x:c>
      <x:c r="U211" s="366" t="n">
        <x:f>IF(OR(COUNT(R211:S211)&lt;&gt;2,R211&lt;0,R211&lt;&gt;INT(R211),S211&lt;=0),"",R211*S211)</x:f>
        <x:v>150</x:v>
      </x:c>
      <x:c r="V211" s="388" t="n">
        <x:f>IF(OR(NOT(ISNUMBER(U211)),NOT(ISNUMBER($O$1)),$O$1&lt;=0),"",IF(Q211="seconds",U211/$O$1,IF(Q211="reps/leg",2*U211,IF(Q211="reps",U211,""))))</x:f>
        <x:v>50</x:v>
      </x:c>
      <x:c r="W211" s="359" t="str">
        <x:f>IF(OR(COUNTIFS(Strategy!$B$36:$B$90,P211)&lt;&gt;1,COUNTIFS(Strategy!$B$36:$B$90,P211,Strategy!$D$36:$D$90,"&lt;&gt;")&lt;&gt;1),"",INDEX(Strategy!$D$36:$D$90,MATCH(P211,Strategy!$B$36:$B$90,0)))</x:f>
        <x:v>seconds</x:v>
      </x:c>
      <x:c r="X211" s="369" t="n">
        <x:f>IF(OR(COUNT(T211:V211)&lt;&gt;3,Q211&lt;&gt;W211,T211&lt;0,T211&gt;10),"",T211*V211)</x:f>
        <x:v>250</x:v>
      </x:c>
      <x:c r="Y211" s="373" t="str">
        <x:v>Core: one 30-second work interval per round; rest excluded.</x:v>
      </x:c>
    </x:row>
    <x:row r="212" ht="15" hidden="0" customHeight="1">
      <x:c r="N212" s="364" t="n">
        <x:f>Daily!A44</x:f>
        <x:v>46392.5</x:v>
      </x:c>
      <x:c r="O212" s="361" t="str">
        <x:f>Daily!D44</x:f>
        <x:v>Handstand technique</x:v>
      </x:c>
      <x:c r="P212" s="372" t="str">
        <x:v>Wrist/shoulder mobility</x:v>
      </x:c>
      <x:c r="Q212" s="362" t="str">
        <x:v>seconds</x:v>
      </x:c>
      <x:c r="R212" s="367" t="n">
        <x:v>1</x:v>
      </x:c>
      <x:c r="S212" s="367" t="n">
        <x:v>120</x:v>
      </x:c>
      <x:c r="T212" s="368" t="n">
        <x:f>IF(OR(COUNTIFS(Strategy!$B$36:$B$90,P212)&lt;&gt;1,COUNTIFS(Strategy!$B$36:$B$90,P212,Strategy!$C$36:$C$90,"&lt;&gt;")&lt;&gt;1),"",INDEX(Strategy!$C$36:$C$90,MATCH(P212,Strategy!$B$36:$B$90,0)))</x:f>
        <x:v>1</x:v>
      </x:c>
      <x:c r="U212" s="368" t="n">
        <x:f>IF(OR(COUNT(R212:S212)&lt;&gt;2,R212&lt;0,R212&lt;&gt;INT(R212),S212&lt;=0),"",R212*S212)</x:f>
        <x:v>120</x:v>
      </x:c>
      <x:c r="V212" s="389" t="n">
        <x:f>IF(OR(NOT(ISNUMBER(U212)),NOT(ISNUMBER($O$1)),$O$1&lt;=0),"",IF(Q212="seconds",U212/$O$1,IF(Q212="reps/leg",2*U212,IF(Q212="reps",U212,""))))</x:f>
        <x:v>40</x:v>
      </x:c>
      <x:c r="W212" s="361" t="str">
        <x:f>IF(OR(COUNTIFS(Strategy!$B$36:$B$90,P212)&lt;&gt;1,COUNTIFS(Strategy!$B$36:$B$90,P212,Strategy!$D$36:$D$90,"&lt;&gt;")&lt;&gt;1),"",INDEX(Strategy!$D$36:$D$90,MATCH(P212,Strategy!$B$36:$B$90,0)))</x:f>
        <x:v>seconds</x:v>
      </x:c>
      <x:c r="X212" s="370" t="n">
        <x:f>IF(OR(COUNT(T212:V212)&lt;&gt;3,Q212&lt;&gt;W212,T212&lt;0,T212&gt;10),"",T212*V212)</x:f>
        <x:v>40</x:v>
      </x:c>
      <x:c r="Y212" s="374" t="str"/>
    </x:row>
    <x:row r="213" ht="15" hidden="0" customHeight="1">
      <x:c r="N213" s="363" t="n">
        <x:f>Daily!A44</x:f>
        <x:v>46392.5</x:v>
      </x:c>
      <x:c r="O213" s="359" t="str">
        <x:f>Daily!D44</x:f>
        <x:v>Handstand technique</x:v>
      </x:c>
      <x:c r="P213" s="371" t="str">
        <x:v>Easy chest-to-wall hold</x:v>
      </x:c>
      <x:c r="Q213" s="360" t="str">
        <x:v>seconds</x:v>
      </x:c>
      <x:c r="R213" s="365" t="n">
        <x:v>3</x:v>
      </x:c>
      <x:c r="S213" s="365" t="n">
        <x:v>15</x:v>
      </x:c>
      <x:c r="T213" s="366" t="n">
        <x:f>IF(OR(COUNTIFS(Strategy!$B$36:$B$90,P213)&lt;&gt;1,COUNTIFS(Strategy!$B$36:$B$90,P213,Strategy!$C$36:$C$90,"&lt;&gt;")&lt;&gt;1),"",INDEX(Strategy!$C$36:$C$90,MATCH(P213,Strategy!$B$36:$B$90,0)))</x:f>
        <x:v>1</x:v>
      </x:c>
      <x:c r="U213" s="366" t="n">
        <x:f>IF(OR(COUNT(R213:S213)&lt;&gt;2,R213&lt;0,R213&lt;&gt;INT(R213),S213&lt;=0),"",R213*S213)</x:f>
        <x:v>45</x:v>
      </x:c>
      <x:c r="V213" s="388" t="n">
        <x:f>IF(OR(NOT(ISNUMBER(U213)),NOT(ISNUMBER($O$1)),$O$1&lt;=0),"",IF(Q213="seconds",U213/$O$1,IF(Q213="reps/leg",2*U213,IF(Q213="reps",U213,""))))</x:f>
        <x:v>15</x:v>
      </x:c>
      <x:c r="W213" s="359" t="str">
        <x:f>IF(OR(COUNTIFS(Strategy!$B$36:$B$90,P213)&lt;&gt;1,COUNTIFS(Strategy!$B$36:$B$90,P213,Strategy!$D$36:$D$90,"&lt;&gt;")&lt;&gt;1),"",INDEX(Strategy!$D$36:$D$90,MATCH(P213,Strategy!$B$36:$B$90,0)))</x:f>
        <x:v>seconds</x:v>
      </x:c>
      <x:c r="X213" s="369" t="n">
        <x:f>IF(OR(COUNT(T213:V213)&lt;&gt;3,Q213&lt;&gt;W213,T213&lt;0,T213&gt;10),"",T213*V213)</x:f>
        <x:v>15</x:v>
      </x:c>
      <x:c r="Y213" s="373" t="str"/>
    </x:row>
    <x:row r="214" ht="15" hidden="0" customHeight="1">
      <x:c r="N214" s="364" t="n">
        <x:f>Daily!A44</x:f>
        <x:v>46392.5</x:v>
      </x:c>
      <x:c r="O214" s="361" t="str">
        <x:f>Daily!D44</x:f>
        <x:v>Handstand technique</x:v>
      </x:c>
      <x:c r="P214" s="372" t="str">
        <x:v>Wall handstand line drill</x:v>
      </x:c>
      <x:c r="Q214" s="362" t="str">
        <x:v>seconds</x:v>
      </x:c>
      <x:c r="R214" s="367" t="n">
        <x:v>2</x:v>
      </x:c>
      <x:c r="S214" s="367" t="n">
        <x:v>15</x:v>
      </x:c>
      <x:c r="T214" s="368" t="n">
        <x:f>IF(OR(COUNTIFS(Strategy!$B$36:$B$90,P214)&lt;&gt;1,COUNTIFS(Strategy!$B$36:$B$90,P214,Strategy!$C$36:$C$90,"&lt;&gt;")&lt;&gt;1),"",INDEX(Strategy!$C$36:$C$90,MATCH(P214,Strategy!$B$36:$B$90,0)))</x:f>
        <x:v>1</x:v>
      </x:c>
      <x:c r="U214" s="368" t="n">
        <x:f>IF(OR(COUNT(R214:S214)&lt;&gt;2,R214&lt;0,R214&lt;&gt;INT(R214),S214&lt;=0),"",R214*S214)</x:f>
        <x:v>30</x:v>
      </x:c>
      <x:c r="V214" s="389" t="n">
        <x:f>IF(OR(NOT(ISNUMBER(U214)),NOT(ISNUMBER($O$1)),$O$1&lt;=0),"",IF(Q214="seconds",U214/$O$1,IF(Q214="reps/leg",2*U214,IF(Q214="reps",U214,""))))</x:f>
        <x:v>10</x:v>
      </x:c>
      <x:c r="W214" s="361" t="str">
        <x:f>IF(OR(COUNTIFS(Strategy!$B$36:$B$90,P214)&lt;&gt;1,COUNTIFS(Strategy!$B$36:$B$90,P214,Strategy!$D$36:$D$90,"&lt;&gt;")&lt;&gt;1),"",INDEX(Strategy!$D$36:$D$90,MATCH(P214,Strategy!$B$36:$B$90,0)))</x:f>
        <x:v>seconds</x:v>
      </x:c>
      <x:c r="X214" s="370" t="n">
        <x:f>IF(OR(COUNT(T214:V214)&lt;&gt;3,Q214&lt;&gt;W214,T214&lt;0,T214&gt;10),"",T214*V214)</x:f>
        <x:v>10</x:v>
      </x:c>
      <x:c r="Y214" s="374" t="str"/>
    </x:row>
    <x:row r="215" ht="15" hidden="0" customHeight="1">
      <x:c r="N215" s="363" t="n">
        <x:f>Daily!A45</x:f>
        <x:v>46394.5</x:v>
      </x:c>
      <x:c r="O215" s="359" t="str">
        <x:f>Daily!D45</x:f>
        <x:v>Skill B + circuit</x:v>
      </x:c>
      <x:c r="P215" s="371" t="str">
        <x:v>Full-ROM wall HSPU</x:v>
      </x:c>
      <x:c r="Q215" s="360" t="str">
        <x:v>reps</x:v>
      </x:c>
      <x:c r="R215" s="365" t="n">
        <x:v>3</x:v>
      </x:c>
      <x:c r="S215" s="365" t="n">
        <x:v>1</x:v>
      </x:c>
      <x:c r="T215" s="366" t="n">
        <x:f>IF(OR(COUNTIFS(Strategy!$B$36:$B$90,P215)&lt;&gt;1,COUNTIFS(Strategy!$B$36:$B$90,P215,Strategy!$C$36:$C$90,"&lt;&gt;")&lt;&gt;1),"",INDEX(Strategy!$C$36:$C$90,MATCH(P215,Strategy!$B$36:$B$90,0)))</x:f>
        <x:v>8</x:v>
      </x:c>
      <x:c r="U215" s="366" t="n">
        <x:f>IF(OR(COUNT(R215:S215)&lt;&gt;2,R215&lt;0,R215&lt;&gt;INT(R215),S215&lt;=0),"",R215*S215)</x:f>
        <x:v>3</x:v>
      </x:c>
      <x:c r="V215" s="388" t="n">
        <x:f>IF(OR(NOT(ISNUMBER(U215)),NOT(ISNUMBER($O$1)),$O$1&lt;=0),"",IF(Q215="seconds",U215/$O$1,IF(Q215="reps/leg",2*U215,IF(Q215="reps",U215,""))))</x:f>
        <x:v>3</x:v>
      </x:c>
      <x:c r="W215" s="359" t="str">
        <x:f>IF(OR(COUNTIFS(Strategy!$B$36:$B$90,P215)&lt;&gt;1,COUNTIFS(Strategy!$B$36:$B$90,P215,Strategy!$D$36:$D$90,"&lt;&gt;")&lt;&gt;1),"",INDEX(Strategy!$D$36:$D$90,MATCH(P215,Strategy!$B$36:$B$90,0)))</x:f>
        <x:v>reps</x:v>
      </x:c>
      <x:c r="X215" s="369" t="n">
        <x:f>IF(OR(COUNT(T215:V215)&lt;&gt;3,Q215&lt;&gt;W215,T215&lt;0,T215&gt;10),"",T215*V215)</x:f>
        <x:v>24</x:v>
      </x:c>
      <x:c r="Y215" s="373" t="str">
        <x:v>One rep per planned attempt.</x:v>
      </x:c>
    </x:row>
    <x:row r="216" ht="15" hidden="0" customHeight="1">
      <x:c r="N216" s="364" t="n">
        <x:f>Daily!A45</x:f>
        <x:v>46394.5</x:v>
      </x:c>
      <x:c r="O216" s="361" t="str">
        <x:f>Daily!D45</x:f>
        <x:v>Skill B + circuit</x:v>
      </x:c>
      <x:c r="P216" s="372" t="str">
        <x:v>Pike push-up back-off</x:v>
      </x:c>
      <x:c r="Q216" s="362" t="str">
        <x:v>reps</x:v>
      </x:c>
      <x:c r="R216" s="367" t="n">
        <x:v>2</x:v>
      </x:c>
      <x:c r="S216" s="367" t="n">
        <x:v>4</x:v>
      </x:c>
      <x:c r="T216" s="368" t="n">
        <x:f>IF(OR(COUNTIFS(Strategy!$B$36:$B$90,P216)&lt;&gt;1,COUNTIFS(Strategy!$B$36:$B$90,P216,Strategy!$C$36:$C$90,"&lt;&gt;")&lt;&gt;1),"",INDEX(Strategy!$C$36:$C$90,MATCH(P216,Strategy!$B$36:$B$90,0)))</x:f>
        <x:v>4</x:v>
      </x:c>
      <x:c r="U216" s="368" t="n">
        <x:f>IF(OR(COUNT(R216:S216)&lt;&gt;2,R216&lt;0,R216&lt;&gt;INT(R216),S216&lt;=0),"",R216*S216)</x:f>
        <x:v>8</x:v>
      </x:c>
      <x:c r="V216" s="389" t="n">
        <x:f>IF(OR(NOT(ISNUMBER(U216)),NOT(ISNUMBER($O$1)),$O$1&lt;=0),"",IF(Q216="seconds",U216/$O$1,IF(Q216="reps/leg",2*U216,IF(Q216="reps",U216,""))))</x:f>
        <x:v>8</x:v>
      </x:c>
      <x:c r="W216" s="361" t="str">
        <x:f>IF(OR(COUNTIFS(Strategy!$B$36:$B$90,P216)&lt;&gt;1,COUNTIFS(Strategy!$B$36:$B$90,P216,Strategy!$D$36:$D$90,"&lt;&gt;")&lt;&gt;1),"",INDEX(Strategy!$D$36:$D$90,MATCH(P216,Strategy!$B$36:$B$90,0)))</x:f>
        <x:v>reps</x:v>
      </x:c>
      <x:c r="X216" s="370" t="n">
        <x:f>IF(OR(COUNT(T216:V216)&lt;&gt;3,Q216&lt;&gt;W216,T216&lt;0,T216&gt;10),"",T216*V216)</x:f>
        <x:v>32</x:v>
      </x:c>
      <x:c r="Y216" s="374" t="str"/>
    </x:row>
    <x:row r="217" ht="15" hidden="0" customHeight="1">
      <x:c r="N217" s="363" t="n">
        <x:f>Daily!A45</x:f>
        <x:v>46394.5</x:v>
      </x:c>
      <x:c r="O217" s="359" t="str">
        <x:f>Daily!D45</x:f>
        <x:v>Skill B + circuit</x:v>
      </x:c>
      <x:c r="P217" s="371" t="str">
        <x:v>Clean pistol</x:v>
      </x:c>
      <x:c r="Q217" s="360" t="str">
        <x:v>reps/leg</x:v>
      </x:c>
      <x:c r="R217" s="365" t="n">
        <x:v>3</x:v>
      </x:c>
      <x:c r="S217" s="365" t="n">
        <x:v>2</x:v>
      </x:c>
      <x:c r="T217" s="366" t="n">
        <x:f>IF(OR(COUNTIFS(Strategy!$B$36:$B$90,P217)&lt;&gt;1,COUNTIFS(Strategy!$B$36:$B$90,P217,Strategy!$C$36:$C$90,"&lt;&gt;")&lt;&gt;1),"",INDEX(Strategy!$C$36:$C$90,MATCH(P217,Strategy!$B$36:$B$90,0)))</x:f>
        <x:v>8</x:v>
      </x:c>
      <x:c r="U217" s="366" t="n">
        <x:f>IF(OR(COUNT(R217:S217)&lt;&gt;2,R217&lt;0,R217&lt;&gt;INT(R217),S217&lt;=0),"",R217*S217)</x:f>
        <x:v>6</x:v>
      </x:c>
      <x:c r="V217" s="388" t="n">
        <x:f>IF(OR(NOT(ISNUMBER(U217)),NOT(ISNUMBER($O$1)),$O$1&lt;=0),"",IF(Q217="seconds",U217/$O$1,IF(Q217="reps/leg",2*U217,IF(Q217="reps",U217,""))))</x:f>
        <x:v>12</x:v>
      </x:c>
      <x:c r="W217" s="359" t="str">
        <x:f>IF(OR(COUNTIFS(Strategy!$B$36:$B$90,P217)&lt;&gt;1,COUNTIFS(Strategy!$B$36:$B$90,P217,Strategy!$D$36:$D$90,"&lt;&gt;")&lt;&gt;1),"",INDEX(Strategy!$D$36:$D$90,MATCH(P217,Strategy!$B$36:$B$90,0)))</x:f>
        <x:v>reps/leg</x:v>
      </x:c>
      <x:c r="X217" s="369" t="n">
        <x:f>IF(OR(COUNT(T217:V217)&lt;&gt;3,Q217&lt;&gt;W217,T217&lt;0,T217&gt;10),"",T217*V217)</x:f>
        <x:v>96</x:v>
      </x:c>
      <x:c r="Y217" s="373" t="str"/>
    </x:row>
    <x:row r="218" ht="15" hidden="0" customHeight="1">
      <x:c r="N218" s="364" t="n">
        <x:f>Daily!A45</x:f>
        <x:v>46394.5</x:v>
      </x:c>
      <x:c r="O218" s="361" t="str">
        <x:f>Daily!D45</x:f>
        <x:v>Skill B + circuit</x:v>
      </x:c>
      <x:c r="P218" s="372" t="str">
        <x:v>Pull-up</x:v>
      </x:c>
      <x:c r="Q218" s="362" t="str">
        <x:v>seconds</x:v>
      </x:c>
      <x:c r="R218" s="367" t="n">
        <x:v>5</x:v>
      </x:c>
      <x:c r="S218" s="367" t="n">
        <x:v>30</x:v>
      </x:c>
      <x:c r="T218" s="368" t="n">
        <x:f>IF(OR(COUNTIFS(Strategy!$B$36:$B$90,P218)&lt;&gt;1,COUNTIFS(Strategy!$B$36:$B$90,P218,Strategy!$C$36:$C$90,"&lt;&gt;")&lt;&gt;1),"",INDEX(Strategy!$C$36:$C$90,MATCH(P218,Strategy!$B$36:$B$90,0)))</x:f>
        <x:v>6</x:v>
      </x:c>
      <x:c r="U218" s="368" t="n">
        <x:f>IF(OR(COUNT(R218:S218)&lt;&gt;2,R218&lt;0,R218&lt;&gt;INT(R218),S218&lt;=0),"",R218*S218)</x:f>
        <x:v>150</x:v>
      </x:c>
      <x:c r="V218" s="389" t="n">
        <x:f>IF(OR(NOT(ISNUMBER(U218)),NOT(ISNUMBER($O$1)),$O$1&lt;=0),"",IF(Q218="seconds",U218/$O$1,IF(Q218="reps/leg",2*U218,IF(Q218="reps",U218,""))))</x:f>
        <x:v>50</x:v>
      </x:c>
      <x:c r="W218" s="361" t="str">
        <x:f>IF(OR(COUNTIFS(Strategy!$B$36:$B$90,P218)&lt;&gt;1,COUNTIFS(Strategy!$B$36:$B$90,P218,Strategy!$D$36:$D$90,"&lt;&gt;")&lt;&gt;1),"",INDEX(Strategy!$D$36:$D$90,MATCH(P218,Strategy!$B$36:$B$90,0)))</x:f>
        <x:v>seconds</x:v>
      </x:c>
      <x:c r="X218" s="370" t="n">
        <x:f>IF(OR(COUNT(T218:V218)&lt;&gt;3,Q218&lt;&gt;W218,T218&lt;0,T218&gt;10),"",T218*V218)</x:f>
        <x:v>300</x:v>
      </x:c>
      <x:c r="Y218" s="374" t="str">
        <x:v>Core: one 30-second work interval per round; rest excluded.</x:v>
      </x:c>
    </x:row>
    <x:row r="219" ht="15" hidden="0" customHeight="1">
      <x:c r="N219" s="363" t="n">
        <x:f>Daily!A45</x:f>
        <x:v>46394.5</x:v>
      </x:c>
      <x:c r="O219" s="359" t="str">
        <x:f>Daily!D45</x:f>
        <x:v>Skill B + circuit</x:v>
      </x:c>
      <x:c r="P219" s="371" t="str">
        <x:v>Push-up</x:v>
      </x:c>
      <x:c r="Q219" s="360" t="str">
        <x:v>seconds</x:v>
      </x:c>
      <x:c r="R219" s="365" t="n">
        <x:v>5</x:v>
      </x:c>
      <x:c r="S219" s="365" t="n">
        <x:v>30</x:v>
      </x:c>
      <x:c r="T219" s="366" t="n">
        <x:f>IF(OR(COUNTIFS(Strategy!$B$36:$B$90,P219)&lt;&gt;1,COUNTIFS(Strategy!$B$36:$B$90,P219,Strategy!$C$36:$C$90,"&lt;&gt;")&lt;&gt;1),"",INDEX(Strategy!$C$36:$C$90,MATCH(P219,Strategy!$B$36:$B$90,0)))</x:f>
        <x:v>4</x:v>
      </x:c>
      <x:c r="U219" s="366" t="n">
        <x:f>IF(OR(COUNT(R219:S219)&lt;&gt;2,R219&lt;0,R219&lt;&gt;INT(R219),S219&lt;=0),"",R219*S219)</x:f>
        <x:v>150</x:v>
      </x:c>
      <x:c r="V219" s="388" t="n">
        <x:f>IF(OR(NOT(ISNUMBER(U219)),NOT(ISNUMBER($O$1)),$O$1&lt;=0),"",IF(Q219="seconds",U219/$O$1,IF(Q219="reps/leg",2*U219,IF(Q219="reps",U219,""))))</x:f>
        <x:v>50</x:v>
      </x:c>
      <x:c r="W219" s="359" t="str">
        <x:f>IF(OR(COUNTIFS(Strategy!$B$36:$B$90,P219)&lt;&gt;1,COUNTIFS(Strategy!$B$36:$B$90,P219,Strategy!$D$36:$D$90,"&lt;&gt;")&lt;&gt;1),"",INDEX(Strategy!$D$36:$D$90,MATCH(P219,Strategy!$B$36:$B$90,0)))</x:f>
        <x:v>seconds</x:v>
      </x:c>
      <x:c r="X219" s="369" t="n">
        <x:f>IF(OR(COUNT(T219:V219)&lt;&gt;3,Q219&lt;&gt;W219,T219&lt;0,T219&gt;10),"",T219*V219)</x:f>
        <x:v>200</x:v>
      </x:c>
      <x:c r="Y219" s="373" t="str">
        <x:v>Core: one 30-second work interval per round; rest excluded.</x:v>
      </x:c>
    </x:row>
    <x:row r="220" ht="15" hidden="0" customHeight="1">
      <x:c r="N220" s="364" t="n">
        <x:f>Daily!A45</x:f>
        <x:v>46394.5</x:v>
      </x:c>
      <x:c r="O220" s="361" t="str">
        <x:f>Daily!D45</x:f>
        <x:v>Skill B + circuit</x:v>
      </x:c>
      <x:c r="P220" s="372" t="str">
        <x:v>Weighted squat</x:v>
      </x:c>
      <x:c r="Q220" s="362" t="str">
        <x:v>seconds</x:v>
      </x:c>
      <x:c r="R220" s="367" t="n">
        <x:v>5</x:v>
      </x:c>
      <x:c r="S220" s="367" t="n">
        <x:v>30</x:v>
      </x:c>
      <x:c r="T220" s="368" t="n">
        <x:f>IF(OR(COUNTIFS(Strategy!$B$36:$B$90,P220)&lt;&gt;1,COUNTIFS(Strategy!$B$36:$B$90,P220,Strategy!$C$36:$C$90,"&lt;&gt;")&lt;&gt;1),"",INDEX(Strategy!$C$36:$C$90,MATCH(P220,Strategy!$B$36:$B$90,0)))</x:f>
        <x:v>5</x:v>
      </x:c>
      <x:c r="U220" s="368" t="n">
        <x:f>IF(OR(COUNT(R220:S220)&lt;&gt;2,R220&lt;0,R220&lt;&gt;INT(R220),S220&lt;=0),"",R220*S220)</x:f>
        <x:v>150</x:v>
      </x:c>
      <x:c r="V220" s="389" t="n">
        <x:f>IF(OR(NOT(ISNUMBER(U220)),NOT(ISNUMBER($O$1)),$O$1&lt;=0),"",IF(Q220="seconds",U220/$O$1,IF(Q220="reps/leg",2*U220,IF(Q220="reps",U220,""))))</x:f>
        <x:v>50</x:v>
      </x:c>
      <x:c r="W220" s="361" t="str">
        <x:f>IF(OR(COUNTIFS(Strategy!$B$36:$B$90,P220)&lt;&gt;1,COUNTIFS(Strategy!$B$36:$B$90,P220,Strategy!$D$36:$D$90,"&lt;&gt;")&lt;&gt;1),"",INDEX(Strategy!$D$36:$D$90,MATCH(P220,Strategy!$B$36:$B$90,0)))</x:f>
        <x:v>seconds</x:v>
      </x:c>
      <x:c r="X220" s="370" t="n">
        <x:f>IF(OR(COUNT(T220:V220)&lt;&gt;3,Q220&lt;&gt;W220,T220&lt;0,T220&gt;10),"",T220*V220)</x:f>
        <x:v>250</x:v>
      </x:c>
      <x:c r="Y220" s="374" t="str">
        <x:v>Core: one 30-second work interval per round; rest excluded.</x:v>
      </x:c>
    </x:row>
    <x:row r="221" ht="15" hidden="0" customHeight="1">
      <x:c r="N221" s="363" t="n">
        <x:f>Daily!A45</x:f>
        <x:v>46394.5</x:v>
      </x:c>
      <x:c r="O221" s="359" t="str">
        <x:f>Daily!D45</x:f>
        <x:v>Skill B + circuit</x:v>
      </x:c>
      <x:c r="P221" s="371" t="str">
        <x:v>Upside-down hanging shoulder/ab work</x:v>
      </x:c>
      <x:c r="Q221" s="360" t="str">
        <x:v>seconds</x:v>
      </x:c>
      <x:c r="R221" s="365" t="n">
        <x:v>5</x:v>
      </x:c>
      <x:c r="S221" s="365" t="n">
        <x:v>30</x:v>
      </x:c>
      <x:c r="T221" s="366" t="n">
        <x:f>IF(OR(COUNTIFS(Strategy!$B$36:$B$90,P221)&lt;&gt;1,COUNTIFS(Strategy!$B$36:$B$90,P221,Strategy!$C$36:$C$90,"&lt;&gt;")&lt;&gt;1),"",INDEX(Strategy!$C$36:$C$90,MATCH(P221,Strategy!$B$36:$B$90,0)))</x:f>
        <x:v>5</x:v>
      </x:c>
      <x:c r="U221" s="366" t="n">
        <x:f>IF(OR(COUNT(R221:S221)&lt;&gt;2,R221&lt;0,R221&lt;&gt;INT(R221),S221&lt;=0),"",R221*S221)</x:f>
        <x:v>150</x:v>
      </x:c>
      <x:c r="V221" s="388" t="n">
        <x:f>IF(OR(NOT(ISNUMBER(U221)),NOT(ISNUMBER($O$1)),$O$1&lt;=0),"",IF(Q221="seconds",U221/$O$1,IF(Q221="reps/leg",2*U221,IF(Q221="reps",U221,""))))</x:f>
        <x:v>50</x:v>
      </x:c>
      <x:c r="W221" s="359" t="str">
        <x:f>IF(OR(COUNTIFS(Strategy!$B$36:$B$90,P221)&lt;&gt;1,COUNTIFS(Strategy!$B$36:$B$90,P221,Strategy!$D$36:$D$90,"&lt;&gt;")&lt;&gt;1),"",INDEX(Strategy!$D$36:$D$90,MATCH(P221,Strategy!$B$36:$B$90,0)))</x:f>
        <x:v>seconds</x:v>
      </x:c>
      <x:c r="X221" s="369" t="n">
        <x:f>IF(OR(COUNT(T221:V221)&lt;&gt;3,Q221&lt;&gt;W221,T221&lt;0,T221&gt;10),"",T221*V221)</x:f>
        <x:v>250</x:v>
      </x:c>
      <x:c r="Y221" s="373" t="str">
        <x:v>Core: one 30-second work interval per round; rest excluded.</x:v>
      </x:c>
    </x:row>
    <x:row r="222" ht="15" hidden="0" customHeight="1">
      <x:c r="N222" s="364" t="n">
        <x:f>Daily!A46</x:f>
        <x:v>46396.5</x:v>
      </x:c>
      <x:c r="O222" s="361" t="str">
        <x:f>Daily!D46</x:f>
        <x:v>Skill micro-session</x:v>
      </x:c>
      <x:c r="P222" s="372" t="str">
        <x:v>Wrist/shoulder mobility</x:v>
      </x:c>
      <x:c r="Q222" s="362" t="str">
        <x:v>seconds</x:v>
      </x:c>
      <x:c r="R222" s="367" t="n">
        <x:v>1</x:v>
      </x:c>
      <x:c r="S222" s="367" t="n">
        <x:v>120</x:v>
      </x:c>
      <x:c r="T222" s="368" t="n">
        <x:f>IF(OR(COUNTIFS(Strategy!$B$36:$B$90,P222)&lt;&gt;1,COUNTIFS(Strategy!$B$36:$B$90,P222,Strategy!$C$36:$C$90,"&lt;&gt;")&lt;&gt;1),"",INDEX(Strategy!$C$36:$C$90,MATCH(P222,Strategy!$B$36:$B$90,0)))</x:f>
        <x:v>1</x:v>
      </x:c>
      <x:c r="U222" s="368" t="n">
        <x:f>IF(OR(COUNT(R222:S222)&lt;&gt;2,R222&lt;0,R222&lt;&gt;INT(R222),S222&lt;=0),"",R222*S222)</x:f>
        <x:v>120</x:v>
      </x:c>
      <x:c r="V222" s="389" t="n">
        <x:f>IF(OR(NOT(ISNUMBER(U222)),NOT(ISNUMBER($O$1)),$O$1&lt;=0),"",IF(Q222="seconds",U222/$O$1,IF(Q222="reps/leg",2*U222,IF(Q222="reps",U222,""))))</x:f>
        <x:v>40</x:v>
      </x:c>
      <x:c r="W222" s="361" t="str">
        <x:f>IF(OR(COUNTIFS(Strategy!$B$36:$B$90,P222)&lt;&gt;1,COUNTIFS(Strategy!$B$36:$B$90,P222,Strategy!$D$36:$D$90,"&lt;&gt;")&lt;&gt;1),"",INDEX(Strategy!$D$36:$D$90,MATCH(P222,Strategy!$B$36:$B$90,0)))</x:f>
        <x:v>seconds</x:v>
      </x:c>
      <x:c r="X222" s="370" t="n">
        <x:f>IF(OR(COUNT(T222:V222)&lt;&gt;3,Q222&lt;&gt;W222,T222&lt;0,T222&gt;10),"",T222*V222)</x:f>
        <x:v>40</x:v>
      </x:c>
      <x:c r="Y222" s="374" t="str"/>
    </x:row>
    <x:row r="223" ht="15" hidden="0" customHeight="1">
      <x:c r="N223" s="363" t="n">
        <x:f>Daily!A46</x:f>
        <x:v>46396.5</x:v>
      </x:c>
      <x:c r="O223" s="359" t="str">
        <x:f>Daily!D46</x:f>
        <x:v>Skill micro-session</x:v>
      </x:c>
      <x:c r="P223" s="371" t="str">
        <x:v>Easy chest-to-wall hold</x:v>
      </x:c>
      <x:c r="Q223" s="360" t="str">
        <x:v>seconds</x:v>
      </x:c>
      <x:c r="R223" s="365" t="n">
        <x:v>3</x:v>
      </x:c>
      <x:c r="S223" s="365" t="n">
        <x:v>15</x:v>
      </x:c>
      <x:c r="T223" s="366" t="n">
        <x:f>IF(OR(COUNTIFS(Strategy!$B$36:$B$90,P223)&lt;&gt;1,COUNTIFS(Strategy!$B$36:$B$90,P223,Strategy!$C$36:$C$90,"&lt;&gt;")&lt;&gt;1),"",INDEX(Strategy!$C$36:$C$90,MATCH(P223,Strategy!$B$36:$B$90,0)))</x:f>
        <x:v>1</x:v>
      </x:c>
      <x:c r="U223" s="366" t="n">
        <x:f>IF(OR(COUNT(R223:S223)&lt;&gt;2,R223&lt;0,R223&lt;&gt;INT(R223),S223&lt;=0),"",R223*S223)</x:f>
        <x:v>45</x:v>
      </x:c>
      <x:c r="V223" s="388" t="n">
        <x:f>IF(OR(NOT(ISNUMBER(U223)),NOT(ISNUMBER($O$1)),$O$1&lt;=0),"",IF(Q223="seconds",U223/$O$1,IF(Q223="reps/leg",2*U223,IF(Q223="reps",U223,""))))</x:f>
        <x:v>15</x:v>
      </x:c>
      <x:c r="W223" s="359" t="str">
        <x:f>IF(OR(COUNTIFS(Strategy!$B$36:$B$90,P223)&lt;&gt;1,COUNTIFS(Strategy!$B$36:$B$90,P223,Strategy!$D$36:$D$90,"&lt;&gt;")&lt;&gt;1),"",INDEX(Strategy!$D$36:$D$90,MATCH(P223,Strategy!$B$36:$B$90,0)))</x:f>
        <x:v>seconds</x:v>
      </x:c>
      <x:c r="X223" s="369" t="n">
        <x:f>IF(OR(COUNT(T223:V223)&lt;&gt;3,Q223&lt;&gt;W223,T223&lt;0,T223&gt;10),"",T223*V223)</x:f>
        <x:v>15</x:v>
      </x:c>
      <x:c r="Y223" s="373" t="str"/>
    </x:row>
    <x:row r="224" ht="15" hidden="0" customHeight="1">
      <x:c r="N224" s="364" t="n">
        <x:f>Daily!A46</x:f>
        <x:v>46396.5</x:v>
      </x:c>
      <x:c r="O224" s="361" t="str">
        <x:f>Daily!D46</x:f>
        <x:v>Skill micro-session</x:v>
      </x:c>
      <x:c r="P224" s="372" t="str">
        <x:v>Wall handstand line drill</x:v>
      </x:c>
      <x:c r="Q224" s="362" t="str">
        <x:v>seconds</x:v>
      </x:c>
      <x:c r="R224" s="367" t="n">
        <x:v>3</x:v>
      </x:c>
      <x:c r="S224" s="367" t="n">
        <x:v>15</x:v>
      </x:c>
      <x:c r="T224" s="368" t="n">
        <x:f>IF(OR(COUNTIFS(Strategy!$B$36:$B$90,P224)&lt;&gt;1,COUNTIFS(Strategy!$B$36:$B$90,P224,Strategy!$C$36:$C$90,"&lt;&gt;")&lt;&gt;1),"",INDEX(Strategy!$C$36:$C$90,MATCH(P224,Strategy!$B$36:$B$90,0)))</x:f>
        <x:v>1</x:v>
      </x:c>
      <x:c r="U224" s="368" t="n">
        <x:f>IF(OR(COUNT(R224:S224)&lt;&gt;2,R224&lt;0,R224&lt;&gt;INT(R224),S224&lt;=0),"",R224*S224)</x:f>
        <x:v>45</x:v>
      </x:c>
      <x:c r="V224" s="389" t="n">
        <x:f>IF(OR(NOT(ISNUMBER(U224)),NOT(ISNUMBER($O$1)),$O$1&lt;=0),"",IF(Q224="seconds",U224/$O$1,IF(Q224="reps/leg",2*U224,IF(Q224="reps",U224,""))))</x:f>
        <x:v>15</x:v>
      </x:c>
      <x:c r="W224" s="361" t="str">
        <x:f>IF(OR(COUNTIFS(Strategy!$B$36:$B$90,P224)&lt;&gt;1,COUNTIFS(Strategy!$B$36:$B$90,P224,Strategy!$D$36:$D$90,"&lt;&gt;")&lt;&gt;1),"",INDEX(Strategy!$D$36:$D$90,MATCH(P224,Strategy!$B$36:$B$90,0)))</x:f>
        <x:v>seconds</x:v>
      </x:c>
      <x:c r="X224" s="370" t="n">
        <x:f>IF(OR(COUNT(T224:V224)&lt;&gt;3,Q224&lt;&gt;W224,T224&lt;0,T224&gt;10),"",T224*V224)</x:f>
        <x:v>15</x:v>
      </x:c>
      <x:c r="Y224" s="374" t="str"/>
    </x:row>
    <x:row r="225" ht="15" hidden="0" customHeight="1">
      <x:c r="N225" s="363" t="n">
        <x:f>Daily!A47</x:f>
        <x:v>46398.5</x:v>
      </x:c>
      <x:c r="O225" s="359" t="str">
        <x:f>Daily!D47</x:f>
        <x:v>Skill A + interval circuit</x:v>
      </x:c>
      <x:c r="P225" s="371" t="str">
        <x:v>Muscle-up test</x:v>
      </x:c>
      <x:c r="Q225" s="360" t="str">
        <x:v>reps</x:v>
      </x:c>
      <x:c r="R225" s="365" t="n">
        <x:v>3</x:v>
      </x:c>
      <x:c r="S225" s="365" t="n">
        <x:v>1</x:v>
      </x:c>
      <x:c r="T225" s="366" t="n">
        <x:f>IF(OR(COUNTIFS(Strategy!$B$36:$B$90,P225)&lt;&gt;1,COUNTIFS(Strategy!$B$36:$B$90,P225,Strategy!$C$36:$C$90,"&lt;&gt;")&lt;&gt;1),"",INDEX(Strategy!$C$36:$C$90,MATCH(P225,Strategy!$B$36:$B$90,0)))</x:f>
        <x:v>8</x:v>
      </x:c>
      <x:c r="U225" s="366" t="n">
        <x:f>IF(OR(COUNT(R225:S225)&lt;&gt;2,R225&lt;0,R225&lt;&gt;INT(R225),S225&lt;=0),"",R225*S225)</x:f>
        <x:v>3</x:v>
      </x:c>
      <x:c r="V225" s="388" t="n">
        <x:f>IF(OR(NOT(ISNUMBER(U225)),NOT(ISNUMBER($O$1)),$O$1&lt;=0),"",IF(Q225="seconds",U225/$O$1,IF(Q225="reps/leg",2*U225,IF(Q225="reps",U225,""))))</x:f>
        <x:v>3</x:v>
      </x:c>
      <x:c r="W225" s="359" t="str">
        <x:f>IF(OR(COUNTIFS(Strategy!$B$36:$B$90,P225)&lt;&gt;1,COUNTIFS(Strategy!$B$36:$B$90,P225,Strategy!$D$36:$D$90,"&lt;&gt;")&lt;&gt;1),"",INDEX(Strategy!$D$36:$D$90,MATCH(P225,Strategy!$B$36:$B$90,0)))</x:f>
        <x:v>reps</x:v>
      </x:c>
      <x:c r="X225" s="369" t="n">
        <x:f>IF(OR(COUNT(T225:V225)&lt;&gt;3,Q225&lt;&gt;W225,T225&lt;0,T225&gt;10),"",T225*V225)</x:f>
        <x:v>24</x:v>
      </x:c>
      <x:c r="Y225" s="373" t="str">
        <x:v>One rep per planned attempt.</x:v>
      </x:c>
    </x:row>
    <x:row r="226" ht="15" hidden="0" customHeight="1">
      <x:c r="N226" s="364" t="n">
        <x:f>Daily!A47</x:f>
        <x:v>46398.5</x:v>
      </x:c>
      <x:c r="O226" s="361" t="str">
        <x:f>Daily!D47</x:f>
        <x:v>Skill A + interval circuit</x:v>
      </x:c>
      <x:c r="P226" s="372" t="str">
        <x:v>Pistol test</x:v>
      </x:c>
      <x:c r="Q226" s="362" t="str">
        <x:v>reps/leg</x:v>
      </x:c>
      <x:c r="R226" s="367" t="n">
        <x:v>1</x:v>
      </x:c>
      <x:c r="S226" s="367" t="n">
        <x:v>5</x:v>
      </x:c>
      <x:c r="T226" s="368" t="n">
        <x:f>IF(OR(COUNTIFS(Strategy!$B$36:$B$90,P226)&lt;&gt;1,COUNTIFS(Strategy!$B$36:$B$90,P226,Strategy!$C$36:$C$90,"&lt;&gt;")&lt;&gt;1),"",INDEX(Strategy!$C$36:$C$90,MATCH(P226,Strategy!$B$36:$B$90,0)))</x:f>
        <x:v>8</x:v>
      </x:c>
      <x:c r="U226" s="368" t="n">
        <x:f>IF(OR(COUNT(R226:S226)&lt;&gt;2,R226&lt;0,R226&lt;&gt;INT(R226),S226&lt;=0),"",R226*S226)</x:f>
        <x:v>5</x:v>
      </x:c>
      <x:c r="V226" s="389" t="n">
        <x:f>IF(OR(NOT(ISNUMBER(U226)),NOT(ISNUMBER($O$1)),$O$1&lt;=0),"",IF(Q226="seconds",U226/$O$1,IF(Q226="reps/leg",2*U226,IF(Q226="reps",U226,""))))</x:f>
        <x:v>10</x:v>
      </x:c>
      <x:c r="W226" s="361" t="str">
        <x:f>IF(OR(COUNTIFS(Strategy!$B$36:$B$90,P226)&lt;&gt;1,COUNTIFS(Strategy!$B$36:$B$90,P226,Strategy!$D$36:$D$90,"&lt;&gt;")&lt;&gt;1),"",INDEX(Strategy!$D$36:$D$90,MATCH(P226,Strategy!$B$36:$B$90,0)))</x:f>
        <x:v>reps/leg</x:v>
      </x:c>
      <x:c r="X226" s="370" t="n">
        <x:f>IF(OR(COUNT(T226:V226)&lt;&gt;3,Q226&lt;&gt;W226,T226&lt;0,T226&gt;10),"",T226*V226)</x:f>
        <x:v>80</x:v>
      </x:c>
      <x:c r="Y226" s="374" t="str">
        <x:v>Planning ceiling of 5 reps for the test; adjust before training.</x:v>
      </x:c>
    </x:row>
    <x:row r="227" ht="15" hidden="0" customHeight="1">
      <x:c r="N227" s="363" t="n">
        <x:f>Daily!A47</x:f>
        <x:v>46398.5</x:v>
      </x:c>
      <x:c r="O227" s="359" t="str">
        <x:f>Daily!D47</x:f>
        <x:v>Skill A + interval circuit</x:v>
      </x:c>
      <x:c r="P227" s="371" t="str">
        <x:v>Easy scapular pull-up</x:v>
      </x:c>
      <x:c r="Q227" s="360" t="str">
        <x:v>reps</x:v>
      </x:c>
      <x:c r="R227" s="365" t="n">
        <x:v>1</x:v>
      </x:c>
      <x:c r="S227" s="365" t="n">
        <x:v>5</x:v>
      </x:c>
      <x:c r="T227" s="366" t="n">
        <x:f>IF(OR(COUNTIFS(Strategy!$B$36:$B$90,P227)&lt;&gt;1,COUNTIFS(Strategy!$B$36:$B$90,P227,Strategy!$C$36:$C$90,"&lt;&gt;")&lt;&gt;1),"",INDEX(Strategy!$C$36:$C$90,MATCH(P227,Strategy!$B$36:$B$90,0)))</x:f>
        <x:v>1</x:v>
      </x:c>
      <x:c r="U227" s="366" t="n">
        <x:f>IF(OR(COUNT(R227:S227)&lt;&gt;2,R227&lt;0,R227&lt;&gt;INT(R227),S227&lt;=0),"",R227*S227)</x:f>
        <x:v>5</x:v>
      </x:c>
      <x:c r="V227" s="388" t="n">
        <x:f>IF(OR(NOT(ISNUMBER(U227)),NOT(ISNUMBER($O$1)),$O$1&lt;=0),"",IF(Q227="seconds",U227/$O$1,IF(Q227="reps/leg",2*U227,IF(Q227="reps",U227,""))))</x:f>
        <x:v>5</x:v>
      </x:c>
      <x:c r="W227" s="359" t="str">
        <x:f>IF(OR(COUNTIFS(Strategy!$B$36:$B$90,P227)&lt;&gt;1,COUNTIFS(Strategy!$B$36:$B$90,P227,Strategy!$D$36:$D$90,"&lt;&gt;")&lt;&gt;1),"",INDEX(Strategy!$D$36:$D$90,MATCH(P227,Strategy!$B$36:$B$90,0)))</x:f>
        <x:v>reps</x:v>
      </x:c>
      <x:c r="X227" s="369" t="n">
        <x:f>IF(OR(COUNT(T227:V227)&lt;&gt;3,Q227&lt;&gt;W227,T227&lt;0,T227&gt;10),"",T227*V227)</x:f>
        <x:v>5</x:v>
      </x:c>
      <x:c r="Y227" s="373" t="str">
        <x:v>Optional work is included in the planned ceiling; set sets to 0 to omit.</x:v>
      </x:c>
    </x:row>
    <x:row r="228" ht="15" hidden="0" customHeight="1">
      <x:c r="N228" s="364" t="n">
        <x:f>Daily!A47</x:f>
        <x:v>46398.5</x:v>
      </x:c>
      <x:c r="O228" s="361" t="str">
        <x:f>Daily!D47</x:f>
        <x:v>Skill A + interval circuit</x:v>
      </x:c>
      <x:c r="P228" s="372" t="str">
        <x:v>Pull-up</x:v>
      </x:c>
      <x:c r="Q228" s="362" t="str">
        <x:v>seconds</x:v>
      </x:c>
      <x:c r="R228" s="367" t="n">
        <x:v>2</x:v>
      </x:c>
      <x:c r="S228" s="367" t="n">
        <x:v>30</x:v>
      </x:c>
      <x:c r="T228" s="368" t="n">
        <x:f>IF(OR(COUNTIFS(Strategy!$B$36:$B$90,P228)&lt;&gt;1,COUNTIFS(Strategy!$B$36:$B$90,P228,Strategy!$C$36:$C$90,"&lt;&gt;")&lt;&gt;1),"",INDEX(Strategy!$C$36:$C$90,MATCH(P228,Strategy!$B$36:$B$90,0)))</x:f>
        <x:v>6</x:v>
      </x:c>
      <x:c r="U228" s="368" t="n">
        <x:f>IF(OR(COUNT(R228:S228)&lt;&gt;2,R228&lt;0,R228&lt;&gt;INT(R228),S228&lt;=0),"",R228*S228)</x:f>
        <x:v>60</x:v>
      </x:c>
      <x:c r="V228" s="389" t="n">
        <x:f>IF(OR(NOT(ISNUMBER(U228)),NOT(ISNUMBER($O$1)),$O$1&lt;=0),"",IF(Q228="seconds",U228/$O$1,IF(Q228="reps/leg",2*U228,IF(Q228="reps",U228,""))))</x:f>
        <x:v>20</x:v>
      </x:c>
      <x:c r="W228" s="361" t="str">
        <x:f>IF(OR(COUNTIFS(Strategy!$B$36:$B$90,P228)&lt;&gt;1,COUNTIFS(Strategy!$B$36:$B$90,P228,Strategy!$D$36:$D$90,"&lt;&gt;")&lt;&gt;1),"",INDEX(Strategy!$D$36:$D$90,MATCH(P228,Strategy!$B$36:$B$90,0)))</x:f>
        <x:v>seconds</x:v>
      </x:c>
      <x:c r="X228" s="370" t="n">
        <x:f>IF(OR(COUNT(T228:V228)&lt;&gt;3,Q228&lt;&gt;W228,T228&lt;0,T228&gt;10),"",T228*V228)</x:f>
        <x:v>120</x:v>
      </x:c>
      <x:c r="Y228" s="374" t="str">
        <x:v>Core: one 30-second work interval per round; rest excluded.</x:v>
      </x:c>
    </x:row>
    <x:row r="229" ht="15" hidden="0" customHeight="1">
      <x:c r="N229" s="363" t="n">
        <x:f>Daily!A47</x:f>
        <x:v>46398.5</x:v>
      </x:c>
      <x:c r="O229" s="359" t="str">
        <x:f>Daily!D47</x:f>
        <x:v>Skill A + interval circuit</x:v>
      </x:c>
      <x:c r="P229" s="371" t="str">
        <x:v>Push-up</x:v>
      </x:c>
      <x:c r="Q229" s="360" t="str">
        <x:v>seconds</x:v>
      </x:c>
      <x:c r="R229" s="365" t="n">
        <x:v>2</x:v>
      </x:c>
      <x:c r="S229" s="365" t="n">
        <x:v>30</x:v>
      </x:c>
      <x:c r="T229" s="366" t="n">
        <x:f>IF(OR(COUNTIFS(Strategy!$B$36:$B$90,P229)&lt;&gt;1,COUNTIFS(Strategy!$B$36:$B$90,P229,Strategy!$C$36:$C$90,"&lt;&gt;")&lt;&gt;1),"",INDEX(Strategy!$C$36:$C$90,MATCH(P229,Strategy!$B$36:$B$90,0)))</x:f>
        <x:v>4</x:v>
      </x:c>
      <x:c r="U229" s="366" t="n">
        <x:f>IF(OR(COUNT(R229:S229)&lt;&gt;2,R229&lt;0,R229&lt;&gt;INT(R229),S229&lt;=0),"",R229*S229)</x:f>
        <x:v>60</x:v>
      </x:c>
      <x:c r="V229" s="388" t="n">
        <x:f>IF(OR(NOT(ISNUMBER(U229)),NOT(ISNUMBER($O$1)),$O$1&lt;=0),"",IF(Q229="seconds",U229/$O$1,IF(Q229="reps/leg",2*U229,IF(Q229="reps",U229,""))))</x:f>
        <x:v>20</x:v>
      </x:c>
      <x:c r="W229" s="359" t="str">
        <x:f>IF(OR(COUNTIFS(Strategy!$B$36:$B$90,P229)&lt;&gt;1,COUNTIFS(Strategy!$B$36:$B$90,P229,Strategy!$D$36:$D$90,"&lt;&gt;")&lt;&gt;1),"",INDEX(Strategy!$D$36:$D$90,MATCH(P229,Strategy!$B$36:$B$90,0)))</x:f>
        <x:v>seconds</x:v>
      </x:c>
      <x:c r="X229" s="369" t="n">
        <x:f>IF(OR(COUNT(T229:V229)&lt;&gt;3,Q229&lt;&gt;W229,T229&lt;0,T229&gt;10),"",T229*V229)</x:f>
        <x:v>80</x:v>
      </x:c>
      <x:c r="Y229" s="373" t="str">
        <x:v>Core: one 30-second work interval per round; rest excluded.</x:v>
      </x:c>
    </x:row>
    <x:row r="230" ht="15" hidden="0" customHeight="1">
      <x:c r="N230" s="364" t="n">
        <x:f>Daily!A47</x:f>
        <x:v>46398.5</x:v>
      </x:c>
      <x:c r="O230" s="361" t="str">
        <x:f>Daily!D47</x:f>
        <x:v>Skill A + interval circuit</x:v>
      </x:c>
      <x:c r="P230" s="372" t="str">
        <x:v>Weighted squat</x:v>
      </x:c>
      <x:c r="Q230" s="362" t="str">
        <x:v>seconds</x:v>
      </x:c>
      <x:c r="R230" s="367" t="n">
        <x:v>2</x:v>
      </x:c>
      <x:c r="S230" s="367" t="n">
        <x:v>30</x:v>
      </x:c>
      <x:c r="T230" s="368" t="n">
        <x:f>IF(OR(COUNTIFS(Strategy!$B$36:$B$90,P230)&lt;&gt;1,COUNTIFS(Strategy!$B$36:$B$90,P230,Strategy!$C$36:$C$90,"&lt;&gt;")&lt;&gt;1),"",INDEX(Strategy!$C$36:$C$90,MATCH(P230,Strategy!$B$36:$B$90,0)))</x:f>
        <x:v>5</x:v>
      </x:c>
      <x:c r="U230" s="368" t="n">
        <x:f>IF(OR(COUNT(R230:S230)&lt;&gt;2,R230&lt;0,R230&lt;&gt;INT(R230),S230&lt;=0),"",R230*S230)</x:f>
        <x:v>60</x:v>
      </x:c>
      <x:c r="V230" s="389" t="n">
        <x:f>IF(OR(NOT(ISNUMBER(U230)),NOT(ISNUMBER($O$1)),$O$1&lt;=0),"",IF(Q230="seconds",U230/$O$1,IF(Q230="reps/leg",2*U230,IF(Q230="reps",U230,""))))</x:f>
        <x:v>20</x:v>
      </x:c>
      <x:c r="W230" s="361" t="str">
        <x:f>IF(OR(COUNTIFS(Strategy!$B$36:$B$90,P230)&lt;&gt;1,COUNTIFS(Strategy!$B$36:$B$90,P230,Strategy!$D$36:$D$90,"&lt;&gt;")&lt;&gt;1),"",INDEX(Strategy!$D$36:$D$90,MATCH(P230,Strategy!$B$36:$B$90,0)))</x:f>
        <x:v>seconds</x:v>
      </x:c>
      <x:c r="X230" s="370" t="n">
        <x:f>IF(OR(COUNT(T230:V230)&lt;&gt;3,Q230&lt;&gt;W230,T230&lt;0,T230&gt;10),"",T230*V230)</x:f>
        <x:v>100</x:v>
      </x:c>
      <x:c r="Y230" s="374" t="str">
        <x:v>Core: one 30-second work interval per round; rest excluded.</x:v>
      </x:c>
    </x:row>
    <x:row r="231" ht="15" hidden="0" customHeight="1">
      <x:c r="N231" s="363" t="n">
        <x:f>Daily!A47</x:f>
        <x:v>46398.5</x:v>
      </x:c>
      <x:c r="O231" s="359" t="str">
        <x:f>Daily!D47</x:f>
        <x:v>Skill A + interval circuit</x:v>
      </x:c>
      <x:c r="P231" s="371" t="str">
        <x:v>Upside-down hanging shoulder/ab work</x:v>
      </x:c>
      <x:c r="Q231" s="360" t="str">
        <x:v>seconds</x:v>
      </x:c>
      <x:c r="R231" s="365" t="n">
        <x:v>2</x:v>
      </x:c>
      <x:c r="S231" s="365" t="n">
        <x:v>30</x:v>
      </x:c>
      <x:c r="T231" s="366" t="n">
        <x:f>IF(OR(COUNTIFS(Strategy!$B$36:$B$90,P231)&lt;&gt;1,COUNTIFS(Strategy!$B$36:$B$90,P231,Strategy!$C$36:$C$90,"&lt;&gt;")&lt;&gt;1),"",INDEX(Strategy!$C$36:$C$90,MATCH(P231,Strategy!$B$36:$B$90,0)))</x:f>
        <x:v>5</x:v>
      </x:c>
      <x:c r="U231" s="366" t="n">
        <x:f>IF(OR(COUNT(R231:S231)&lt;&gt;2,R231&lt;0,R231&lt;&gt;INT(R231),S231&lt;=0),"",R231*S231)</x:f>
        <x:v>60</x:v>
      </x:c>
      <x:c r="V231" s="388" t="n">
        <x:f>IF(OR(NOT(ISNUMBER(U231)),NOT(ISNUMBER($O$1)),$O$1&lt;=0),"",IF(Q231="seconds",U231/$O$1,IF(Q231="reps/leg",2*U231,IF(Q231="reps",U231,""))))</x:f>
        <x:v>20</x:v>
      </x:c>
      <x:c r="W231" s="359" t="str">
        <x:f>IF(OR(COUNTIFS(Strategy!$B$36:$B$90,P231)&lt;&gt;1,COUNTIFS(Strategy!$B$36:$B$90,P231,Strategy!$D$36:$D$90,"&lt;&gt;")&lt;&gt;1),"",INDEX(Strategy!$D$36:$D$90,MATCH(P231,Strategy!$B$36:$B$90,0)))</x:f>
        <x:v>seconds</x:v>
      </x:c>
      <x:c r="X231" s="369" t="n">
        <x:f>IF(OR(COUNT(T231:V231)&lt;&gt;3,Q231&lt;&gt;W231,T231&lt;0,T231&gt;10),"",T231*V231)</x:f>
        <x:v>100</x:v>
      </x:c>
      <x:c r="Y231" s="373" t="str">
        <x:v>Core: one 30-second work interval per round; rest excluded.</x:v>
      </x:c>
    </x:row>
    <x:row r="232" ht="15" hidden="0" customHeight="1">
      <x:c r="N232" s="364" t="n">
        <x:f>Daily!A48</x:f>
        <x:v>46399.5</x:v>
      </x:c>
      <x:c r="O232" s="361" t="str">
        <x:f>Daily!D48</x:f>
        <x:v>Handstand technique</x:v>
      </x:c>
      <x:c r="P232" s="372" t="str">
        <x:v>Wrist/shoulder mobility</x:v>
      </x:c>
      <x:c r="Q232" s="362" t="str">
        <x:v>seconds</x:v>
      </x:c>
      <x:c r="R232" s="367" t="n">
        <x:v>1</x:v>
      </x:c>
      <x:c r="S232" s="367" t="n">
        <x:v>60</x:v>
      </x:c>
      <x:c r="T232" s="368" t="n">
        <x:f>IF(OR(COUNTIFS(Strategy!$B$36:$B$90,P232)&lt;&gt;1,COUNTIFS(Strategy!$B$36:$B$90,P232,Strategy!$C$36:$C$90,"&lt;&gt;")&lt;&gt;1),"",INDEX(Strategy!$C$36:$C$90,MATCH(P232,Strategy!$B$36:$B$90,0)))</x:f>
        <x:v>1</x:v>
      </x:c>
      <x:c r="U232" s="368" t="n">
        <x:f>IF(OR(COUNT(R232:S232)&lt;&gt;2,R232&lt;0,R232&lt;&gt;INT(R232),S232&lt;=0),"",R232*S232)</x:f>
        <x:v>60</x:v>
      </x:c>
      <x:c r="V232" s="389" t="n">
        <x:f>IF(OR(NOT(ISNUMBER(U232)),NOT(ISNUMBER($O$1)),$O$1&lt;=0),"",IF(Q232="seconds",U232/$O$1,IF(Q232="reps/leg",2*U232,IF(Q232="reps",U232,""))))</x:f>
        <x:v>20</x:v>
      </x:c>
      <x:c r="W232" s="361" t="str">
        <x:f>IF(OR(COUNTIFS(Strategy!$B$36:$B$90,P232)&lt;&gt;1,COUNTIFS(Strategy!$B$36:$B$90,P232,Strategy!$D$36:$D$90,"&lt;&gt;")&lt;&gt;1),"",INDEX(Strategy!$D$36:$D$90,MATCH(P232,Strategy!$B$36:$B$90,0)))</x:f>
        <x:v>seconds</x:v>
      </x:c>
      <x:c r="X232" s="370" t="n">
        <x:f>IF(OR(COUNT(T232:V232)&lt;&gt;3,Q232&lt;&gt;W232,T232&lt;0,T232&gt;10),"",T232*V232)</x:f>
        <x:v>20</x:v>
      </x:c>
      <x:c r="Y232" s="374" t="str"/>
    </x:row>
    <x:row r="233" ht="15" hidden="0" customHeight="1">
      <x:c r="N233" s="363" t="n">
        <x:f>Daily!A48</x:f>
        <x:v>46399.5</x:v>
      </x:c>
      <x:c r="O233" s="359" t="str">
        <x:f>Daily!D48</x:f>
        <x:v>Handstand technique</x:v>
      </x:c>
      <x:c r="P233" s="371" t="str">
        <x:v>Easy chest-to-wall hold</x:v>
      </x:c>
      <x:c r="Q233" s="360" t="str">
        <x:v>seconds</x:v>
      </x:c>
      <x:c r="R233" s="365" t="n">
        <x:v>2</x:v>
      </x:c>
      <x:c r="S233" s="365" t="n">
        <x:v>10</x:v>
      </x:c>
      <x:c r="T233" s="366" t="n">
        <x:f>IF(OR(COUNTIFS(Strategy!$B$36:$B$90,P233)&lt;&gt;1,COUNTIFS(Strategy!$B$36:$B$90,P233,Strategy!$C$36:$C$90,"&lt;&gt;")&lt;&gt;1),"",INDEX(Strategy!$C$36:$C$90,MATCH(P233,Strategy!$B$36:$B$90,0)))</x:f>
        <x:v>1</x:v>
      </x:c>
      <x:c r="U233" s="366" t="n">
        <x:f>IF(OR(COUNT(R233:S233)&lt;&gt;2,R233&lt;0,R233&lt;&gt;INT(R233),S233&lt;=0),"",R233*S233)</x:f>
        <x:v>20</x:v>
      </x:c>
      <x:c r="V233" s="388" t="n">
        <x:f>IF(OR(NOT(ISNUMBER(U233)),NOT(ISNUMBER($O$1)),$O$1&lt;=0),"",IF(Q233="seconds",U233/$O$1,IF(Q233="reps/leg",2*U233,IF(Q233="reps",U233,""))))</x:f>
        <x:v>6.666666666666667</x:v>
      </x:c>
      <x:c r="W233" s="359" t="str">
        <x:f>IF(OR(COUNTIFS(Strategy!$B$36:$B$90,P233)&lt;&gt;1,COUNTIFS(Strategy!$B$36:$B$90,P233,Strategy!$D$36:$D$90,"&lt;&gt;")&lt;&gt;1),"",INDEX(Strategy!$D$36:$D$90,MATCH(P233,Strategy!$B$36:$B$90,0)))</x:f>
        <x:v>seconds</x:v>
      </x:c>
      <x:c r="X233" s="369" t="n">
        <x:f>IF(OR(COUNT(T233:V233)&lt;&gt;3,Q233&lt;&gt;W233,T233&lt;0,T233&gt;10),"",T233*V233)</x:f>
        <x:v>6.666666666666667</x:v>
      </x:c>
      <x:c r="Y233" s="373" t="str"/>
    </x:row>
    <x:row r="234" ht="15" hidden="0" customHeight="1">
      <x:c r="N234" s="364" t="n">
        <x:f>Daily!A48</x:f>
        <x:v>46399.5</x:v>
      </x:c>
      <x:c r="O234" s="361" t="str">
        <x:f>Daily!D48</x:f>
        <x:v>Handstand technique</x:v>
      </x:c>
      <x:c r="P234" s="372" t="str">
        <x:v>Wall handstand line drill</x:v>
      </x:c>
      <x:c r="Q234" s="362" t="str">
        <x:v>seconds</x:v>
      </x:c>
      <x:c r="R234" s="367" t="n">
        <x:v>1</x:v>
      </x:c>
      <x:c r="S234" s="367" t="n">
        <x:v>10</x:v>
      </x:c>
      <x:c r="T234" s="368" t="n">
        <x:f>IF(OR(COUNTIFS(Strategy!$B$36:$B$90,P234)&lt;&gt;1,COUNTIFS(Strategy!$B$36:$B$90,P234,Strategy!$C$36:$C$90,"&lt;&gt;")&lt;&gt;1),"",INDEX(Strategy!$C$36:$C$90,MATCH(P234,Strategy!$B$36:$B$90,0)))</x:f>
        <x:v>1</x:v>
      </x:c>
      <x:c r="U234" s="368" t="n">
        <x:f>IF(OR(COUNT(R234:S234)&lt;&gt;2,R234&lt;0,R234&lt;&gt;INT(R234),S234&lt;=0),"",R234*S234)</x:f>
        <x:v>10</x:v>
      </x:c>
      <x:c r="V234" s="389" t="n">
        <x:f>IF(OR(NOT(ISNUMBER(U234)),NOT(ISNUMBER($O$1)),$O$1&lt;=0),"",IF(Q234="seconds",U234/$O$1,IF(Q234="reps/leg",2*U234,IF(Q234="reps",U234,""))))</x:f>
        <x:v>3.3333333333333335</x:v>
      </x:c>
      <x:c r="W234" s="361" t="str">
        <x:f>IF(OR(COUNTIFS(Strategy!$B$36:$B$90,P234)&lt;&gt;1,COUNTIFS(Strategy!$B$36:$B$90,P234,Strategy!$D$36:$D$90,"&lt;&gt;")&lt;&gt;1),"",INDEX(Strategy!$D$36:$D$90,MATCH(P234,Strategy!$B$36:$B$90,0)))</x:f>
        <x:v>seconds</x:v>
      </x:c>
      <x:c r="X234" s="370" t="n">
        <x:f>IF(OR(COUNT(T234:V234)&lt;&gt;3,Q234&lt;&gt;W234,T234&lt;0,T234&gt;10),"",T234*V234)</x:f>
        <x:v>3.3333333333333335</x:v>
      </x:c>
      <x:c r="Y234" s="374" t="str"/>
    </x:row>
    <x:row r="235" ht="15" hidden="0" customHeight="1">
      <x:c r="N235" s="363" t="n">
        <x:f>Daily!A49</x:f>
        <x:v>46401.5</x:v>
      </x:c>
      <x:c r="O235" s="359" t="str">
        <x:f>Daily!D49</x:f>
        <x:v>Skill B + interval circuit</x:v>
      </x:c>
      <x:c r="P235" s="371" t="str">
        <x:v>Wall HSPU test</x:v>
      </x:c>
      <x:c r="Q235" s="360" t="str">
        <x:v>reps</x:v>
      </x:c>
      <x:c r="R235" s="365" t="n">
        <x:v>1</x:v>
      </x:c>
      <x:c r="S235" s="365" t="n">
        <x:v>5</x:v>
      </x:c>
      <x:c r="T235" s="366" t="n">
        <x:f>IF(OR(COUNTIFS(Strategy!$B$36:$B$90,P235)&lt;&gt;1,COUNTIFS(Strategy!$B$36:$B$90,P235,Strategy!$C$36:$C$90,"&lt;&gt;")&lt;&gt;1),"",INDEX(Strategy!$C$36:$C$90,MATCH(P235,Strategy!$B$36:$B$90,0)))</x:f>
        <x:v>8</x:v>
      </x:c>
      <x:c r="U235" s="366" t="n">
        <x:f>IF(OR(COUNT(R235:S235)&lt;&gt;2,R235&lt;0,R235&lt;&gt;INT(R235),S235&lt;=0),"",R235*S235)</x:f>
        <x:v>5</x:v>
      </x:c>
      <x:c r="V235" s="388" t="n">
        <x:f>IF(OR(NOT(ISNUMBER(U235)),NOT(ISNUMBER($O$1)),$O$1&lt;=0),"",IF(Q235="seconds",U235/$O$1,IF(Q235="reps/leg",2*U235,IF(Q235="reps",U235,""))))</x:f>
        <x:v>5</x:v>
      </x:c>
      <x:c r="W235" s="359" t="str">
        <x:f>IF(OR(COUNTIFS(Strategy!$B$36:$B$90,P235)&lt;&gt;1,COUNTIFS(Strategy!$B$36:$B$90,P235,Strategy!$D$36:$D$90,"&lt;&gt;")&lt;&gt;1),"",INDEX(Strategy!$D$36:$D$90,MATCH(P235,Strategy!$B$36:$B$90,0)))</x:f>
        <x:v>reps</x:v>
      </x:c>
      <x:c r="X235" s="369" t="n">
        <x:f>IF(OR(COUNT(T235:V235)&lt;&gt;3,Q235&lt;&gt;W235,T235&lt;0,T235&gt;10),"",T235*V235)</x:f>
        <x:v>40</x:v>
      </x:c>
      <x:c r="Y235" s="373" t="str">
        <x:v>Planning ceiling of 5 reps for the test; adjust before training.</x:v>
      </x:c>
    </x:row>
    <x:row r="236" ht="15" hidden="0" customHeight="1">
      <x:c r="N236" s="364" t="n">
        <x:f>Daily!A49</x:f>
        <x:v>46401.5</x:v>
      </x:c>
      <x:c r="O236" s="361" t="str">
        <x:f>Daily!D49</x:f>
        <x:v>Skill B + interval circuit</x:v>
      </x:c>
      <x:c r="P236" s="372" t="str">
        <x:v>Easy wall handstand</x:v>
      </x:c>
      <x:c r="Q236" s="362" t="str">
        <x:v>seconds</x:v>
      </x:c>
      <x:c r="R236" s="367" t="n">
        <x:v>1</x:v>
      </x:c>
      <x:c r="S236" s="367" t="n">
        <x:v>15</x:v>
      </x:c>
      <x:c r="T236" s="368" t="n">
        <x:f>IF(OR(COUNTIFS(Strategy!$B$36:$B$90,P236)&lt;&gt;1,COUNTIFS(Strategy!$B$36:$B$90,P236,Strategy!$C$36:$C$90,"&lt;&gt;")&lt;&gt;1),"",INDEX(Strategy!$C$36:$C$90,MATCH(P236,Strategy!$B$36:$B$90,0)))</x:f>
        <x:v>1</x:v>
      </x:c>
      <x:c r="U236" s="368" t="n">
        <x:f>IF(OR(COUNT(R236:S236)&lt;&gt;2,R236&lt;0,R236&lt;&gt;INT(R236),S236&lt;=0),"",R236*S236)</x:f>
        <x:v>15</x:v>
      </x:c>
      <x:c r="V236" s="389" t="n">
        <x:f>IF(OR(NOT(ISNUMBER(U236)),NOT(ISNUMBER($O$1)),$O$1&lt;=0),"",IF(Q236="seconds",U236/$O$1,IF(Q236="reps/leg",2*U236,IF(Q236="reps",U236,""))))</x:f>
        <x:v>5</x:v>
      </x:c>
      <x:c r="W236" s="361" t="str">
        <x:f>IF(OR(COUNTIFS(Strategy!$B$36:$B$90,P236)&lt;&gt;1,COUNTIFS(Strategy!$B$36:$B$90,P236,Strategy!$D$36:$D$90,"&lt;&gt;")&lt;&gt;1),"",INDEX(Strategy!$D$36:$D$90,MATCH(P236,Strategy!$B$36:$B$90,0)))</x:f>
        <x:v>seconds</x:v>
      </x:c>
      <x:c r="X236" s="370" t="n">
        <x:f>IF(OR(COUNT(T236:V236)&lt;&gt;3,Q236&lt;&gt;W236,T236&lt;0,T236&gt;10),"",T236*V236)</x:f>
        <x:v>5</x:v>
      </x:c>
      <x:c r="Y236" s="374" t="str"/>
    </x:row>
    <x:row r="237" ht="15" hidden="0" customHeight="1">
      <x:c r="N237" s="363" t="n">
        <x:f>Daily!A49</x:f>
        <x:v>46401.5</x:v>
      </x:c>
      <x:c r="O237" s="359" t="str">
        <x:f>Daily!D49</x:f>
        <x:v>Skill B + interval circuit</x:v>
      </x:c>
      <x:c r="P237" s="371" t="str">
        <x:v>Gentle wrist/shoulder mobility</x:v>
      </x:c>
      <x:c r="Q237" s="360" t="str">
        <x:v>seconds</x:v>
      </x:c>
      <x:c r="R237" s="365" t="n">
        <x:v>1</x:v>
      </x:c>
      <x:c r="S237" s="365" t="n">
        <x:v>120</x:v>
      </x:c>
      <x:c r="T237" s="366" t="n">
        <x:f>IF(OR(COUNTIFS(Strategy!$B$36:$B$90,P237)&lt;&gt;1,COUNTIFS(Strategy!$B$36:$B$90,P237,Strategy!$C$36:$C$90,"&lt;&gt;")&lt;&gt;1),"",INDEX(Strategy!$C$36:$C$90,MATCH(P237,Strategy!$B$36:$B$90,0)))</x:f>
        <x:v>1</x:v>
      </x:c>
      <x:c r="U237" s="366" t="n">
        <x:f>IF(OR(COUNT(R237:S237)&lt;&gt;2,R237&lt;0,R237&lt;&gt;INT(R237),S237&lt;=0),"",R237*S237)</x:f>
        <x:v>120</x:v>
      </x:c>
      <x:c r="V237" s="388" t="n">
        <x:f>IF(OR(NOT(ISNUMBER(U237)),NOT(ISNUMBER($O$1)),$O$1&lt;=0),"",IF(Q237="seconds",U237/$O$1,IF(Q237="reps/leg",2*U237,IF(Q237="reps",U237,""))))</x:f>
        <x:v>40</x:v>
      </x:c>
      <x:c r="W237" s="359" t="str">
        <x:f>IF(OR(COUNTIFS(Strategy!$B$36:$B$90,P237)&lt;&gt;1,COUNTIFS(Strategy!$B$36:$B$90,P237,Strategy!$D$36:$D$90,"&lt;&gt;")&lt;&gt;1),"",INDEX(Strategy!$D$36:$D$90,MATCH(P237,Strategy!$B$36:$B$90,0)))</x:f>
        <x:v>seconds</x:v>
      </x:c>
      <x:c r="X237" s="369" t="n">
        <x:f>IF(OR(COUNT(T237:V237)&lt;&gt;3,Q237&lt;&gt;W237,T237&lt;0,T237&gt;10),"",T237*V237)</x:f>
        <x:v>40</x:v>
      </x:c>
      <x:c r="Y237" s="373" t="str"/>
    </x:row>
    <x:row r="238" ht="15" hidden="0" customHeight="1">
      <x:c r="N238" s="364" t="n">
        <x:f>Daily!A49</x:f>
        <x:v>46401.5</x:v>
      </x:c>
      <x:c r="O238" s="361" t="str">
        <x:f>Daily!D49</x:f>
        <x:v>Skill B + interval circuit</x:v>
      </x:c>
      <x:c r="P238" s="372" t="str">
        <x:v>Pull-up</x:v>
      </x:c>
      <x:c r="Q238" s="362" t="str">
        <x:v>seconds</x:v>
      </x:c>
      <x:c r="R238" s="367" t="n">
        <x:v>2</x:v>
      </x:c>
      <x:c r="S238" s="367" t="n">
        <x:v>30</x:v>
      </x:c>
      <x:c r="T238" s="368" t="n">
        <x:f>IF(OR(COUNTIFS(Strategy!$B$36:$B$90,P238)&lt;&gt;1,COUNTIFS(Strategy!$B$36:$B$90,P238,Strategy!$C$36:$C$90,"&lt;&gt;")&lt;&gt;1),"",INDEX(Strategy!$C$36:$C$90,MATCH(P238,Strategy!$B$36:$B$90,0)))</x:f>
        <x:v>6</x:v>
      </x:c>
      <x:c r="U238" s="368" t="n">
        <x:f>IF(OR(COUNT(R238:S238)&lt;&gt;2,R238&lt;0,R238&lt;&gt;INT(R238),S238&lt;=0),"",R238*S238)</x:f>
        <x:v>60</x:v>
      </x:c>
      <x:c r="V238" s="389" t="n">
        <x:f>IF(OR(NOT(ISNUMBER(U238)),NOT(ISNUMBER($O$1)),$O$1&lt;=0),"",IF(Q238="seconds",U238/$O$1,IF(Q238="reps/leg",2*U238,IF(Q238="reps",U238,""))))</x:f>
        <x:v>20</x:v>
      </x:c>
      <x:c r="W238" s="361" t="str">
        <x:f>IF(OR(COUNTIFS(Strategy!$B$36:$B$90,P238)&lt;&gt;1,COUNTIFS(Strategy!$B$36:$B$90,P238,Strategy!$D$36:$D$90,"&lt;&gt;")&lt;&gt;1),"",INDEX(Strategy!$D$36:$D$90,MATCH(P238,Strategy!$B$36:$B$90,0)))</x:f>
        <x:v>seconds</x:v>
      </x:c>
      <x:c r="X238" s="370" t="n">
        <x:f>IF(OR(COUNT(T238:V238)&lt;&gt;3,Q238&lt;&gt;W238,T238&lt;0,T238&gt;10),"",T238*V238)</x:f>
        <x:v>120</x:v>
      </x:c>
      <x:c r="Y238" s="374" t="str">
        <x:v>Core: one 30-second work interval per round; rest excluded.</x:v>
      </x:c>
    </x:row>
    <x:row r="239" ht="15" hidden="0" customHeight="1">
      <x:c r="N239" s="363" t="n">
        <x:f>Daily!A49</x:f>
        <x:v>46401.5</x:v>
      </x:c>
      <x:c r="O239" s="359" t="str">
        <x:f>Daily!D49</x:f>
        <x:v>Skill B + interval circuit</x:v>
      </x:c>
      <x:c r="P239" s="371" t="str">
        <x:v>Push-up</x:v>
      </x:c>
      <x:c r="Q239" s="360" t="str">
        <x:v>seconds</x:v>
      </x:c>
      <x:c r="R239" s="365" t="n">
        <x:v>2</x:v>
      </x:c>
      <x:c r="S239" s="365" t="n">
        <x:v>30</x:v>
      </x:c>
      <x:c r="T239" s="366" t="n">
        <x:f>IF(OR(COUNTIFS(Strategy!$B$36:$B$90,P239)&lt;&gt;1,COUNTIFS(Strategy!$B$36:$B$90,P239,Strategy!$C$36:$C$90,"&lt;&gt;")&lt;&gt;1),"",INDEX(Strategy!$C$36:$C$90,MATCH(P239,Strategy!$B$36:$B$90,0)))</x:f>
        <x:v>4</x:v>
      </x:c>
      <x:c r="U239" s="366" t="n">
        <x:f>IF(OR(COUNT(R239:S239)&lt;&gt;2,R239&lt;0,R239&lt;&gt;INT(R239),S239&lt;=0),"",R239*S239)</x:f>
        <x:v>60</x:v>
      </x:c>
      <x:c r="V239" s="388" t="n">
        <x:f>IF(OR(NOT(ISNUMBER(U239)),NOT(ISNUMBER($O$1)),$O$1&lt;=0),"",IF(Q239="seconds",U239/$O$1,IF(Q239="reps/leg",2*U239,IF(Q239="reps",U239,""))))</x:f>
        <x:v>20</x:v>
      </x:c>
      <x:c r="W239" s="359" t="str">
        <x:f>IF(OR(COUNTIFS(Strategy!$B$36:$B$90,P239)&lt;&gt;1,COUNTIFS(Strategy!$B$36:$B$90,P239,Strategy!$D$36:$D$90,"&lt;&gt;")&lt;&gt;1),"",INDEX(Strategy!$D$36:$D$90,MATCH(P239,Strategy!$B$36:$B$90,0)))</x:f>
        <x:v>seconds</x:v>
      </x:c>
      <x:c r="X239" s="369" t="n">
        <x:f>IF(OR(COUNT(T239:V239)&lt;&gt;3,Q239&lt;&gt;W239,T239&lt;0,T239&gt;10),"",T239*V239)</x:f>
        <x:v>80</x:v>
      </x:c>
      <x:c r="Y239" s="373" t="str">
        <x:v>Core: one 30-second work interval per round; rest excluded.</x:v>
      </x:c>
    </x:row>
    <x:row r="240" ht="15" hidden="0" customHeight="1">
      <x:c r="N240" s="364" t="n">
        <x:f>Daily!A49</x:f>
        <x:v>46401.5</x:v>
      </x:c>
      <x:c r="O240" s="361" t="str">
        <x:f>Daily!D49</x:f>
        <x:v>Skill B + interval circuit</x:v>
      </x:c>
      <x:c r="P240" s="372" t="str">
        <x:v>Weighted squat</x:v>
      </x:c>
      <x:c r="Q240" s="362" t="str">
        <x:v>seconds</x:v>
      </x:c>
      <x:c r="R240" s="367" t="n">
        <x:v>2</x:v>
      </x:c>
      <x:c r="S240" s="367" t="n">
        <x:v>30</x:v>
      </x:c>
      <x:c r="T240" s="368" t="n">
        <x:f>IF(OR(COUNTIFS(Strategy!$B$36:$B$90,P240)&lt;&gt;1,COUNTIFS(Strategy!$B$36:$B$90,P240,Strategy!$C$36:$C$90,"&lt;&gt;")&lt;&gt;1),"",INDEX(Strategy!$C$36:$C$90,MATCH(P240,Strategy!$B$36:$B$90,0)))</x:f>
        <x:v>5</x:v>
      </x:c>
      <x:c r="U240" s="368" t="n">
        <x:f>IF(OR(COUNT(R240:S240)&lt;&gt;2,R240&lt;0,R240&lt;&gt;INT(R240),S240&lt;=0),"",R240*S240)</x:f>
        <x:v>60</x:v>
      </x:c>
      <x:c r="V240" s="389" t="n">
        <x:f>IF(OR(NOT(ISNUMBER(U240)),NOT(ISNUMBER($O$1)),$O$1&lt;=0),"",IF(Q240="seconds",U240/$O$1,IF(Q240="reps/leg",2*U240,IF(Q240="reps",U240,""))))</x:f>
        <x:v>20</x:v>
      </x:c>
      <x:c r="W240" s="361" t="str">
        <x:f>IF(OR(COUNTIFS(Strategy!$B$36:$B$90,P240)&lt;&gt;1,COUNTIFS(Strategy!$B$36:$B$90,P240,Strategy!$D$36:$D$90,"&lt;&gt;")&lt;&gt;1),"",INDEX(Strategy!$D$36:$D$90,MATCH(P240,Strategy!$B$36:$B$90,0)))</x:f>
        <x:v>seconds</x:v>
      </x:c>
      <x:c r="X240" s="370" t="n">
        <x:f>IF(OR(COUNT(T240:V240)&lt;&gt;3,Q240&lt;&gt;W240,T240&lt;0,T240&gt;10),"",T240*V240)</x:f>
        <x:v>100</x:v>
      </x:c>
      <x:c r="Y240" s="374" t="str">
        <x:v>Core: one 30-second work interval per round; rest excluded.</x:v>
      </x:c>
    </x:row>
    <x:row r="241" ht="15" hidden="0" customHeight="1">
      <x:c r="N241" s="363" t="n">
        <x:f>Daily!A49</x:f>
        <x:v>46401.5</x:v>
      </x:c>
      <x:c r="O241" s="359" t="str">
        <x:f>Daily!D49</x:f>
        <x:v>Skill B + interval circuit</x:v>
      </x:c>
      <x:c r="P241" s="371" t="str">
        <x:v>Upside-down hanging shoulder/ab work</x:v>
      </x:c>
      <x:c r="Q241" s="360" t="str">
        <x:v>seconds</x:v>
      </x:c>
      <x:c r="R241" s="365" t="n">
        <x:v>2</x:v>
      </x:c>
      <x:c r="S241" s="365" t="n">
        <x:v>30</x:v>
      </x:c>
      <x:c r="T241" s="366" t="n">
        <x:f>IF(OR(COUNTIFS(Strategy!$B$36:$B$90,P241)&lt;&gt;1,COUNTIFS(Strategy!$B$36:$B$90,P241,Strategy!$C$36:$C$90,"&lt;&gt;")&lt;&gt;1),"",INDEX(Strategy!$C$36:$C$90,MATCH(P241,Strategy!$B$36:$B$90,0)))</x:f>
        <x:v>5</x:v>
      </x:c>
      <x:c r="U241" s="366" t="n">
        <x:f>IF(OR(COUNT(R241:S241)&lt;&gt;2,R241&lt;0,R241&lt;&gt;INT(R241),S241&lt;=0),"",R241*S241)</x:f>
        <x:v>60</x:v>
      </x:c>
      <x:c r="V241" s="388" t="n">
        <x:f>IF(OR(NOT(ISNUMBER(U241)),NOT(ISNUMBER($O$1)),$O$1&lt;=0),"",IF(Q241="seconds",U241/$O$1,IF(Q241="reps/leg",2*U241,IF(Q241="reps",U241,""))))</x:f>
        <x:v>20</x:v>
      </x:c>
      <x:c r="W241" s="359" t="str">
        <x:f>IF(OR(COUNTIFS(Strategy!$B$36:$B$90,P241)&lt;&gt;1,COUNTIFS(Strategy!$B$36:$B$90,P241,Strategy!$D$36:$D$90,"&lt;&gt;")&lt;&gt;1),"",INDEX(Strategy!$D$36:$D$90,MATCH(P241,Strategy!$B$36:$B$90,0)))</x:f>
        <x:v>seconds</x:v>
      </x:c>
      <x:c r="X241" s="369" t="n">
        <x:f>IF(OR(COUNT(T241:V241)&lt;&gt;3,Q241&lt;&gt;W241,T241&lt;0,T241&gt;10),"",T241*V241)</x:f>
        <x:v>100</x:v>
      </x:c>
      <x:c r="Y241" s="373" t="str">
        <x:v>Core: one 30-second work interval per round; rest excluded.</x:v>
      </x:c>
    </x:row>
    <x:row r="242" ht="15" hidden="0" customHeight="1">
      <x:c r="N242" s="364" t="n">
        <x:f>Daily!A50</x:f>
        <x:v>46403.5</x:v>
      </x:c>
      <x:c r="O242" s="361" t="str">
        <x:f>Daily!D50</x:f>
        <x:v>Skill micro-session</x:v>
      </x:c>
      <x:c r="P242" s="372" t="str">
        <x:v>Wrist/shoulder mobility</x:v>
      </x:c>
      <x:c r="Q242" s="362" t="str">
        <x:v>seconds</x:v>
      </x:c>
      <x:c r="R242" s="367" t="n">
        <x:v>1</x:v>
      </x:c>
      <x:c r="S242" s="367" t="n">
        <x:v>60</x:v>
      </x:c>
      <x:c r="T242" s="368" t="n">
        <x:f>IF(OR(COUNTIFS(Strategy!$B$36:$B$90,P242)&lt;&gt;1,COUNTIFS(Strategy!$B$36:$B$90,P242,Strategy!$C$36:$C$90,"&lt;&gt;")&lt;&gt;1),"",INDEX(Strategy!$C$36:$C$90,MATCH(P242,Strategy!$B$36:$B$90,0)))</x:f>
        <x:v>1</x:v>
      </x:c>
      <x:c r="U242" s="368" t="n">
        <x:f>IF(OR(COUNT(R242:S242)&lt;&gt;2,R242&lt;0,R242&lt;&gt;INT(R242),S242&lt;=0),"",R242*S242)</x:f>
        <x:v>60</x:v>
      </x:c>
      <x:c r="V242" s="389" t="n">
        <x:f>IF(OR(NOT(ISNUMBER(U242)),NOT(ISNUMBER($O$1)),$O$1&lt;=0),"",IF(Q242="seconds",U242/$O$1,IF(Q242="reps/leg",2*U242,IF(Q242="reps",U242,""))))</x:f>
        <x:v>20</x:v>
      </x:c>
      <x:c r="W242" s="361" t="str">
        <x:f>IF(OR(COUNTIFS(Strategy!$B$36:$B$90,P242)&lt;&gt;1,COUNTIFS(Strategy!$B$36:$B$90,P242,Strategy!$D$36:$D$90,"&lt;&gt;")&lt;&gt;1),"",INDEX(Strategy!$D$36:$D$90,MATCH(P242,Strategy!$B$36:$B$90,0)))</x:f>
        <x:v>seconds</x:v>
      </x:c>
      <x:c r="X242" s="370" t="n">
        <x:f>IF(OR(COUNT(T242:V242)&lt;&gt;3,Q242&lt;&gt;W242,T242&lt;0,T242&gt;10),"",T242*V242)</x:f>
        <x:v>20</x:v>
      </x:c>
      <x:c r="Y242" s="374" t="str"/>
    </x:row>
    <x:row r="243" ht="15" hidden="0" customHeight="1">
      <x:c r="N243" s="363" t="n">
        <x:f>Daily!A50</x:f>
        <x:v>46403.5</x:v>
      </x:c>
      <x:c r="O243" s="359" t="str">
        <x:f>Daily!D50</x:f>
        <x:v>Skill micro-session</x:v>
      </x:c>
      <x:c r="P243" s="371" t="str">
        <x:v>Easy chest-to-wall hold</x:v>
      </x:c>
      <x:c r="Q243" s="360" t="str">
        <x:v>seconds</x:v>
      </x:c>
      <x:c r="R243" s="365" t="n">
        <x:v>2</x:v>
      </x:c>
      <x:c r="S243" s="365" t="n">
        <x:v>10</x:v>
      </x:c>
      <x:c r="T243" s="366" t="n">
        <x:f>IF(OR(COUNTIFS(Strategy!$B$36:$B$90,P243)&lt;&gt;1,COUNTIFS(Strategy!$B$36:$B$90,P243,Strategy!$C$36:$C$90,"&lt;&gt;")&lt;&gt;1),"",INDEX(Strategy!$C$36:$C$90,MATCH(P243,Strategy!$B$36:$B$90,0)))</x:f>
        <x:v>1</x:v>
      </x:c>
      <x:c r="U243" s="366" t="n">
        <x:f>IF(OR(COUNT(R243:S243)&lt;&gt;2,R243&lt;0,R243&lt;&gt;INT(R243),S243&lt;=0),"",R243*S243)</x:f>
        <x:v>20</x:v>
      </x:c>
      <x:c r="V243" s="388" t="n">
        <x:f>IF(OR(NOT(ISNUMBER(U243)),NOT(ISNUMBER($O$1)),$O$1&lt;=0),"",IF(Q243="seconds",U243/$O$1,IF(Q243="reps/leg",2*U243,IF(Q243="reps",U243,""))))</x:f>
        <x:v>6.666666666666667</x:v>
      </x:c>
      <x:c r="W243" s="359" t="str">
        <x:f>IF(OR(COUNTIFS(Strategy!$B$36:$B$90,P243)&lt;&gt;1,COUNTIFS(Strategy!$B$36:$B$90,P243,Strategy!$D$36:$D$90,"&lt;&gt;")&lt;&gt;1),"",INDEX(Strategy!$D$36:$D$90,MATCH(P243,Strategy!$B$36:$B$90,0)))</x:f>
        <x:v>seconds</x:v>
      </x:c>
      <x:c r="X243" s="369" t="n">
        <x:f>IF(OR(COUNT(T243:V243)&lt;&gt;3,Q243&lt;&gt;W243,T243&lt;0,T243&gt;10),"",T243*V243)</x:f>
        <x:v>6.666666666666667</x:v>
      </x:c>
      <x:c r="Y243" s="373" t="str"/>
    </x:row>
    <x:row r="244" ht="15" hidden="0" customHeight="1">
      <x:c r="N244" s="364" t="n">
        <x:f>Daily!A50</x:f>
        <x:v>46403.5</x:v>
      </x:c>
      <x:c r="O244" s="361" t="str">
        <x:f>Daily!D50</x:f>
        <x:v>Skill micro-session</x:v>
      </x:c>
      <x:c r="P244" s="372" t="str">
        <x:v>Wall handstand line drill</x:v>
      </x:c>
      <x:c r="Q244" s="362" t="str">
        <x:v>seconds</x:v>
      </x:c>
      <x:c r="R244" s="367" t="n">
        <x:v>1</x:v>
      </x:c>
      <x:c r="S244" s="367" t="n">
        <x:v>10</x:v>
      </x:c>
      <x:c r="T244" s="368" t="n">
        <x:f>IF(OR(COUNTIFS(Strategy!$B$36:$B$90,P244)&lt;&gt;1,COUNTIFS(Strategy!$B$36:$B$90,P244,Strategy!$C$36:$C$90,"&lt;&gt;")&lt;&gt;1),"",INDEX(Strategy!$C$36:$C$90,MATCH(P244,Strategy!$B$36:$B$90,0)))</x:f>
        <x:v>1</x:v>
      </x:c>
      <x:c r="U244" s="368" t="n">
        <x:f>IF(OR(COUNT(R244:S244)&lt;&gt;2,R244&lt;0,R244&lt;&gt;INT(R244),S244&lt;=0),"",R244*S244)</x:f>
        <x:v>10</x:v>
      </x:c>
      <x:c r="V244" s="389" t="n">
        <x:f>IF(OR(NOT(ISNUMBER(U244)),NOT(ISNUMBER($O$1)),$O$1&lt;=0),"",IF(Q244="seconds",U244/$O$1,IF(Q244="reps/leg",2*U244,IF(Q244="reps",U244,""))))</x:f>
        <x:v>3.3333333333333335</x:v>
      </x:c>
      <x:c r="W244" s="361" t="str">
        <x:f>IF(OR(COUNTIFS(Strategy!$B$36:$B$90,P244)&lt;&gt;1,COUNTIFS(Strategy!$B$36:$B$90,P244,Strategy!$D$36:$D$90,"&lt;&gt;")&lt;&gt;1),"",INDEX(Strategy!$D$36:$D$90,MATCH(P244,Strategy!$B$36:$B$90,0)))</x:f>
        <x:v>seconds</x:v>
      </x:c>
      <x:c r="X244" s="370" t="n">
        <x:f>IF(OR(COUNT(T244:V244)&lt;&gt;3,Q244&lt;&gt;W244,T244&lt;0,T244&gt;10),"",T244*V244)</x:f>
        <x:v>3.3333333333333335</x:v>
      </x:c>
      <x:c r="Y244" s="374" t="str"/>
    </x:row>
  </x:sheetData>
  <x:mergeCells>
    <x:mergeCell ref="A2:J2"/>
  </x:mergeCells>
  <x:conditionalFormatting sqref="X5:X244">
    <x:cfRule type="expression" dxfId="9" priority="1">
      <x:formula>NOT(ISNUMBER(X5))</x:formula>
    </x:cfRule>
  </x:conditionalFormatting>
  <x:dataValidations count="8">
    <x:dataValidation type="list" sqref="E5:E160">
      <x:formula1>"TRUE,FALSE"</x:formula1>
    </x:dataValidation>
    <x:dataValidation type="list" sqref="J5:J160">
      <x:formula1>"higher,lower"</x:formula1>
    </x:dataValidation>
    <x:dataValidation type="decimal" operator="greaterThanOrEqual" sqref="F5:F160">
      <x:formula1>0</x:formula1>
    </x:dataValidation>
    <x:dataValidation type="list" sqref="P5:P244">
      <x:formula1>Strategy!$B$36:$B$90</x:formula1>
    </x:dataValidation>
    <x:dataValidation type="list" sqref="Q5:Q244">
      <x:formula1>"reps,reps/leg,seconds"</x:formula1>
    </x:dataValidation>
    <x:dataValidation type="whole" operator="between" sqref="R5:R244">
      <x:formula1>0</x:formula1>
      <x:formula2>1000</x:formula2>
    </x:dataValidation>
    <x:dataValidation type="decimal" operator="greaterThan" sqref="S5:S244">
      <x:formula1>0</x:formula1>
    </x:dataValidation>
    <x:dataValidation type="decimal" operator="greaterThan" sqref="O1">
      <x:formula1>0</x:formula1>
    </x:dataValidation>
  </x:dataValidations>
  <x:pageMargins left="0.7" right="0.7" top="0.75" bottom="0.75" header="0.3" footer="0.3"/>
</x:worksheet>
</file>
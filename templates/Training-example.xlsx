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ategy" sheetId="1" state="visible" r:id="rId3"/>
    <sheet name="Recurring" sheetId="2" state="visible" r:id="rId4"/>
    <sheet name="Log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<sst xmlns="http://schemas.openxmlformats.org/spreadsheetml/2006/main" count="445" uniqueCount="203">
  <si>
    <t xml:space="preserve">Plan</t>
  </si>
  <si>
    <t xml:space="preserve">schema_version</t>
  </si>
  <si>
    <t xml:space="preserve">plan_id</t>
  </si>
  <si>
    <t xml:space="preserve">plan_name</t>
  </si>
  <si>
    <t xml:space="preserve">timezone</t>
  </si>
  <si>
    <t xml:space="preserve">start_date</t>
  </si>
  <si>
    <t xml:space="preserve">1</t>
  </si>
  <si>
    <t xml:space="preserve">my-training</t>
  </si>
  <si>
    <t xml:space="preserve">12-week hybrid plan</t>
  </si>
  <si>
    <t xml:space="preserve">Europe/Berlin</t>
  </si>
  <si>
    <t xml:space="preserve">Goals</t>
  </si>
  <si>
    <t xml:space="preserve">goal_id</t>
  </si>
  <si>
    <t xml:space="preserve">title</t>
  </si>
  <si>
    <t xml:space="preserve">benchmark</t>
  </si>
  <si>
    <t xml:space="preserve">baseline</t>
  </si>
  <si>
    <t xml:space="preserve">test</t>
  </si>
  <si>
    <t xml:space="preserve">category</t>
  </si>
  <si>
    <t xml:space="preserve">muscle-up</t>
  </si>
  <si>
    <t xml:space="preserve">Muscle-up</t>
  </si>
  <si>
    <t xml:space="preserve">Band-assisted or first strict rep</t>
  </si>
  <si>
    <t xml:space="preserve">Not established</t>
  </si>
  <si>
    <t xml:space="preserve">Record assistance and controlled full movement</t>
  </si>
  <si>
    <t xml:space="preserve">milestone</t>
  </si>
  <si>
    <t xml:space="preserve">hspu</t>
  </si>
  <si>
    <t xml:space="preserve">Handstand push-up</t>
  </si>
  <si>
    <t xml:space="preserve">3–5 controlled wall reps or deep negatives</t>
  </si>
  <si>
    <t xml:space="preserve">Chest-to-wall, full lockout</t>
  </si>
  <si>
    <t xml:space="preserve">pistol</t>
  </si>
  <si>
    <t xml:space="preserve">Pistol squat</t>
  </si>
  <si>
    <t xml:space="preserve">3–5 clean reps per leg</t>
  </si>
  <si>
    <t xml:space="preserve">Heel down, controlled depth</t>
  </si>
  <si>
    <t xml:space="preserve">running</t>
  </si>
  <si>
    <t xml:space="preserve">Running</t>
  </si>
  <si>
    <t xml:space="preserve">Maintain or improve 12 km pace</t>
  </si>
  <si>
    <t xml:space="preserve">12 km at 5:00/km (reported)</t>
  </si>
  <si>
    <t xml:space="preserve">12 km steady test in week 12</t>
  </si>
  <si>
    <t xml:space="preserve">maintenance</t>
  </si>
  <si>
    <t xml:space="preserve">Parts</t>
  </si>
  <si>
    <t xml:space="preserve">part_id</t>
  </si>
  <si>
    <t xml:space="preserve">version</t>
  </si>
  <si>
    <t xml:space="preserve">prescription</t>
  </si>
  <si>
    <t xml:space="preserve">goal_ids</t>
  </si>
  <si>
    <t xml:space="preserve">A</t>
  </si>
  <si>
    <t xml:space="preserve">Skills A</t>
  </si>
  <si>
    <t xml:space="preserve">Muscle-up + pistol practice: follow block A in Week plans, then Core. Log variation, assistance, sets and reps.</t>
  </si>
  <si>
    <t xml:space="preserve">muscle-up, pistol</t>
  </si>
  <si>
    <t xml:space="preserve">B</t>
  </si>
  <si>
    <t xml:space="preserve">Skills B</t>
  </si>
  <si>
    <t xml:space="preserve">HSPU + pistol practice: follow block B in Week plans, then Core. Log variation, assistance, sets and reps.</t>
  </si>
  <si>
    <t xml:space="preserve">hspu, pistol</t>
  </si>
  <si>
    <t xml:space="preserve">Technique</t>
  </si>
  <si>
    <t xml:space="preserve">Light technique</t>
  </si>
  <si>
    <t xml:space="preserve">Easy wrist/shoulder mobility, chest-to-wall holds and wall handstand line drills. Follow the short or easy session in the Training log.</t>
  </si>
  <si>
    <t xml:space="preserve">Core</t>
  </si>
  <si>
    <t xml:space="preserve">Core circuit — 16 min 40 sec</t>
  </si>
  <si>
    <t xml:space="preserve">5 rounds: pull-ups, push-ups, weighted squats, upside-down hanging shoulder/ab work. Each exercise: 30 sec work + 20 sec rest, then continue around the circuit. 5 × 4 × 50 sec = 16 min 40 sec including the final rest.</t>
  </si>
  <si>
    <t xml:space="preserve">muscle-up, hspu, pistol</t>
  </si>
  <si>
    <t xml:space="preserve">Week plans</t>
  </si>
  <si>
    <t xml:space="preserve">Week</t>
  </si>
  <si>
    <t xml:space="preserve">Start</t>
  </si>
  <si>
    <t xml:space="preserve">Phase</t>
  </si>
  <si>
    <t xml:space="preserve">Focus</t>
  </si>
  <si>
    <t xml:space="preserve">Targets</t>
  </si>
  <si>
    <t xml:space="preserve">Advance when</t>
  </si>
  <si>
    <t xml:space="preserve">Minutes</t>
  </si>
  <si>
    <t xml:space="preserve">Foundation</t>
  </si>
  <si>
    <t xml:space="preserve">35 min skills before each circuit; leave reps in reserve</t>
  </si>
  <si>
    <t xml:space="preserve">Muscle-up: Scapular pulls + chest-to-bar intent; HSPU: Chest-to-wall hold + pike push-up; Pistol: Box pistol + ankle mobility</t>
  </si>
  <si>
    <t xml:space="preserve">Review recorded results and comfort. Repeat or adjust the week if needed.</t>
  </si>
  <si>
    <t xml:space="preserve">Scapular pull-up: 3 x 5, High pull (chest-to-bar intent): 3 x 3, Box pistol: 3 x 5/leg, Core: 5 rounds</t>
  </si>
  <si>
    <t xml:space="preserve">Chest-to-wall handstand: 3 x 20 sec, Pike push-up: 3 x 5, Box pistol: 3 x 5/leg, Core: 5 rounds</t>
  </si>
  <si>
    <t xml:space="preserve">Muscle-up: Band transition drill + high pull; HSPU: Wall hold + elevated pike push-up; Pistol: Lower box pistol + counterweight</t>
  </si>
  <si>
    <t xml:space="preserve">Band transition drill: 3 x 3, High pull: 3 x 3, Lower-box pistol with counterweight: 3 x 4/leg, Core: 5 rounds</t>
  </si>
  <si>
    <t xml:space="preserve">Wall handstand: 3 x 25 sec, Elevated pike push-up: 3 x 4, Lower-box pistol with counterweight: 3 x 4/leg, Core: 5 rounds</t>
  </si>
  <si>
    <t xml:space="preserve">Muscle-up: Explosive pull + low-bar transition; HSPU: Wall negative + pike push-up; Pistol: Assisted pistol to depth</t>
  </si>
  <si>
    <t xml:space="preserve">Explosive pull-up: 4 x 2, Low-bar transition: 3 x 3, Assisted full-depth pistol: 3 x 4/leg, Core: 5 rounds</t>
  </si>
  <si>
    <t xml:space="preserve">Wall HSPU negative: 3 x 2 (lower 3 sec), Pike push-up: 3 x 5, Assisted full-depth pistol: 3 x 4/leg, Core: 5 rounds</t>
  </si>
  <si>
    <t xml:space="preserve">Deload</t>
  </si>
  <si>
    <t xml:space="preserve">3 rounds; skip optional strength</t>
  </si>
  <si>
    <t xml:space="preserve">Muscle-up: Easy technique only; HSPU: Easy holds + mobility; Pistol: Easy assisted reps</t>
  </si>
  <si>
    <t xml:space="preserve">Easy scapular pull-up: 1 x 5, Easy low-bar transition: 1 x 3, Assisted pistol: 1 x 3/leg, Core: 3 rounds</t>
  </si>
  <si>
    <t xml:space="preserve">Easy wall handstand: 1 x 15 sec, Gentle wrist/shoulder mobility: 2 min, Assisted pistol: 1 x 3/leg, Core: 3 rounds</t>
  </si>
  <si>
    <t xml:space="preserve">Build</t>
  </si>
  <si>
    <t xml:space="preserve">Muscle-up: Chest-to-bar + band muscle-up; HSPU: Deficit pike + wall negative; Pistol: Counterweight pistol</t>
  </si>
  <si>
    <t xml:space="preserve">Chest-to-bar pull-up: 3 x 3, Band-assisted muscle-up: 4 x 1, Counterweight pistol: 3 x 4/leg, Core: 5 rounds</t>
  </si>
  <si>
    <t xml:space="preserve">Deficit pike push-up: 3 x 4, Wall HSPU negative: 3 x 2 (lower 3 sec), Counterweight pistol: 3 x 4/leg, Core: 5 rounds</t>
  </si>
  <si>
    <t xml:space="preserve">Muscle-up: Jumping muscle-up + slow transition; HSPU: Partial wall HSPU + negative; Pistol: Light counterweight pistol</t>
  </si>
  <si>
    <t xml:space="preserve">Jumping muscle-up: 3 x 3, Low-bar slow transition: 3 x 3, Light-counterweight pistol: 3 x 4/leg, Core: 5 rounds</t>
  </si>
  <si>
    <t xml:space="preserve">Partial wall HSPU: 3 x 3, Wall HSPU negative: 3 x 2 (lower 3 sec), Light-counterweight pistol: 3 x 4/leg, Core: 5 rounds</t>
  </si>
  <si>
    <t xml:space="preserve">Muscle-up: Light-band muscle-up singles; HSPU: Deeper wall HSPU; Pistol: Unassisted singles to target</t>
  </si>
  <si>
    <t xml:space="preserve">Light-band muscle-up: 4 x 1, Band-assisted transition: 3 x 2, Unassisted pistol to target: 3 x 1/leg, Core: 5 rounds</t>
  </si>
  <si>
    <t xml:space="preserve">Deeper wall HSPU: 3 x 2, Easy wall handstand: 2 x 20 sec, Unassisted pistol to target: 3 x 1/leg, Core: 5 rounds</t>
  </si>
  <si>
    <t xml:space="preserve">Muscle-up: Easy high pulls + transitions; HSPU: Easy holds + pike reps; Pistol: Assisted smooth reps</t>
  </si>
  <si>
    <t xml:space="preserve">Easy high pull: 1 x 3, Easy low-bar transition: 1 x 3, Assisted smooth pistol: 1 x 3/leg, Core: 3 rounds</t>
  </si>
  <si>
    <t xml:space="preserve">Easy wall handstand: 1 x 15 sec, Easy pike push-up: 1 x 4, Assisted smooth pistol: 1 x 3/leg, Core: 3 rounds</t>
  </si>
  <si>
    <t xml:space="preserve">Specific</t>
  </si>
  <si>
    <t xml:space="preserve">Muscle-up: Light-band or strict attempts, then back-off; HSPU: Full-ROM negatives + partial reps; Pistol: Unassisted singles</t>
  </si>
  <si>
    <t xml:space="preserve">Light-band or strict muscle-up: 3 x 1, Stronger-band back-off muscle-up: 2 x 2, Unassisted pistol: 3 x 1/leg, Core: 5 rounds</t>
  </si>
  <si>
    <t xml:space="preserve">Full-ROM wall HSPU negative: 3 x 1, Partial wall HSPU: 3 x 3, Unassisted pistol: 3 x 1/leg, Core: 5 rounds</t>
  </si>
  <si>
    <t xml:space="preserve">Muscle-up: 3-5 quality attempts + band reps; HSPU: Wall HSPU clusters; Pistol: Pistol clusters</t>
  </si>
  <si>
    <t xml:space="preserve">Quality muscle-up attempts: 3-5 singles, Band-assisted muscle-up: 2 x 2, Pistol clusters: 3 x (1+1)/leg (20 sec between reps), Core: 5 rounds</t>
  </si>
  <si>
    <t xml:space="preserve">Wall HSPU clusters: 3 x (1+1) (20 sec between reps), Easy wall handstand: 2 x 20 sec, Pistol clusters: 3 x (1+1)/leg (20 sec between reps), Core: 5 rounds</t>
  </si>
  <si>
    <t xml:space="preserve">Muscle-up: 3 quality attempts + crisp high pulls; HSPU: Full-ROM attempts + back-off; Pistol: Sets of clean pistols</t>
  </si>
  <si>
    <t xml:space="preserve">Quality muscle-up attempts: 3 singles, Crisp high pull: 3 x 2, Clean pistol: 3 x 2/leg, Core: 5 rounds</t>
  </si>
  <si>
    <t xml:space="preserve">Full-ROM wall HSPU: 3 single attempts, Pike push-up back-off: 2 x 4, Clean pistol: 3 x 2/leg, Core: 5 rounds</t>
  </si>
  <si>
    <t xml:space="preserve">Test</t>
  </si>
  <si>
    <t xml:space="preserve">2 easy rounds; tests replace extras</t>
  </si>
  <si>
    <t xml:space="preserve">Muscle-up: Test after warm-up; HSPU: Test after warm-up; Pistol: Test after warm-up</t>
  </si>
  <si>
    <t xml:space="preserve">Muscle-up test: up to 3 rested singles, Pistol test: 1 clean set/leg (cap at 5), Easy scapular pull-up: 1 x 5 if time remains, Core: 2 rounds</t>
  </si>
  <si>
    <t xml:space="preserve">Wall HSPU test: 1 clean set (cap at 5), Easy wall handstand: 1 x 15 sec, Gentle wrist/shoulder mobility: 2 min, Core: 2 rounds</t>
  </si>
  <si>
    <t xml:space="preserve">Exercise arsenal</t>
  </si>
  <si>
    <t xml:space="preserve">Group</t>
  </si>
  <si>
    <t xml:space="preserve">Exercise</t>
  </si>
  <si>
    <t xml:space="preserve">Easy scapular pull-up</t>
  </si>
  <si>
    <t xml:space="preserve">Scapular pull-up</t>
  </si>
  <si>
    <t xml:space="preserve">Easy high pull</t>
  </si>
  <si>
    <t xml:space="preserve">High pull</t>
  </si>
  <si>
    <t xml:space="preserve">High pull (chest-to-bar intent)</t>
  </si>
  <si>
    <t xml:space="preserve">Explosive pull-up</t>
  </si>
  <si>
    <t xml:space="preserve">Chest-to-bar pull-up</t>
  </si>
  <si>
    <t xml:space="preserve">Crisp high pull</t>
  </si>
  <si>
    <t xml:space="preserve">Easy low-bar transition</t>
  </si>
  <si>
    <t xml:space="preserve">Low-bar transition</t>
  </si>
  <si>
    <t xml:space="preserve">Low-bar slow transition</t>
  </si>
  <si>
    <t xml:space="preserve">Band transition drill</t>
  </si>
  <si>
    <t xml:space="preserve">Band-assisted transition</t>
  </si>
  <si>
    <t xml:space="preserve">Jumping muscle-up</t>
  </si>
  <si>
    <t xml:space="preserve">Band-assisted muscle-up</t>
  </si>
  <si>
    <t xml:space="preserve">Stronger-band back-off muscle-up</t>
  </si>
  <si>
    <t xml:space="preserve">Light-band muscle-up</t>
  </si>
  <si>
    <t xml:space="preserve">Light-band or strict muscle-up</t>
  </si>
  <si>
    <t xml:space="preserve">Quality muscle-up attempts</t>
  </si>
  <si>
    <t xml:space="preserve">Muscle-up test</t>
  </si>
  <si>
    <t xml:space="preserve">Handstand / HSPU</t>
  </si>
  <si>
    <t xml:space="preserve">Easy chest-to-wall hold</t>
  </si>
  <si>
    <t xml:space="preserve">Chest-to-wall handstand</t>
  </si>
  <si>
    <t xml:space="preserve">Easy wall handstand</t>
  </si>
  <si>
    <t xml:space="preserve">Wall handstand</t>
  </si>
  <si>
    <t xml:space="preserve">Wall handstand line drill</t>
  </si>
  <si>
    <t xml:space="preserve">Easy pike push-up</t>
  </si>
  <si>
    <t xml:space="preserve">Pike push-up</t>
  </si>
  <si>
    <t xml:space="preserve">Elevated pike push-up</t>
  </si>
  <si>
    <t xml:space="preserve">Deficit pike push-up</t>
  </si>
  <si>
    <t xml:space="preserve">Wall HSPU negative</t>
  </si>
  <si>
    <t xml:space="preserve">Full-ROM wall HSPU negative</t>
  </si>
  <si>
    <t xml:space="preserve">Partial wall HSPU</t>
  </si>
  <si>
    <t xml:space="preserve">Deeper wall HSPU</t>
  </si>
  <si>
    <t xml:space="preserve">Full-ROM wall HSPU</t>
  </si>
  <si>
    <t xml:space="preserve">Wall HSPU clusters</t>
  </si>
  <si>
    <t xml:space="preserve">Pike push-up back-off</t>
  </si>
  <si>
    <t xml:space="preserve">Wall HSPU test</t>
  </si>
  <si>
    <t xml:space="preserve">Box pistol</t>
  </si>
  <si>
    <t xml:space="preserve">Lower-box pistol with counterweight</t>
  </si>
  <si>
    <t xml:space="preserve">Assisted pistol</t>
  </si>
  <si>
    <t xml:space="preserve">Assisted smooth pistol</t>
  </si>
  <si>
    <t xml:space="preserve">Assisted full-depth pistol</t>
  </si>
  <si>
    <t xml:space="preserve">Counterweight pistol</t>
  </si>
  <si>
    <t xml:space="preserve">Light-counterweight pistol</t>
  </si>
  <si>
    <t xml:space="preserve">Unassisted pistol to target</t>
  </si>
  <si>
    <t xml:space="preserve">Unassisted pistol</t>
  </si>
  <si>
    <t xml:space="preserve">Pistol clusters</t>
  </si>
  <si>
    <t xml:space="preserve">Clean pistol</t>
  </si>
  <si>
    <t xml:space="preserve">Pistol test</t>
  </si>
  <si>
    <t xml:space="preserve">Pull-up</t>
  </si>
  <si>
    <t xml:space="preserve">Push-up</t>
  </si>
  <si>
    <t xml:space="preserve">Weighted squat</t>
  </si>
  <si>
    <t xml:space="preserve">Upside-down hanging shoulder/ab work</t>
  </si>
  <si>
    <t xml:space="preserve">Mobility</t>
  </si>
  <si>
    <t xml:space="preserve">Gentle wrist/shoulder mobility</t>
  </si>
  <si>
    <t xml:space="preserve">Wrist/shoulder mobility</t>
  </si>
  <si>
    <t xml:space="preserve">Weekly schedule</t>
  </si>
  <si>
    <t xml:space="preserve">Day</t>
  </si>
  <si>
    <t xml:space="preserve">Time Start</t>
  </si>
  <si>
    <t xml:space="preserve">Time End</t>
  </si>
  <si>
    <t xml:space="preserve">Activity</t>
  </si>
  <si>
    <t xml:space="preserve">Recorded by</t>
  </si>
  <si>
    <t xml:space="preserve">Notes</t>
  </si>
  <si>
    <t xml:space="preserve">Monday</t>
  </si>
  <si>
    <t xml:space="preserve">Tuesday</t>
  </si>
  <si>
    <t xml:space="preserve">Swimming</t>
  </si>
  <si>
    <t xml:space="preserve">Tracker</t>
  </si>
  <si>
    <t xml:space="preserve">Regular weekly swim training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</si>
  <si>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</si>
  <si>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</si>
  <si>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</si>
  <si>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</si>
  <si>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</si>
  <si>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Regular weekly run</t>
  </si>
  <si>
    <t xml:space="preserve">Date</t>
  </si>
  <si>
    <t xml:space="preserve">Block</t>
  </si>
  <si>
    <t xml:space="preserve">Title</t>
  </si>
  <si>
    <t xml:space="preserve">Planned minutes</t>
  </si>
  <si>
    <t xml:space="preserve">Actual minutes</t>
  </si>
  <si>
    <t xml:space="preserve">Status</t>
  </si>
  <si>
    <t xml:space="preserve">Muscle-up result</t>
  </si>
  <si>
    <t xml:space="preserve">HSPU result</t>
  </si>
  <si>
    <t xml:space="preserve">Pistol result</t>
  </si>
  <si>
    <t xml:space="preserve">Skill A + interval circuit</t>
  </si>
  <si>
    <t xml:space="preserve">planned</t>
  </si>
  <si>
    <t xml:space="preserve">Handstand technique</t>
  </si>
  <si>
    <t xml:space="preserve">Skill B + circuit</t>
  </si>
  <si>
    <t xml:space="preserve">Skill micro-session</t>
  </si>
  <si>
    <t xml:space="preserve">Skill B + interval circuit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</si>
</sst>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 %"/>
    <numFmt numFmtId="170" formatCode="yyyy\-mm\-dd"/>
    <numFmt numFmtId="171" formatCode="hh:mm"/>
    <numFmt numFmtId="172" formatCode="0"/>
  </numFmts>
  <fonts count="13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  <charset val="1"/>
    </font>
    <font>
      <sz val="11"/>
      <name val="Calibri"/>
      <family val="0"/>
      <charset val="1"/>
    </font>
    <font>
      <b val="true"/>
      <sz val="10"/>
      <color rgb="FF243247"/>
      <name val="Arial"/>
      <family val="0"/>
      <charset val="1"/>
    </font>
    <font>
      <sz val="10"/>
      <color rgb="FF243247"/>
      <name val="Arial"/>
      <family val="0"/>
      <charset val="1"/>
    </font>
    <font>
      <sz val="10"/>
      <color rgb="FF243247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43247"/>
      <name val="Arial"/>
      <family val="2"/>
      <charset val="1"/>
    </font>
    <font>
      <sz val="11"/>
      <color rgb="FF202B3C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3EF"/>
        <bgColor rgb="FFE6ECF3"/>
      </patternFill>
    </fill>
    <fill>
      <patternFill patternType="solid">
        <fgColor rgb="FF33465E"/>
        <bgColor rgb="FF243247"/>
      </patternFill>
    </fill>
    <fill>
      <patternFill patternType="solid">
        <fgColor rgb="FFE8EFF8"/>
        <bgColor rgb="FFE6ECF3"/>
      </patternFill>
    </fill>
    <fill>
      <patternFill patternType="solid">
        <fgColor rgb="FFFFF4D6"/>
        <bgColor rgb="FFF0F2F5"/>
      </patternFill>
    </fill>
    <fill>
      <patternFill patternType="solid">
        <fgColor rgb="FFF0F2F5"/>
        <bgColor rgb="FFE8EFF8"/>
      </patternFill>
    </fill>
    <fill>
      <patternFill patternType="solid">
        <fgColor rgb="FFE6ECF3"/>
        <bgColor rgb="FFE8EFF8"/>
      </patternFill>
    </fill>
    <fill>
      <patternFill patternType="solid">
        <fgColor rgb="FFE8F3EC"/>
        <bgColor rgb="FFE8EFF8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>
        <color rgb="FFB7C3CF"/>
      </bottom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5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6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2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3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4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5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5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6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5" borderId="5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5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5">
    <dxf>
      <fill>
        <patternFill patternType="solid">
          <fgColor rgb="FF33465E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24324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FEE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CF"/>
      <rgbColor rgb="FF808080"/>
      <rgbColor rgb="FF9999FF"/>
      <rgbColor rgb="FF993366"/>
      <rgbColor rgb="FFFFF4D6"/>
      <rgbColor rgb="FFE8F3EC"/>
      <rgbColor rgb="FF660066"/>
      <rgbColor rgb="FFFF8080"/>
      <rgbColor rgb="FF0066CC"/>
      <rgbColor rgb="FFD9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FF8"/>
      <rgbColor rgb="FFDFEEE2"/>
      <rgbColor rgb="FFF0F2F5"/>
      <rgbColor rgb="FF99CCFF"/>
      <rgbColor rgb="FFFF99CC"/>
      <rgbColor rgb="FFCC99FF"/>
      <rgbColor rgb="FFE6ECF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202B3C"/>
      <rgbColor rgb="FF339966"/>
      <rgbColor rgb="FF003300"/>
      <rgbColor rgb="FF333300"/>
      <rgbColor rgb="FF993300"/>
      <rgbColor rgb="FF993366"/>
      <rgbColor rgb="FF33465E"/>
      <rgbColor rgb="FF2432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ExerciseArsenal" displayName="ExerciseArsenal" ref="A35:B90" headerRowCount="1" totalsRowCount="0" totalsRowShown="0">
  <tableColumns count="2">
    <tableColumn id="1" name="Group"/>
    <tableColumn id="2" name="Exercise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465E"/>
    <pageSetUpPr fitToPage="false"/>
  </sheetPr>
  <dimension ref="A1:I1048576"/>
  <sheetViews>
    <sheetView showFormulas="false" showGridLines="false" showRowColHeaders="true" showZeros="true" rightToLeft="false" tabSelected="true" showOutlineSymbols="true" defaultGridColor="true" view="normal" topLeftCell="A10" colorId="64" zoomScale="45" zoomScaleNormal="4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28"/>
    <col collapsed="false" customWidth="true" hidden="false" outlineLevel="0" max="6" min="4" style="1" width="55"/>
    <col collapsed="false" customWidth="true" hidden="false" outlineLevel="0" max="7" min="7" style="1" width="16"/>
    <col collapsed="false" customWidth="true" hidden="false" outlineLevel="0" max="9" min="8" style="1" width="62"/>
  </cols>
  <sheetData>
    <row r="1" customFormat="false" ht="28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4"/>
      <c r="I1" s="4"/>
    </row>
    <row r="2" customFormat="false" ht="30" hidden="false" customHeight="tru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3"/>
      <c r="G2" s="3"/>
      <c r="H2" s="4"/>
      <c r="I2" s="4"/>
    </row>
    <row r="3" customFormat="false" ht="54" hidden="false" customHeight="true" outlineLevel="0" collapsed="false">
      <c r="A3" s="6" t="s">
        <v>6</v>
      </c>
      <c r="B3" s="6" t="s">
        <v>7</v>
      </c>
      <c r="C3" s="7" t="s">
        <v>8</v>
      </c>
      <c r="D3" s="7" t="s">
        <v>9</v>
      </c>
      <c r="E3" s="8" t="n">
        <v>46321.5</v>
      </c>
      <c r="F3" s="3"/>
      <c r="G3" s="3"/>
      <c r="H3" s="4"/>
      <c r="I3" s="4"/>
    </row>
    <row r="4" customFormat="false" ht="18" hidden="false" customHeight="true" outlineLevel="0" collapsed="false">
      <c r="A4" s="3"/>
      <c r="B4" s="3"/>
      <c r="C4" s="3"/>
      <c r="D4" s="3"/>
      <c r="E4" s="3"/>
      <c r="F4" s="3"/>
      <c r="G4" s="3"/>
      <c r="H4" s="4"/>
      <c r="I4" s="4"/>
    </row>
    <row r="5" customFormat="false" ht="28" hidden="false" customHeight="true" outlineLevel="0" collapsed="false">
      <c r="A5" s="2" t="s">
        <v>10</v>
      </c>
      <c r="B5" s="2"/>
      <c r="C5" s="2"/>
      <c r="D5" s="2"/>
      <c r="E5" s="2"/>
      <c r="F5" s="2"/>
      <c r="G5" s="3"/>
      <c r="H5" s="4"/>
      <c r="I5" s="4"/>
    </row>
    <row r="6" customFormat="false" ht="30" hidden="false" customHeight="tru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3"/>
      <c r="H6" s="4"/>
      <c r="I6" s="4"/>
    </row>
    <row r="7" customFormat="false" ht="76" hidden="false" customHeight="true" outlineLevel="0" collapsed="false">
      <c r="A7" s="6" t="s">
        <v>17</v>
      </c>
      <c r="B7" s="7" t="s">
        <v>18</v>
      </c>
      <c r="C7" s="7" t="s">
        <v>19</v>
      </c>
      <c r="D7" s="7" t="s">
        <v>20</v>
      </c>
      <c r="E7" s="7" t="s">
        <v>21</v>
      </c>
      <c r="F7" s="7" t="s">
        <v>22</v>
      </c>
      <c r="G7" s="3"/>
      <c r="H7" s="4"/>
      <c r="I7" s="4"/>
    </row>
    <row r="8" customFormat="false" ht="76" hidden="false" customHeight="true" outlineLevel="0" collapsed="false">
      <c r="A8" s="6" t="s">
        <v>23</v>
      </c>
      <c r="B8" s="7" t="s">
        <v>24</v>
      </c>
      <c r="C8" s="7" t="s">
        <v>25</v>
      </c>
      <c r="D8" s="7" t="s">
        <v>20</v>
      </c>
      <c r="E8" s="7" t="s">
        <v>26</v>
      </c>
      <c r="F8" s="7" t="s">
        <v>22</v>
      </c>
      <c r="G8" s="3"/>
      <c r="H8" s="4"/>
      <c r="I8" s="4"/>
    </row>
    <row r="9" customFormat="false" ht="76" hidden="false" customHeight="true" outlineLevel="0" collapsed="false">
      <c r="A9" s="6" t="s">
        <v>27</v>
      </c>
      <c r="B9" s="7" t="s">
        <v>28</v>
      </c>
      <c r="C9" s="7" t="s">
        <v>29</v>
      </c>
      <c r="D9" s="7" t="s">
        <v>20</v>
      </c>
      <c r="E9" s="7" t="s">
        <v>30</v>
      </c>
      <c r="F9" s="7" t="s">
        <v>22</v>
      </c>
      <c r="G9" s="3"/>
      <c r="H9" s="4"/>
      <c r="I9" s="4"/>
    </row>
    <row r="10" customFormat="false" ht="76" hidden="false" customHeight="true" outlineLevel="0" collapsed="false">
      <c r="A10" s="6" t="s">
        <v>31</v>
      </c>
      <c r="B10" s="7" t="s">
        <v>32</v>
      </c>
      <c r="C10" s="7" t="s">
        <v>33</v>
      </c>
      <c r="D10" s="7" t="s">
        <v>34</v>
      </c>
      <c r="E10" s="7" t="s">
        <v>35</v>
      </c>
      <c r="F10" s="7" t="s">
        <v>36</v>
      </c>
      <c r="G10" s="3"/>
      <c r="H10" s="4"/>
      <c r="I10" s="4"/>
    </row>
    <row r="11" customFormat="false" ht="18" hidden="false" customHeight="true" outlineLevel="0" collapsed="false">
      <c r="A11" s="3"/>
      <c r="B11" s="3"/>
      <c r="C11" s="3"/>
      <c r="D11" s="3"/>
      <c r="E11" s="3"/>
      <c r="F11" s="3"/>
      <c r="G11" s="3"/>
      <c r="H11" s="4"/>
      <c r="I11" s="4"/>
    </row>
    <row r="12" customFormat="false" ht="28" hidden="false" customHeight="true" outlineLevel="0" collapsed="false">
      <c r="A12" s="2" t="s">
        <v>37</v>
      </c>
      <c r="B12" s="2"/>
      <c r="C12" s="2"/>
      <c r="D12" s="2"/>
      <c r="E12" s="2"/>
      <c r="F12" s="3"/>
      <c r="G12" s="3"/>
      <c r="H12" s="4"/>
      <c r="I12" s="4"/>
    </row>
    <row r="13" customFormat="false" ht="30" hidden="false" customHeight="true" outlineLevel="0" collapsed="false">
      <c r="A13" s="5" t="s">
        <v>38</v>
      </c>
      <c r="B13" s="5" t="s">
        <v>39</v>
      </c>
      <c r="C13" s="5" t="s">
        <v>12</v>
      </c>
      <c r="D13" s="5" t="s">
        <v>40</v>
      </c>
      <c r="E13" s="5" t="s">
        <v>41</v>
      </c>
      <c r="F13" s="3"/>
      <c r="G13" s="3"/>
      <c r="H13" s="4"/>
      <c r="I13" s="4"/>
    </row>
    <row r="14" customFormat="false" ht="110" hidden="false" customHeight="true" outlineLevel="0" collapsed="false">
      <c r="A14" s="6" t="s">
        <v>42</v>
      </c>
      <c r="B14" s="6" t="s">
        <v>6</v>
      </c>
      <c r="C14" s="7" t="s">
        <v>43</v>
      </c>
      <c r="D14" s="7" t="s">
        <v>44</v>
      </c>
      <c r="E14" s="7" t="s">
        <v>45</v>
      </c>
      <c r="F14" s="3"/>
      <c r="G14" s="3"/>
      <c r="H14" s="4"/>
      <c r="I14" s="4"/>
    </row>
    <row r="15" customFormat="false" ht="110" hidden="false" customHeight="true" outlineLevel="0" collapsed="false">
      <c r="A15" s="6" t="s">
        <v>46</v>
      </c>
      <c r="B15" s="6" t="s">
        <v>6</v>
      </c>
      <c r="C15" s="7" t="s">
        <v>47</v>
      </c>
      <c r="D15" s="7" t="s">
        <v>48</v>
      </c>
      <c r="E15" s="7" t="s">
        <v>49</v>
      </c>
      <c r="F15" s="3"/>
      <c r="G15" s="3"/>
      <c r="H15" s="4"/>
      <c r="I15" s="4"/>
    </row>
    <row r="16" customFormat="false" ht="110" hidden="false" customHeight="true" outlineLevel="0" collapsed="false">
      <c r="A16" s="6" t="s">
        <v>50</v>
      </c>
      <c r="B16" s="6" t="s">
        <v>6</v>
      </c>
      <c r="C16" s="7" t="s">
        <v>51</v>
      </c>
      <c r="D16" s="7" t="s">
        <v>52</v>
      </c>
      <c r="E16" s="7" t="s">
        <v>23</v>
      </c>
      <c r="F16" s="3"/>
      <c r="G16" s="3"/>
      <c r="H16" s="4"/>
      <c r="I16" s="4"/>
    </row>
    <row r="17" customFormat="false" ht="110" hidden="false" customHeight="true" outlineLevel="0" collapsed="false">
      <c r="A17" s="6" t="s">
        <v>53</v>
      </c>
      <c r="B17" s="6" t="s">
        <v>6</v>
      </c>
      <c r="C17" s="7" t="s">
        <v>54</v>
      </c>
      <c r="D17" s="7" t="s">
        <v>55</v>
      </c>
      <c r="E17" s="7" t="s">
        <v>56</v>
      </c>
      <c r="F17" s="3"/>
      <c r="G17" s="3"/>
      <c r="H17" s="4"/>
      <c r="I17" s="4"/>
    </row>
    <row r="18" customFormat="false" ht="18" hidden="false" customHeight="true" outlineLevel="0" collapsed="false">
      <c r="A18" s="4"/>
      <c r="B18" s="4"/>
      <c r="C18" s="4"/>
      <c r="D18" s="4"/>
      <c r="E18" s="4"/>
      <c r="F18" s="4"/>
      <c r="G18" s="4"/>
      <c r="H18" s="4"/>
      <c r="I18" s="4"/>
    </row>
    <row r="19" customFormat="false" ht="28" hidden="false" customHeight="true" outlineLevel="0" collapsed="false">
      <c r="A19" s="2" t="s">
        <v>57</v>
      </c>
      <c r="B19" s="2"/>
      <c r="C19" s="2"/>
      <c r="D19" s="2"/>
      <c r="E19" s="2"/>
      <c r="F19" s="2"/>
      <c r="G19" s="2"/>
      <c r="H19" s="9"/>
      <c r="I19" s="9"/>
    </row>
    <row r="20" customFormat="false" ht="30" hidden="false" customHeight="true" outlineLevel="0" collapsed="false">
      <c r="A20" s="5" t="s">
        <v>58</v>
      </c>
      <c r="B20" s="5" t="s">
        <v>59</v>
      </c>
      <c r="C20" s="5" t="s">
        <v>60</v>
      </c>
      <c r="D20" s="5" t="s">
        <v>61</v>
      </c>
      <c r="E20" s="5" t="s">
        <v>62</v>
      </c>
      <c r="F20" s="5" t="s">
        <v>63</v>
      </c>
      <c r="G20" s="5" t="s">
        <v>64</v>
      </c>
      <c r="H20" s="5" t="s">
        <v>42</v>
      </c>
      <c r="I20" s="5" t="s">
        <v>46</v>
      </c>
    </row>
    <row r="21" customFormat="false" ht="95" hidden="false" customHeight="true" outlineLevel="0" collapsed="false">
      <c r="A21" s="6" t="n">
        <v>1</v>
      </c>
      <c r="B21" s="10" t="n">
        <f aca="false">$E$3+7*(A21-1)</f>
        <v>46321.5</v>
      </c>
      <c r="C21" s="7" t="s">
        <v>65</v>
      </c>
      <c r="D21" s="7" t="s">
        <v>66</v>
      </c>
      <c r="E21" s="7" t="s">
        <v>67</v>
      </c>
      <c r="F21" s="7" t="s">
        <v>68</v>
      </c>
      <c r="G21" s="7" t="n">
        <v>160</v>
      </c>
      <c r="H21" s="7" t="s">
        <v>69</v>
      </c>
      <c r="I21" s="7" t="s">
        <v>70</v>
      </c>
    </row>
    <row r="22" customFormat="false" ht="95" hidden="false" customHeight="true" outlineLevel="0" collapsed="false">
      <c r="A22" s="6" t="n">
        <v>2</v>
      </c>
      <c r="B22" s="10" t="n">
        <f aca="false">$E$3+7*(A22-1)</f>
        <v>46328.5</v>
      </c>
      <c r="C22" s="7" t="s">
        <v>65</v>
      </c>
      <c r="D22" s="7" t="s">
        <v>66</v>
      </c>
      <c r="E22" s="7" t="s">
        <v>71</v>
      </c>
      <c r="F22" s="7" t="s">
        <v>68</v>
      </c>
      <c r="G22" s="7" t="n">
        <v>160</v>
      </c>
      <c r="H22" s="7" t="s">
        <v>72</v>
      </c>
      <c r="I22" s="7" t="s">
        <v>73</v>
      </c>
    </row>
    <row r="23" customFormat="false" ht="95" hidden="false" customHeight="true" outlineLevel="0" collapsed="false">
      <c r="A23" s="6" t="n">
        <v>3</v>
      </c>
      <c r="B23" s="10" t="n">
        <f aca="false">$E$3+7*(A23-1)</f>
        <v>46335.5</v>
      </c>
      <c r="C23" s="7" t="s">
        <v>65</v>
      </c>
      <c r="D23" s="7" t="s">
        <v>66</v>
      </c>
      <c r="E23" s="7" t="s">
        <v>74</v>
      </c>
      <c r="F23" s="7" t="s">
        <v>68</v>
      </c>
      <c r="G23" s="7" t="n">
        <v>160</v>
      </c>
      <c r="H23" s="7" t="s">
        <v>75</v>
      </c>
      <c r="I23" s="7" t="s">
        <v>76</v>
      </c>
    </row>
    <row r="24" customFormat="false" ht="95" hidden="false" customHeight="true" outlineLevel="0" collapsed="false">
      <c r="A24" s="6" t="n">
        <v>4</v>
      </c>
      <c r="B24" s="10" t="n">
        <f aca="false">$E$3+7*(A24-1)</f>
        <v>46342.5</v>
      </c>
      <c r="C24" s="7" t="s">
        <v>77</v>
      </c>
      <c r="D24" s="7" t="s">
        <v>78</v>
      </c>
      <c r="E24" s="7" t="s">
        <v>79</v>
      </c>
      <c r="F24" s="7" t="s">
        <v>68</v>
      </c>
      <c r="G24" s="7" t="n">
        <v>81</v>
      </c>
      <c r="H24" s="7" t="s">
        <v>80</v>
      </c>
      <c r="I24" s="7" t="s">
        <v>81</v>
      </c>
    </row>
    <row r="25" customFormat="false" ht="95" hidden="false" customHeight="true" outlineLevel="0" collapsed="false">
      <c r="A25" s="6" t="n">
        <v>5</v>
      </c>
      <c r="B25" s="10" t="n">
        <f aca="false">$E$3+7*(A25-1)</f>
        <v>46349.5</v>
      </c>
      <c r="C25" s="7" t="s">
        <v>82</v>
      </c>
      <c r="D25" s="7" t="s">
        <v>66</v>
      </c>
      <c r="E25" s="7" t="s">
        <v>83</v>
      </c>
      <c r="F25" s="7" t="s">
        <v>68</v>
      </c>
      <c r="G25" s="7" t="n">
        <v>160</v>
      </c>
      <c r="H25" s="7" t="s">
        <v>84</v>
      </c>
      <c r="I25" s="7" t="s">
        <v>85</v>
      </c>
    </row>
    <row r="26" customFormat="false" ht="95" hidden="false" customHeight="true" outlineLevel="0" collapsed="false">
      <c r="A26" s="6" t="n">
        <v>6</v>
      </c>
      <c r="B26" s="10" t="n">
        <f aca="false">$E$3+7*(A26-1)</f>
        <v>46356.5</v>
      </c>
      <c r="C26" s="7" t="s">
        <v>82</v>
      </c>
      <c r="D26" s="7" t="s">
        <v>66</v>
      </c>
      <c r="E26" s="7" t="s">
        <v>86</v>
      </c>
      <c r="F26" s="7" t="s">
        <v>68</v>
      </c>
      <c r="G26" s="7" t="n">
        <v>160</v>
      </c>
      <c r="H26" s="7" t="s">
        <v>87</v>
      </c>
      <c r="I26" s="7" t="s">
        <v>88</v>
      </c>
    </row>
    <row r="27" customFormat="false" ht="95" hidden="false" customHeight="true" outlineLevel="0" collapsed="false">
      <c r="A27" s="6" t="n">
        <v>7</v>
      </c>
      <c r="B27" s="10" t="n">
        <f aca="false">$E$3+7*(A27-1)</f>
        <v>46363.5</v>
      </c>
      <c r="C27" s="7" t="s">
        <v>82</v>
      </c>
      <c r="D27" s="7" t="s">
        <v>66</v>
      </c>
      <c r="E27" s="7" t="s">
        <v>89</v>
      </c>
      <c r="F27" s="7" t="s">
        <v>68</v>
      </c>
      <c r="G27" s="7" t="n">
        <v>160</v>
      </c>
      <c r="H27" s="7" t="s">
        <v>90</v>
      </c>
      <c r="I27" s="7" t="s">
        <v>91</v>
      </c>
    </row>
    <row r="28" customFormat="false" ht="95" hidden="false" customHeight="true" outlineLevel="0" collapsed="false">
      <c r="A28" s="6" t="n">
        <v>8</v>
      </c>
      <c r="B28" s="10" t="n">
        <f aca="false">$E$3+7*(A28-1)</f>
        <v>46370.5</v>
      </c>
      <c r="C28" s="7" t="s">
        <v>77</v>
      </c>
      <c r="D28" s="7" t="s">
        <v>78</v>
      </c>
      <c r="E28" s="7" t="s">
        <v>92</v>
      </c>
      <c r="F28" s="7" t="s">
        <v>68</v>
      </c>
      <c r="G28" s="7" t="n">
        <v>81</v>
      </c>
      <c r="H28" s="7" t="s">
        <v>93</v>
      </c>
      <c r="I28" s="7" t="s">
        <v>94</v>
      </c>
    </row>
    <row r="29" customFormat="false" ht="95" hidden="false" customHeight="true" outlineLevel="0" collapsed="false">
      <c r="A29" s="6" t="n">
        <v>9</v>
      </c>
      <c r="B29" s="10" t="n">
        <f aca="false">$E$3+7*(A29-1)</f>
        <v>46377.5</v>
      </c>
      <c r="C29" s="7" t="s">
        <v>95</v>
      </c>
      <c r="D29" s="7" t="s">
        <v>66</v>
      </c>
      <c r="E29" s="7" t="s">
        <v>96</v>
      </c>
      <c r="F29" s="7" t="s">
        <v>68</v>
      </c>
      <c r="G29" s="7" t="n">
        <v>160</v>
      </c>
      <c r="H29" s="7" t="s">
        <v>97</v>
      </c>
      <c r="I29" s="7" t="s">
        <v>98</v>
      </c>
    </row>
    <row r="30" customFormat="false" ht="95" hidden="false" customHeight="true" outlineLevel="0" collapsed="false">
      <c r="A30" s="6" t="n">
        <v>10</v>
      </c>
      <c r="B30" s="10" t="n">
        <f aca="false">$E$3+7*(A30-1)</f>
        <v>46384.5</v>
      </c>
      <c r="C30" s="7" t="s">
        <v>95</v>
      </c>
      <c r="D30" s="7" t="s">
        <v>66</v>
      </c>
      <c r="E30" s="7" t="s">
        <v>99</v>
      </c>
      <c r="F30" s="7" t="s">
        <v>68</v>
      </c>
      <c r="G30" s="7" t="n">
        <v>160</v>
      </c>
      <c r="H30" s="7" t="s">
        <v>100</v>
      </c>
      <c r="I30" s="7" t="s">
        <v>101</v>
      </c>
    </row>
    <row r="31" customFormat="false" ht="95" hidden="false" customHeight="true" outlineLevel="0" collapsed="false">
      <c r="A31" s="6" t="n">
        <v>11</v>
      </c>
      <c r="B31" s="10" t="n">
        <f aca="false">$E$3+7*(A31-1)</f>
        <v>46391.5</v>
      </c>
      <c r="C31" s="7" t="s">
        <v>95</v>
      </c>
      <c r="D31" s="7" t="s">
        <v>66</v>
      </c>
      <c r="E31" s="7" t="s">
        <v>102</v>
      </c>
      <c r="F31" s="7" t="s">
        <v>68</v>
      </c>
      <c r="G31" s="7" t="n">
        <v>160</v>
      </c>
      <c r="H31" s="7" t="s">
        <v>103</v>
      </c>
      <c r="I31" s="7" t="s">
        <v>104</v>
      </c>
    </row>
    <row r="32" customFormat="false" ht="95" hidden="false" customHeight="true" outlineLevel="0" collapsed="false">
      <c r="A32" s="6" t="n">
        <v>12</v>
      </c>
      <c r="B32" s="10" t="n">
        <f aca="false">$E$3+7*(A32-1)</f>
        <v>46398.5</v>
      </c>
      <c r="C32" s="7" t="s">
        <v>105</v>
      </c>
      <c r="D32" s="7" t="s">
        <v>106</v>
      </c>
      <c r="E32" s="7" t="s">
        <v>107</v>
      </c>
      <c r="F32" s="7" t="s">
        <v>68</v>
      </c>
      <c r="G32" s="7" t="n">
        <v>75</v>
      </c>
      <c r="H32" s="7" t="s">
        <v>108</v>
      </c>
      <c r="I32" s="7" t="s">
        <v>109</v>
      </c>
    </row>
    <row r="33" customFormat="false" ht="18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</row>
    <row r="34" customFormat="false" ht="28" hidden="false" customHeight="true" outlineLevel="0" collapsed="false">
      <c r="A34" s="2" t="s">
        <v>110</v>
      </c>
      <c r="B34" s="2"/>
      <c r="C34" s="11"/>
      <c r="D34" s="11"/>
      <c r="E34" s="11"/>
      <c r="F34" s="11"/>
      <c r="G34" s="11"/>
      <c r="H34" s="4"/>
      <c r="I34" s="4"/>
    </row>
    <row r="35" customFormat="false" ht="30" hidden="false" customHeight="true" outlineLevel="0" collapsed="false">
      <c r="A35" s="5" t="s">
        <v>111</v>
      </c>
      <c r="B35" s="5" t="s">
        <v>112</v>
      </c>
      <c r="C35" s="4"/>
      <c r="D35" s="4"/>
      <c r="E35" s="4"/>
      <c r="F35" s="4"/>
      <c r="G35" s="4"/>
      <c r="H35" s="4"/>
      <c r="I35" s="4"/>
    </row>
    <row r="36" customFormat="false" ht="30" hidden="false" customHeight="true" outlineLevel="0" collapsed="false">
      <c r="A36" s="12" t="s">
        <v>18</v>
      </c>
      <c r="B36" s="13" t="s">
        <v>113</v>
      </c>
      <c r="C36" s="4"/>
      <c r="D36" s="4"/>
      <c r="E36" s="4"/>
      <c r="F36" s="4"/>
      <c r="G36" s="4"/>
      <c r="H36" s="4"/>
      <c r="I36" s="4"/>
    </row>
    <row r="37" customFormat="false" ht="30" hidden="false" customHeight="true" outlineLevel="0" collapsed="false">
      <c r="A37" s="12" t="s">
        <v>18</v>
      </c>
      <c r="B37" s="14" t="s">
        <v>114</v>
      </c>
      <c r="C37" s="4"/>
      <c r="D37" s="4"/>
      <c r="E37" s="4"/>
      <c r="F37" s="3"/>
      <c r="G37" s="3"/>
      <c r="H37" s="4"/>
      <c r="I37" s="4"/>
    </row>
    <row r="38" customFormat="false" ht="30" hidden="false" customHeight="true" outlineLevel="0" collapsed="false">
      <c r="A38" s="12" t="s">
        <v>18</v>
      </c>
      <c r="B38" s="14" t="s">
        <v>115</v>
      </c>
      <c r="C38" s="4"/>
      <c r="D38" s="4"/>
      <c r="E38" s="4"/>
      <c r="F38" s="3"/>
      <c r="G38" s="3"/>
      <c r="H38" s="4"/>
      <c r="I38" s="4"/>
    </row>
    <row r="39" customFormat="false" ht="30" hidden="false" customHeight="true" outlineLevel="0" collapsed="false">
      <c r="A39" s="12" t="s">
        <v>18</v>
      </c>
      <c r="B39" s="14" t="s">
        <v>116</v>
      </c>
      <c r="C39" s="4"/>
      <c r="D39" s="4"/>
      <c r="E39" s="4"/>
      <c r="F39" s="3"/>
      <c r="G39" s="3"/>
      <c r="H39" s="4"/>
      <c r="I39" s="4"/>
    </row>
    <row r="40" customFormat="false" ht="30" hidden="false" customHeight="true" outlineLevel="0" collapsed="false">
      <c r="A40" s="12" t="s">
        <v>18</v>
      </c>
      <c r="B40" s="14" t="s">
        <v>117</v>
      </c>
      <c r="C40" s="4"/>
      <c r="D40" s="4"/>
      <c r="E40" s="4"/>
      <c r="F40" s="3"/>
      <c r="G40" s="3"/>
      <c r="H40" s="4"/>
      <c r="I40" s="4"/>
    </row>
    <row r="41" customFormat="false" ht="30" hidden="false" customHeight="true" outlineLevel="0" collapsed="false">
      <c r="A41" s="12" t="s">
        <v>18</v>
      </c>
      <c r="B41" s="14" t="s">
        <v>118</v>
      </c>
      <c r="C41" s="4"/>
      <c r="D41" s="4"/>
      <c r="E41" s="4"/>
      <c r="F41" s="3"/>
      <c r="G41" s="3"/>
      <c r="H41" s="4"/>
      <c r="I41" s="4"/>
    </row>
    <row r="42" customFormat="false" ht="30" hidden="false" customHeight="true" outlineLevel="0" collapsed="false">
      <c r="A42" s="12" t="s">
        <v>18</v>
      </c>
      <c r="B42" s="14" t="s">
        <v>119</v>
      </c>
      <c r="C42" s="4"/>
      <c r="D42" s="4"/>
      <c r="E42" s="4"/>
      <c r="F42" s="3"/>
      <c r="G42" s="3"/>
      <c r="H42" s="4"/>
      <c r="I42" s="4"/>
    </row>
    <row r="43" customFormat="false" ht="30" hidden="false" customHeight="true" outlineLevel="0" collapsed="false">
      <c r="A43" s="12" t="s">
        <v>18</v>
      </c>
      <c r="B43" s="14" t="s">
        <v>120</v>
      </c>
      <c r="C43" s="4"/>
      <c r="D43" s="4"/>
      <c r="E43" s="4"/>
      <c r="F43" s="3"/>
      <c r="G43" s="3"/>
      <c r="H43" s="4"/>
      <c r="I43" s="4"/>
    </row>
    <row r="44" customFormat="false" ht="30" hidden="false" customHeight="true" outlineLevel="0" collapsed="false">
      <c r="A44" s="12" t="s">
        <v>18</v>
      </c>
      <c r="B44" s="14" t="s">
        <v>121</v>
      </c>
      <c r="C44" s="4"/>
      <c r="D44" s="4"/>
      <c r="E44" s="4"/>
      <c r="F44" s="3"/>
      <c r="G44" s="3"/>
      <c r="H44" s="4"/>
      <c r="I44" s="4"/>
    </row>
    <row r="45" customFormat="false" ht="30" hidden="false" customHeight="true" outlineLevel="0" collapsed="false">
      <c r="A45" s="12" t="s">
        <v>18</v>
      </c>
      <c r="B45" s="14" t="s">
        <v>122</v>
      </c>
      <c r="C45" s="4"/>
      <c r="D45" s="4"/>
      <c r="E45" s="4"/>
      <c r="F45" s="3"/>
      <c r="G45" s="3"/>
      <c r="H45" s="4"/>
      <c r="I45" s="4"/>
    </row>
    <row r="46" customFormat="false" ht="30" hidden="false" customHeight="true" outlineLevel="0" collapsed="false">
      <c r="A46" s="12" t="s">
        <v>18</v>
      </c>
      <c r="B46" s="14" t="s">
        <v>123</v>
      </c>
      <c r="C46" s="4"/>
      <c r="D46" s="4"/>
      <c r="E46" s="4"/>
      <c r="F46" s="3"/>
      <c r="G46" s="3"/>
      <c r="H46" s="4"/>
      <c r="I46" s="4"/>
    </row>
    <row r="47" customFormat="false" ht="30" hidden="false" customHeight="true" outlineLevel="0" collapsed="false">
      <c r="A47" s="12" t="s">
        <v>18</v>
      </c>
      <c r="B47" s="14" t="s">
        <v>124</v>
      </c>
      <c r="C47" s="4"/>
      <c r="D47" s="4"/>
      <c r="E47" s="4"/>
      <c r="F47" s="4"/>
      <c r="G47" s="4"/>
      <c r="H47" s="4"/>
      <c r="I47" s="4"/>
    </row>
    <row r="48" customFormat="false" ht="30" hidden="false" customHeight="true" outlineLevel="0" collapsed="false">
      <c r="A48" s="12" t="s">
        <v>18</v>
      </c>
      <c r="B48" s="14" t="s">
        <v>125</v>
      </c>
      <c r="C48" s="4"/>
      <c r="D48" s="4"/>
      <c r="E48" s="4"/>
      <c r="F48" s="4"/>
      <c r="G48" s="4"/>
      <c r="H48" s="4"/>
      <c r="I48" s="4"/>
    </row>
    <row r="49" customFormat="false" ht="30" hidden="false" customHeight="true" outlineLevel="0" collapsed="false">
      <c r="A49" s="12" t="s">
        <v>18</v>
      </c>
      <c r="B49" s="14" t="s">
        <v>126</v>
      </c>
      <c r="C49" s="4"/>
      <c r="D49" s="4"/>
      <c r="E49" s="4"/>
      <c r="F49" s="4"/>
      <c r="G49" s="4"/>
      <c r="H49" s="4"/>
      <c r="I49" s="4"/>
    </row>
    <row r="50" customFormat="false" ht="30" hidden="false" customHeight="true" outlineLevel="0" collapsed="false">
      <c r="A50" s="12" t="s">
        <v>18</v>
      </c>
      <c r="B50" s="14" t="s">
        <v>127</v>
      </c>
      <c r="C50" s="4"/>
      <c r="D50" s="4"/>
      <c r="E50" s="4"/>
      <c r="F50" s="4"/>
      <c r="G50" s="4"/>
      <c r="H50" s="4"/>
      <c r="I50" s="4"/>
    </row>
    <row r="51" customFormat="false" ht="30" hidden="false" customHeight="true" outlineLevel="0" collapsed="false">
      <c r="A51" s="12" t="s">
        <v>18</v>
      </c>
      <c r="B51" s="14" t="s">
        <v>128</v>
      </c>
      <c r="C51" s="4"/>
      <c r="D51" s="4"/>
      <c r="E51" s="4"/>
      <c r="F51" s="4"/>
      <c r="G51" s="4"/>
      <c r="H51" s="4"/>
      <c r="I51" s="4"/>
    </row>
    <row r="52" customFormat="false" ht="30" hidden="false" customHeight="true" outlineLevel="0" collapsed="false">
      <c r="A52" s="12" t="s">
        <v>18</v>
      </c>
      <c r="B52" s="14" t="s">
        <v>129</v>
      </c>
      <c r="C52" s="4"/>
      <c r="D52" s="4"/>
      <c r="E52" s="4"/>
      <c r="F52" s="4"/>
      <c r="G52" s="4"/>
      <c r="H52" s="4"/>
      <c r="I52" s="4"/>
    </row>
    <row r="53" customFormat="false" ht="30" hidden="false" customHeight="true" outlineLevel="0" collapsed="false">
      <c r="A53" s="12" t="s">
        <v>18</v>
      </c>
      <c r="B53" s="14" t="s">
        <v>130</v>
      </c>
      <c r="C53" s="4"/>
      <c r="D53" s="4"/>
      <c r="E53" s="4"/>
      <c r="F53" s="4"/>
      <c r="G53" s="4"/>
      <c r="H53" s="4"/>
      <c r="I53" s="4"/>
    </row>
    <row r="54" customFormat="false" ht="30" hidden="false" customHeight="true" outlineLevel="0" collapsed="false">
      <c r="A54" s="12" t="s">
        <v>18</v>
      </c>
      <c r="B54" s="14" t="s">
        <v>131</v>
      </c>
      <c r="C54" s="4"/>
      <c r="D54" s="4"/>
      <c r="E54" s="4"/>
      <c r="F54" s="4"/>
      <c r="G54" s="4"/>
      <c r="H54" s="4"/>
      <c r="I54" s="4"/>
    </row>
    <row r="55" customFormat="false" ht="30" hidden="false" customHeight="true" outlineLevel="0" collapsed="false">
      <c r="A55" s="12" t="s">
        <v>18</v>
      </c>
      <c r="B55" s="15" t="s">
        <v>132</v>
      </c>
      <c r="C55" s="4"/>
      <c r="D55" s="4"/>
      <c r="E55" s="4"/>
      <c r="F55" s="4"/>
      <c r="G55" s="4"/>
      <c r="H55" s="4"/>
      <c r="I55" s="4"/>
    </row>
    <row r="56" customFormat="false" ht="30" hidden="false" customHeight="true" outlineLevel="0" collapsed="false">
      <c r="A56" s="12" t="s">
        <v>133</v>
      </c>
      <c r="B56" s="13" t="s">
        <v>134</v>
      </c>
      <c r="C56" s="4"/>
      <c r="D56" s="4"/>
      <c r="E56" s="4"/>
      <c r="F56" s="4"/>
      <c r="G56" s="4"/>
      <c r="H56" s="4"/>
      <c r="I56" s="4"/>
    </row>
    <row r="57" customFormat="false" ht="30" hidden="false" customHeight="true" outlineLevel="0" collapsed="false">
      <c r="A57" s="12" t="s">
        <v>133</v>
      </c>
      <c r="B57" s="14" t="s">
        <v>135</v>
      </c>
      <c r="C57" s="4"/>
      <c r="D57" s="4"/>
      <c r="E57" s="4"/>
      <c r="F57" s="4"/>
      <c r="G57" s="4"/>
      <c r="H57" s="4"/>
      <c r="I57" s="4"/>
    </row>
    <row r="58" customFormat="false" ht="30" hidden="false" customHeight="true" outlineLevel="0" collapsed="false">
      <c r="A58" s="12" t="s">
        <v>133</v>
      </c>
      <c r="B58" s="14" t="s">
        <v>136</v>
      </c>
      <c r="C58" s="4"/>
      <c r="D58" s="4"/>
      <c r="E58" s="4"/>
      <c r="F58" s="4"/>
      <c r="G58" s="4"/>
      <c r="H58" s="4"/>
      <c r="I58" s="4"/>
    </row>
    <row r="59" customFormat="false" ht="30" hidden="false" customHeight="true" outlineLevel="0" collapsed="false">
      <c r="A59" s="12" t="s">
        <v>133</v>
      </c>
      <c r="B59" s="14" t="s">
        <v>137</v>
      </c>
      <c r="C59" s="4"/>
      <c r="D59" s="4"/>
      <c r="E59" s="4"/>
      <c r="F59" s="4"/>
      <c r="G59" s="4"/>
      <c r="H59" s="4"/>
      <c r="I59" s="4"/>
    </row>
    <row r="60" customFormat="false" ht="30" hidden="false" customHeight="true" outlineLevel="0" collapsed="false">
      <c r="A60" s="12" t="s">
        <v>133</v>
      </c>
      <c r="B60" s="14" t="s">
        <v>138</v>
      </c>
      <c r="C60" s="4"/>
      <c r="D60" s="4"/>
      <c r="E60" s="4"/>
      <c r="F60" s="4"/>
      <c r="G60" s="4"/>
      <c r="H60" s="4"/>
      <c r="I60" s="4"/>
    </row>
    <row r="61" customFormat="false" ht="30" hidden="false" customHeight="true" outlineLevel="0" collapsed="false">
      <c r="A61" s="12" t="s">
        <v>133</v>
      </c>
      <c r="B61" s="14" t="s">
        <v>139</v>
      </c>
      <c r="C61" s="4"/>
      <c r="D61" s="4"/>
      <c r="E61" s="4"/>
      <c r="F61" s="4"/>
      <c r="G61" s="4"/>
      <c r="H61" s="4"/>
      <c r="I61" s="4"/>
    </row>
    <row r="62" customFormat="false" ht="30" hidden="false" customHeight="true" outlineLevel="0" collapsed="false">
      <c r="A62" s="12" t="s">
        <v>133</v>
      </c>
      <c r="B62" s="14" t="s">
        <v>140</v>
      </c>
      <c r="C62" s="4"/>
      <c r="D62" s="4"/>
      <c r="E62" s="4"/>
      <c r="F62" s="4"/>
      <c r="G62" s="4"/>
      <c r="H62" s="4"/>
      <c r="I62" s="4"/>
    </row>
    <row r="63" customFormat="false" ht="30" hidden="false" customHeight="true" outlineLevel="0" collapsed="false">
      <c r="A63" s="12" t="s">
        <v>133</v>
      </c>
      <c r="B63" s="14" t="s">
        <v>141</v>
      </c>
      <c r="C63" s="4"/>
      <c r="D63" s="4"/>
      <c r="E63" s="4"/>
      <c r="F63" s="4"/>
      <c r="G63" s="4"/>
      <c r="H63" s="4"/>
      <c r="I63" s="4"/>
    </row>
    <row r="64" customFormat="false" ht="30" hidden="false" customHeight="true" outlineLevel="0" collapsed="false">
      <c r="A64" s="12" t="s">
        <v>133</v>
      </c>
      <c r="B64" s="14" t="s">
        <v>142</v>
      </c>
      <c r="C64" s="4"/>
      <c r="D64" s="4"/>
      <c r="E64" s="4"/>
      <c r="F64" s="4"/>
      <c r="G64" s="4"/>
      <c r="H64" s="4"/>
      <c r="I64" s="4"/>
    </row>
    <row r="65" customFormat="false" ht="30" hidden="false" customHeight="true" outlineLevel="0" collapsed="false">
      <c r="A65" s="12" t="s">
        <v>133</v>
      </c>
      <c r="B65" s="14" t="s">
        <v>143</v>
      </c>
      <c r="C65" s="4"/>
      <c r="D65" s="4"/>
      <c r="E65" s="4"/>
      <c r="F65" s="4"/>
      <c r="G65" s="4"/>
      <c r="H65" s="4"/>
      <c r="I65" s="4"/>
    </row>
    <row r="66" customFormat="false" ht="30" hidden="false" customHeight="true" outlineLevel="0" collapsed="false">
      <c r="A66" s="12" t="s">
        <v>133</v>
      </c>
      <c r="B66" s="14" t="s">
        <v>144</v>
      </c>
      <c r="C66" s="4"/>
      <c r="D66" s="4"/>
      <c r="E66" s="4"/>
      <c r="F66" s="4"/>
      <c r="G66" s="4"/>
      <c r="H66" s="4"/>
      <c r="I66" s="4"/>
    </row>
    <row r="67" customFormat="false" ht="30" hidden="false" customHeight="true" outlineLevel="0" collapsed="false">
      <c r="A67" s="12" t="s">
        <v>133</v>
      </c>
      <c r="B67" s="14" t="s">
        <v>145</v>
      </c>
      <c r="C67" s="4"/>
      <c r="D67" s="4"/>
      <c r="E67" s="4"/>
      <c r="F67" s="4"/>
      <c r="G67" s="4"/>
      <c r="H67" s="4"/>
      <c r="I67" s="4"/>
    </row>
    <row r="68" customFormat="false" ht="30" hidden="false" customHeight="true" outlineLevel="0" collapsed="false">
      <c r="A68" s="12" t="s">
        <v>133</v>
      </c>
      <c r="B68" s="14" t="s">
        <v>146</v>
      </c>
      <c r="C68" s="4"/>
      <c r="D68" s="4"/>
      <c r="E68" s="4"/>
      <c r="F68" s="4"/>
      <c r="G68" s="4"/>
      <c r="H68" s="4"/>
      <c r="I68" s="4"/>
    </row>
    <row r="69" customFormat="false" ht="30" hidden="false" customHeight="true" outlineLevel="0" collapsed="false">
      <c r="A69" s="12" t="s">
        <v>133</v>
      </c>
      <c r="B69" s="14" t="s">
        <v>147</v>
      </c>
      <c r="C69" s="4"/>
      <c r="D69" s="4"/>
      <c r="E69" s="4"/>
      <c r="F69" s="4"/>
      <c r="G69" s="4"/>
      <c r="H69" s="4"/>
      <c r="I69" s="4"/>
    </row>
    <row r="70" customFormat="false" ht="30" hidden="false" customHeight="true" outlineLevel="0" collapsed="false">
      <c r="A70" s="12" t="s">
        <v>133</v>
      </c>
      <c r="B70" s="14" t="s">
        <v>148</v>
      </c>
      <c r="C70" s="4"/>
      <c r="D70" s="4"/>
      <c r="E70" s="4"/>
      <c r="F70" s="4"/>
      <c r="G70" s="4"/>
      <c r="H70" s="4"/>
      <c r="I70" s="4"/>
    </row>
    <row r="71" customFormat="false" ht="30" hidden="false" customHeight="true" outlineLevel="0" collapsed="false">
      <c r="A71" s="12" t="s">
        <v>133</v>
      </c>
      <c r="B71" s="14" t="s">
        <v>149</v>
      </c>
      <c r="C71" s="4"/>
      <c r="D71" s="4"/>
      <c r="E71" s="4"/>
      <c r="F71" s="4"/>
      <c r="G71" s="4"/>
      <c r="H71" s="4"/>
      <c r="I71" s="4"/>
    </row>
    <row r="72" customFormat="false" ht="30" hidden="false" customHeight="true" outlineLevel="0" collapsed="false">
      <c r="A72" s="12" t="s">
        <v>133</v>
      </c>
      <c r="B72" s="15" t="s">
        <v>150</v>
      </c>
      <c r="C72" s="4"/>
      <c r="D72" s="4"/>
      <c r="E72" s="4"/>
      <c r="F72" s="4"/>
      <c r="G72" s="4"/>
      <c r="H72" s="4"/>
      <c r="I72" s="4"/>
    </row>
    <row r="73" customFormat="false" ht="30" hidden="false" customHeight="true" outlineLevel="0" collapsed="false">
      <c r="A73" s="12" t="s">
        <v>28</v>
      </c>
      <c r="B73" s="13" t="s">
        <v>151</v>
      </c>
      <c r="C73" s="4"/>
      <c r="D73" s="4"/>
      <c r="E73" s="4"/>
      <c r="F73" s="4"/>
      <c r="G73" s="4"/>
      <c r="H73" s="4"/>
      <c r="I73" s="4"/>
    </row>
    <row r="74" customFormat="false" ht="30" hidden="false" customHeight="true" outlineLevel="0" collapsed="false">
      <c r="A74" s="12" t="s">
        <v>28</v>
      </c>
      <c r="B74" s="14" t="s">
        <v>152</v>
      </c>
      <c r="C74" s="4"/>
      <c r="D74" s="4"/>
      <c r="E74" s="4"/>
      <c r="F74" s="4"/>
      <c r="G74" s="4"/>
      <c r="H74" s="4"/>
      <c r="I74" s="4"/>
    </row>
    <row r="75" customFormat="false" ht="30" hidden="false" customHeight="true" outlineLevel="0" collapsed="false">
      <c r="A75" s="12" t="s">
        <v>28</v>
      </c>
      <c r="B75" s="14" t="s">
        <v>153</v>
      </c>
      <c r="C75" s="4"/>
      <c r="D75" s="4"/>
      <c r="E75" s="4"/>
      <c r="F75" s="4"/>
      <c r="G75" s="4"/>
      <c r="H75" s="4"/>
      <c r="I75" s="4"/>
    </row>
    <row r="76" customFormat="false" ht="30" hidden="false" customHeight="true" outlineLevel="0" collapsed="false">
      <c r="A76" s="12" t="s">
        <v>28</v>
      </c>
      <c r="B76" s="14" t="s">
        <v>154</v>
      </c>
      <c r="C76" s="4"/>
      <c r="D76" s="4"/>
      <c r="E76" s="4"/>
      <c r="F76" s="4"/>
      <c r="G76" s="4"/>
      <c r="H76" s="4"/>
      <c r="I76" s="4"/>
    </row>
    <row r="77" customFormat="false" ht="30" hidden="false" customHeight="true" outlineLevel="0" collapsed="false">
      <c r="A77" s="12" t="s">
        <v>28</v>
      </c>
      <c r="B77" s="14" t="s">
        <v>155</v>
      </c>
      <c r="C77" s="4"/>
      <c r="D77" s="4"/>
      <c r="E77" s="4"/>
      <c r="F77" s="4"/>
      <c r="G77" s="4"/>
      <c r="H77" s="4"/>
      <c r="I77" s="4"/>
    </row>
    <row r="78" customFormat="false" ht="30" hidden="false" customHeight="true" outlineLevel="0" collapsed="false">
      <c r="A78" s="12" t="s">
        <v>28</v>
      </c>
      <c r="B78" s="14" t="s">
        <v>156</v>
      </c>
      <c r="C78" s="4"/>
      <c r="D78" s="4"/>
      <c r="E78" s="4"/>
      <c r="F78" s="4"/>
      <c r="G78" s="4"/>
      <c r="H78" s="4"/>
      <c r="I78" s="4"/>
    </row>
    <row r="79" customFormat="false" ht="30" hidden="false" customHeight="true" outlineLevel="0" collapsed="false">
      <c r="A79" s="12" t="s">
        <v>28</v>
      </c>
      <c r="B79" s="14" t="s">
        <v>157</v>
      </c>
      <c r="C79" s="4"/>
      <c r="D79" s="4"/>
      <c r="E79" s="4"/>
      <c r="F79" s="4"/>
      <c r="G79" s="4"/>
      <c r="H79" s="4"/>
      <c r="I79" s="4"/>
    </row>
    <row r="80" customFormat="false" ht="30" hidden="false" customHeight="true" outlineLevel="0" collapsed="false">
      <c r="A80" s="12" t="s">
        <v>28</v>
      </c>
      <c r="B80" s="14" t="s">
        <v>158</v>
      </c>
      <c r="C80" s="4"/>
      <c r="D80" s="4"/>
      <c r="E80" s="4"/>
      <c r="F80" s="4"/>
      <c r="G80" s="4"/>
      <c r="H80" s="4"/>
      <c r="I80" s="4"/>
    </row>
    <row r="81" customFormat="false" ht="30" hidden="false" customHeight="true" outlineLevel="0" collapsed="false">
      <c r="A81" s="12" t="s">
        <v>28</v>
      </c>
      <c r="B81" s="14" t="s">
        <v>159</v>
      </c>
      <c r="C81" s="4"/>
      <c r="D81" s="4"/>
      <c r="E81" s="4"/>
      <c r="F81" s="4"/>
      <c r="G81" s="4"/>
      <c r="H81" s="4"/>
      <c r="I81" s="4"/>
    </row>
    <row r="82" customFormat="false" ht="30" hidden="false" customHeight="true" outlineLevel="0" collapsed="false">
      <c r="A82" s="12" t="s">
        <v>28</v>
      </c>
      <c r="B82" s="14" t="s">
        <v>160</v>
      </c>
      <c r="C82" s="4"/>
      <c r="D82" s="4"/>
      <c r="E82" s="4"/>
      <c r="F82" s="4"/>
      <c r="G82" s="4"/>
      <c r="H82" s="4"/>
      <c r="I82" s="4"/>
    </row>
    <row r="83" customFormat="false" ht="30" hidden="false" customHeight="true" outlineLevel="0" collapsed="false">
      <c r="A83" s="12" t="s">
        <v>28</v>
      </c>
      <c r="B83" s="14" t="s">
        <v>161</v>
      </c>
      <c r="C83" s="4"/>
      <c r="D83" s="4"/>
      <c r="E83" s="4"/>
      <c r="F83" s="4"/>
      <c r="G83" s="4"/>
      <c r="H83" s="4"/>
      <c r="I83" s="4"/>
    </row>
    <row r="84" customFormat="false" ht="30" hidden="false" customHeight="true" outlineLevel="0" collapsed="false">
      <c r="A84" s="12" t="s">
        <v>28</v>
      </c>
      <c r="B84" s="14" t="s">
        <v>162</v>
      </c>
      <c r="C84" s="4"/>
      <c r="D84" s="4"/>
      <c r="E84" s="4"/>
      <c r="F84" s="4"/>
      <c r="G84" s="4"/>
      <c r="H84" s="4"/>
      <c r="I84" s="4"/>
    </row>
    <row r="85" customFormat="false" ht="30" hidden="false" customHeight="true" outlineLevel="0" collapsed="false">
      <c r="A85" s="12" t="s">
        <v>28</v>
      </c>
      <c r="B85" s="14" t="s">
        <v>163</v>
      </c>
      <c r="C85" s="4"/>
      <c r="D85" s="4"/>
      <c r="E85" s="4"/>
      <c r="F85" s="4"/>
      <c r="G85" s="4"/>
      <c r="H85" s="4"/>
      <c r="I85" s="4"/>
    </row>
    <row r="86" customFormat="false" ht="30" hidden="false" customHeight="true" outlineLevel="0" collapsed="false">
      <c r="A86" s="12" t="s">
        <v>28</v>
      </c>
      <c r="B86" s="14" t="s">
        <v>164</v>
      </c>
      <c r="C86" s="4"/>
      <c r="D86" s="4"/>
      <c r="E86" s="4"/>
      <c r="F86" s="4"/>
      <c r="G86" s="4"/>
      <c r="H86" s="4"/>
      <c r="I86" s="4"/>
    </row>
    <row r="87" customFormat="false" ht="30" hidden="false" customHeight="true" outlineLevel="0" collapsed="false">
      <c r="A87" s="12" t="s">
        <v>28</v>
      </c>
      <c r="B87" s="14" t="s">
        <v>165</v>
      </c>
      <c r="C87" s="4"/>
      <c r="D87" s="4"/>
      <c r="E87" s="4"/>
      <c r="F87" s="4"/>
      <c r="G87" s="4"/>
      <c r="H87" s="4"/>
      <c r="I87" s="4"/>
    </row>
    <row r="88" customFormat="false" ht="30" hidden="false" customHeight="true" outlineLevel="0" collapsed="false">
      <c r="A88" s="12" t="s">
        <v>28</v>
      </c>
      <c r="B88" s="15" t="s">
        <v>166</v>
      </c>
      <c r="C88" s="4"/>
      <c r="D88" s="4"/>
      <c r="E88" s="4"/>
      <c r="F88" s="4"/>
      <c r="G88" s="4"/>
      <c r="H88" s="4"/>
      <c r="I88" s="4"/>
    </row>
    <row r="89" customFormat="false" ht="30" hidden="false" customHeight="true" outlineLevel="0" collapsed="false">
      <c r="A89" s="12" t="s">
        <v>167</v>
      </c>
      <c r="B89" s="13" t="s">
        <v>168</v>
      </c>
      <c r="C89" s="4"/>
      <c r="D89" s="4"/>
      <c r="E89" s="4"/>
      <c r="F89" s="4"/>
      <c r="G89" s="4"/>
      <c r="H89" s="4"/>
      <c r="I89" s="4"/>
    </row>
    <row r="90" customFormat="false" ht="30" hidden="false" customHeight="true" outlineLevel="0" collapsed="false">
      <c r="A90" s="12" t="s">
        <v>167</v>
      </c>
      <c r="B90" s="15" t="s">
        <v>169</v>
      </c>
      <c r="C90" s="4"/>
      <c r="D90" s="4"/>
      <c r="E90" s="4"/>
      <c r="F90" s="4"/>
      <c r="G90" s="4"/>
      <c r="H90" s="4"/>
      <c r="I90" s="4"/>
    </row>
    <row r="91" customFormat="false" ht="82" hidden="false" customHeight="true" outlineLevel="0" collapsed="false"/>
    <row r="92" customFormat="false" ht="82" hidden="false" customHeight="true" outlineLevel="0" collapsed="false"/>
    <row r="93" customFormat="false" ht="82" hidden="false" customHeight="true" outlineLevel="0" collapsed="false"/>
    <row r="94" customFormat="false" ht="82" hidden="false" customHeight="true" outlineLevel="0" collapsed="false"/>
    <row r="95" customFormat="false" ht="82" hidden="false" customHeight="true" outlineLevel="0" collapsed="false"/>
    <row r="96" customFormat="false" ht="82" hidden="false" customHeight="true" outlineLevel="0" collapsed="false"/>
    <row r="97" customFormat="false" ht="82" hidden="false" customHeight="true" outlineLevel="0" collapsed="false"/>
    <row r="98" customFormat="false" ht="82" hidden="false" customHeight="true" outlineLevel="0" collapsed="false"/>
    <row r="99" customFormat="false" ht="82" hidden="false" customHeight="true" outlineLevel="0" collapsed="false"/>
    <row r="100" customFormat="false" ht="82" hidden="false" customHeight="true" outlineLevel="0" collapsed="false"/>
    <row r="101" customFormat="false" ht="82" hidden="false" customHeight="true" outlineLevel="0" collapsed="false"/>
    <row r="102" customFormat="false" ht="82" hidden="false" customHeight="true" outlineLevel="0" collapsed="false"/>
    <row r="103" customFormat="false" ht="82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false" errorStyle="stop" operator="between" showDropDown="false" showErrorMessage="false" showInputMessage="false" sqref="F7:F10" type="list">
      <formula1>"milestone,maintenance"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465E"/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45" zoomScaleNormal="45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16"/>
    <col collapsed="false" customWidth="true" hidden="false" outlineLevel="0" max="4" min="4" style="1" width="12"/>
    <col collapsed="false" customWidth="true" hidden="false" outlineLevel="0" max="6" min="5" style="1" width="22"/>
    <col collapsed="false" customWidth="true" hidden="false" outlineLevel="0" max="7" min="7" style="0" width="44"/>
  </cols>
  <sheetData>
    <row r="1" customFormat="false" ht="26" hidden="false" customHeight="true" outlineLevel="0" collapsed="false">
      <c r="A1" s="2" t="s">
        <v>170</v>
      </c>
      <c r="B1" s="2"/>
      <c r="C1" s="2"/>
      <c r="D1" s="2"/>
      <c r="E1" s="2"/>
      <c r="F1" s="2"/>
      <c r="G1" s="16"/>
    </row>
    <row r="2" customFormat="false" ht="26" hidden="false" customHeight="true" outlineLevel="0" collapsed="false">
      <c r="A2" s="5" t="s">
        <v>171</v>
      </c>
      <c r="B2" s="5" t="s">
        <v>172</v>
      </c>
      <c r="C2" s="5" t="s">
        <v>173</v>
      </c>
      <c r="D2" s="5" t="s">
        <v>64</v>
      </c>
      <c r="E2" s="5" t="s">
        <v>174</v>
      </c>
      <c r="F2" s="5" t="s">
        <v>175</v>
      </c>
      <c r="G2" s="5" t="s">
        <v>176</v>
      </c>
    </row>
    <row r="3" customFormat="false" ht="40" hidden="false" customHeight="true" outlineLevel="0" collapsed="false">
      <c r="A3" s="17" t="s">
        <v>177</v>
      </c>
      <c r="B3" s="18"/>
      <c r="C3" s="18"/>
      <c r="D3" s="19" t="str">
        <f aca="false">IF(OR(B3="",C3=""),"",ROUND(MOD(C3-B3,1)*1440,6))</f>
        <v/>
      </c>
      <c r="E3" s="7"/>
      <c r="F3" s="7"/>
      <c r="G3" s="7"/>
    </row>
    <row r="4" customFormat="false" ht="40" hidden="false" customHeight="true" outlineLevel="0" collapsed="false">
      <c r="A4" s="17" t="s">
        <v>177</v>
      </c>
      <c r="B4" s="20"/>
      <c r="C4" s="20"/>
      <c r="D4" s="19" t="str">
        <f aca="false">IF(OR(B4="",C4=""),"",ROUND(MOD(C4-B4,1)*1440,6))</f>
        <v/>
      </c>
      <c r="E4" s="21"/>
      <c r="F4" s="21"/>
      <c r="G4" s="21"/>
    </row>
    <row r="5" customFormat="false" ht="40" hidden="false" customHeight="true" outlineLevel="0" collapsed="false">
      <c r="A5" s="17" t="s">
        <v>178</v>
      </c>
      <c r="B5" s="18" t="n">
        <v>0.833333333333333</v>
      </c>
      <c r="C5" s="18" t="n">
        <v>0.875</v>
      </c>
      <c r="D5" s="19" t="n">
        <f aca="false">IF(OR(B5="",C5=""),"",ROUND(MOD(C5-B5,1)*1440,6))</f>
        <v>60</v>
      </c>
      <c r="E5" s="7" t="s">
        <v>179</v>
      </c>
      <c r="F5" s="7" t="s">
        <v>180</v>
      </c>
      <c r="G5" s="7" t="s">
        <v>181</v>
      </c>
    </row>
    <row r="6" customFormat="false" ht="40" hidden="false" customHeight="true" outlineLevel="0" collapsed="false">
      <c r="A6" s="17" t="s">
        <v>178</v>
      </c>
      <c r="B6" s="20"/>
      <c r="C6" s="20"/>
      <c r="D6" s="19" t="str">
        <f aca="false">IF(OR(B6="",C6=""),"",ROUND(MOD(C6-B6,1)*1440,6))</f>
        <v/>
      </c>
      <c r="E6" s="21"/>
      <c r="F6" s="21"/>
      <c r="G6" s="21"/>
    </row>
    <row r="7" customFormat="false" ht="40" hidden="false" customHeight="true" outlineLevel="0" collapsed="false">
      <c r="A7" s="17" t="s">
        <v>182</v>
      </c>
      <c r="B7" s="18"/>
      <c r="C7" s="18"/>
      <c r="D7" s="19" t="str">
        <f aca="false">IF(OR(B7="",C7=""),"",ROUND(MOD(C7-B7,1)*1440,6))</f>
        <v/>
      </c>
      <c r="E7" s="7"/>
      <c r="F7" s="7"/>
      <c r="G7" s="7"/>
    </row>
    <row r="8" customFormat="false" ht="40" hidden="false" customHeight="true" outlineLevel="0" collapsed="false">
      <c r="A8" s="17" t="s">
        <v>182</v>
      </c>
      <c r="B8" s="20"/>
      <c r="C8" s="20"/>
      <c r="D8" s="19" t="str">
        <f aca="false">IF(OR(B8="",C8=""),"",ROUND(MOD(C8-B8,1)*1440,6))</f>
        <v/>
      </c>
      <c r="E8" s="21"/>
      <c r="F8" s="21"/>
      <c r="G8" s="21"/>
    </row>
    <row r="9" customFormat="false" ht="40" hidden="false" customHeight="true" outlineLevel="0" collapsed="false">
      <c r="A9" s="17" t="s">
        <v>183</v>
      </c>
      <c r="B9" s="18"/>
      <c r="C9" s="18"/>
      <c r="D9" s="19" t="str">
        <f aca="false">IF(OR(B9="",C9=""),"",ROUND(MOD(C9-B9,1)*1440,6))</f>
        <v/>
      </c>
      <c r="E9" s="7"/>
      <c r="F9" s="7"/>
      <c r="G9" s="7"/>
    </row>
    <row r="10" customFormat="false" ht="40" hidden="false" customHeight="true" outlineLevel="0" collapsed="false">
      <c r="A10" s="17" t="s">
        <v>183</v>
      </c>
      <c r="B10" s="20"/>
      <c r="C10" s="20"/>
      <c r="D10" s="19" t="str">
        <f aca="false">IF(OR(B10="",C10=""),"",ROUND(MOD(C10-B10,1)*1440,6))</f>
        <v/>
      </c>
      <c r="E10" s="21"/>
      <c r="F10" s="21"/>
      <c r="G10" s="21"/>
    </row>
    <row r="11" customFormat="false" ht="40" hidden="false" customHeight="true" outlineLevel="0" collapsed="false">
      <c r="A11" s="17" t="s">
        <v>184</v>
      </c>
      <c r="B11" s="18"/>
      <c r="C11" s="18"/>
      <c r="D11" s="19" t="str">
        <f aca="false">IF(OR(B11="",C11=""),"",ROUND(MOD(C11-B11,1)*1440,6))</f>
        <v/>
      </c>
      <c r="E11" s="7"/>
      <c r="F11" s="7"/>
      <c r="G11" s="7"/>
    </row>
    <row r="12" customFormat="false" ht="40" hidden="false" customHeight="true" outlineLevel="0" collapsed="false">
      <c r="A12" s="17" t="s">
        <v>184</v>
      </c>
      <c r="B12" s="20"/>
      <c r="C12" s="20"/>
      <c r="D12" s="19" t="str">
        <f aca="false">IF(OR(B12="",C12=""),"",ROUND(MOD(C12-B12,1)*1440,6))</f>
        <v/>
      </c>
      <c r="E12" s="21"/>
      <c r="F12" s="21"/>
      <c r="G12" s="21"/>
    </row>
    <row r="13" customFormat="false" ht="40" hidden="false" customHeight="true" outlineLevel="0" collapsed="false">
      <c r="A13" s="17" t="s">
        <v>185</v>
      </c>
      <c r="B13" s="18"/>
      <c r="C13" s="18"/>
      <c r="D13" s="19" t="str">
        <f aca="false">IF(OR(B13="",C13=""),"",ROUND(MOD(C13-B13,1)*1440,6))</f>
        <v/>
      </c>
      <c r="E13" s="7"/>
      <c r="F13" s="7"/>
      <c r="G13" s="7"/>
    </row>
    <row r="14" customFormat="false" ht="40" hidden="false" customHeight="true" outlineLevel="0" collapsed="false">
      <c r="A14" s="17" t="s">
        <v>185</v>
      </c>
      <c r="B14" s="20"/>
      <c r="C14" s="20"/>
      <c r="D14" s="19" t="str">
        <f aca="false">IF(OR(B14="",C14=""),"",ROUND(MOD(C14-B14,1)*1440,6))</f>
        <v/>
      </c>
      <c r="E14" s="21"/>
      <c r="F14" s="21"/>
      <c r="G14" s="21"/>
    </row>
    <row r="15" customFormat="false" ht="40" hidden="false" customHeight="true" outlineLevel="0" collapsed="false">
      <c r="A15" s="17" t="s">
        <v>186</v>
      </c>
      <c r="B15" s="18" t="n">
        <v>0.4375</v>
      </c>
      <c r="C15" s="18" t="n">
        <v>0.479166666666667</v>
      </c>
      <c r="D15" s="19" t="n">
        <f aca="false">IF(OR(B15="",C15=""),"",ROUND(MOD(C15-B15,1)*1440,6))</f>
        <v>60</v>
      </c>
      <c r="E15" s="7" t="s">
        <v>32</v>
      </c>
      <c r="F15" s="7" t="s">
        <v>180</v>
      </c>
      <c r="G15" s="7" t="s">
        <v>187</v>
      </c>
    </row>
    <row r="16" customFormat="false" ht="40" hidden="false" customHeight="true" outlineLevel="0" collapsed="false">
      <c r="A16" s="17" t="s">
        <v>186</v>
      </c>
      <c r="B16" s="20"/>
      <c r="C16" s="20"/>
      <c r="D16" s="19" t="str">
        <f aca="false">IF(OR(B16="",C16=""),"",ROUND(MOD(C16-B16,1)*1440,6))</f>
        <v/>
      </c>
      <c r="E16" s="21"/>
      <c r="F16" s="21"/>
      <c r="G16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465E"/>
    <pageSetUpPr fitToPage="false"/>
  </sheetPr>
  <dimension ref="A1:K49"/>
  <sheetViews>
    <sheetView showFormulas="false" showGridLines="false" showRowColHeaders="true" showZeros="true" rightToLeft="false" tabSelected="false" showOutlineSymbols="true" defaultGridColor="true" view="normal" topLeftCell="A1" colorId="64" zoomScale="45" zoomScaleNormal="4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P44" activeCellId="0" sqref="P44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72"/>
    <col collapsed="false" customWidth="true" hidden="false" outlineLevel="0" max="4" min="4" style="1" width="29"/>
    <col collapsed="false" customWidth="true" hidden="false" outlineLevel="0" max="7" min="5" style="1" width="17"/>
    <col collapsed="false" customWidth="true" hidden="false" outlineLevel="0" max="11" min="8" style="1" width="30"/>
  </cols>
  <sheetData>
    <row r="1" customFormat="false" ht="32" hidden="false" customHeight="true" outlineLevel="0" collapsed="false">
      <c r="A1" s="5" t="s">
        <v>188</v>
      </c>
      <c r="B1" s="5" t="s">
        <v>189</v>
      </c>
      <c r="C1" s="5" t="s">
        <v>0</v>
      </c>
      <c r="D1" s="5" t="s">
        <v>190</v>
      </c>
      <c r="E1" s="5" t="s">
        <v>191</v>
      </c>
      <c r="F1" s="5" t="s">
        <v>192</v>
      </c>
      <c r="G1" s="5" t="s">
        <v>193</v>
      </c>
      <c r="H1" s="5" t="s">
        <v>194</v>
      </c>
      <c r="I1" s="5" t="s">
        <v>195</v>
      </c>
      <c r="J1" s="5" t="s">
        <v>196</v>
      </c>
      <c r="K1" s="5" t="s">
        <v>176</v>
      </c>
    </row>
    <row r="2" customFormat="false" ht="84" hidden="false" customHeight="true" outlineLevel="0" collapsed="false">
      <c r="A2" s="10" t="n">
        <f aca="false">Strategy!$E$3+0</f>
        <v>46321.5</v>
      </c>
      <c r="B2" s="6" t="s">
        <v>42</v>
      </c>
      <c r="C2" s="22" t="str">
        <f aca="false">"35 min skills"&amp;CHAR(10)&amp;Strategy!H21&amp;CHAR(10)&amp;"Core: 30 sec work / 20 sec rest each exercise."</f>
        <v>35 min skills
Scapular pull-up: 3 x 5, High pull (chest-to-bar intent): 3 x 3, Box pistol: 3 x 5/leg, Core: 5 rounds
Core: 30 sec work / 20 sec rest each exercise.</v>
      </c>
      <c r="D2" s="7" t="s">
        <v>197</v>
      </c>
      <c r="E2" s="7" t="n">
        <v>65</v>
      </c>
      <c r="F2" s="23"/>
      <c r="G2" s="23" t="s">
        <v>198</v>
      </c>
      <c r="H2" s="23"/>
      <c r="I2" s="23"/>
      <c r="J2" s="23"/>
      <c r="K2" s="23"/>
    </row>
    <row r="3" customFormat="false" ht="84" hidden="false" customHeight="true" outlineLevel="0" collapsed="false">
      <c r="A3" s="10" t="n">
        <f aca="false">Strategy!$E$3+1</f>
        <v>46322.5</v>
      </c>
      <c r="B3" s="6" t="s">
        <v>50</v>
      </c>
      <c r="C3" s="22" t="str">
        <f aca="false">"10 min easy technique"&amp;CHAR(10)&amp;"Wrist/shoulder mobility: 2 min"&amp;CHAR(10)&amp;"Easy chest-to-wall hold: 3 x 15 sec"&amp;CHAR(10)&amp;"Wall handstand line drill: 2 x 15 sec"</f>
        <v>10 min easy technique
Wrist/shoulder mobility: 2 min
Easy chest-to-wall hold: 3 x 15 sec
Wall handstand line drill: 2 x 15 sec</v>
      </c>
      <c r="D3" s="7" t="s">
        <v>199</v>
      </c>
      <c r="E3" s="7" t="n">
        <v>10</v>
      </c>
      <c r="F3" s="23"/>
      <c r="G3" s="23" t="s">
        <v>198</v>
      </c>
      <c r="H3" s="23"/>
      <c r="I3" s="23"/>
      <c r="J3" s="23"/>
      <c r="K3" s="23"/>
    </row>
    <row r="4" customFormat="false" ht="84" hidden="false" customHeight="true" outlineLevel="0" collapsed="false">
      <c r="A4" s="10" t="n">
        <f aca="false">Strategy!$E$3+3</f>
        <v>46324.5</v>
      </c>
      <c r="B4" s="6" t="s">
        <v>46</v>
      </c>
      <c r="C4" s="22" t="str">
        <f aca="false">"35 min skills"&amp;CHAR(10)&amp;Strategy!I21&amp;CHAR(10)&amp;"Core: 30 sec work / 20 sec rest each exercise."</f>
        <v>35 min skills
Chest-to-wall handstand: 3 x 20 sec, Pike push-up: 3 x 5, Box pistol: 3 x 5/leg, Core: 5 rounds
Core: 30 sec work / 20 sec rest each exercise.</v>
      </c>
      <c r="D4" s="7" t="s">
        <v>200</v>
      </c>
      <c r="E4" s="7" t="n">
        <v>65</v>
      </c>
      <c r="F4" s="23"/>
      <c r="G4" s="23" t="s">
        <v>198</v>
      </c>
      <c r="H4" s="23"/>
      <c r="I4" s="23"/>
      <c r="J4" s="23"/>
      <c r="K4" s="23"/>
    </row>
    <row r="5" customFormat="false" ht="84" hidden="false" customHeight="true" outlineLevel="0" collapsed="false">
      <c r="A5" s="10" t="n">
        <f aca="false">Strategy!$E$3+5</f>
        <v>46326.5</v>
      </c>
      <c r="B5" s="6" t="s">
        <v>50</v>
      </c>
      <c r="C5" s="22" t="str">
        <f aca="false">"20 min easy technique"&amp;CHAR(10)&amp;"Wrist/shoulder mobility: 2 min"&amp;CHAR(10)&amp;"Easy chest-to-wall hold: 3 x 15 sec"&amp;CHAR(10)&amp;"Wall handstand line drill: 3 x 15 sec"</f>
        <v>20 min easy technique
Wrist/shoulder mobility: 2 min
Easy chest-to-wall hold: 3 x 15 sec
Wall handstand line drill: 3 x 15 sec</v>
      </c>
      <c r="D5" s="7" t="s">
        <v>201</v>
      </c>
      <c r="E5" s="7" t="n">
        <v>20</v>
      </c>
      <c r="F5" s="23"/>
      <c r="G5" s="23" t="s">
        <v>198</v>
      </c>
      <c r="H5" s="23"/>
      <c r="I5" s="23"/>
      <c r="J5" s="23"/>
      <c r="K5" s="23"/>
    </row>
    <row r="6" customFormat="false" ht="84" hidden="false" customHeight="true" outlineLevel="0" collapsed="false">
      <c r="A6" s="10" t="n">
        <f aca="false">Strategy!$E$3+7</f>
        <v>46328.5</v>
      </c>
      <c r="B6" s="6" t="s">
        <v>42</v>
      </c>
      <c r="C6" s="22" t="str">
        <f aca="false">"35 min skills"&amp;CHAR(10)&amp;Strategy!H22&amp;CHAR(10)&amp;"Core: 30 sec work / 20 sec rest each exercise."</f>
        <v>35 min skills
Band transition drill: 3 x 3, High pull: 3 x 3, Lower-box pistol with counterweight: 3 x 4/leg, Core: 5 rounds
Core: 30 sec work / 20 sec rest each exercise.</v>
      </c>
      <c r="D6" s="7" t="s">
        <v>197</v>
      </c>
      <c r="E6" s="7" t="n">
        <v>65</v>
      </c>
      <c r="F6" s="23"/>
      <c r="G6" s="23" t="s">
        <v>198</v>
      </c>
      <c r="H6" s="23"/>
      <c r="I6" s="23"/>
      <c r="J6" s="23"/>
      <c r="K6" s="23"/>
    </row>
    <row r="7" customFormat="false" ht="84" hidden="false" customHeight="true" outlineLevel="0" collapsed="false">
      <c r="A7" s="10" t="n">
        <f aca="false">Strategy!$E$3+8</f>
        <v>46329.5</v>
      </c>
      <c r="B7" s="6" t="s">
        <v>50</v>
      </c>
      <c r="C7" s="22" t="str">
        <f aca="false">"10 min easy technique"&amp;CHAR(10)&amp;"Wrist/shoulder mobility: 2 min"&amp;CHAR(10)&amp;"Easy chest-to-wall hold: 3 x 15 sec"&amp;CHAR(10)&amp;"Wall handstand line drill: 2 x 15 sec"</f>
        <v>10 min easy technique
Wrist/shoulder mobility: 2 min
Easy chest-to-wall hold: 3 x 15 sec
Wall handstand line drill: 2 x 15 sec</v>
      </c>
      <c r="D7" s="7" t="s">
        <v>199</v>
      </c>
      <c r="E7" s="7" t="n">
        <v>10</v>
      </c>
      <c r="F7" s="23"/>
      <c r="G7" s="23" t="s">
        <v>198</v>
      </c>
      <c r="H7" s="23"/>
      <c r="I7" s="23"/>
      <c r="J7" s="23"/>
      <c r="K7" s="23"/>
    </row>
    <row r="8" customFormat="false" ht="84" hidden="false" customHeight="true" outlineLevel="0" collapsed="false">
      <c r="A8" s="10" t="n">
        <f aca="false">Strategy!$E$3+10</f>
        <v>46331.5</v>
      </c>
      <c r="B8" s="6" t="s">
        <v>46</v>
      </c>
      <c r="C8" s="22" t="str">
        <f aca="false">"35 min skills"&amp;CHAR(10)&amp;Strategy!I22&amp;CHAR(10)&amp;"Core: 30 sec work / 20 sec rest each exercise."</f>
        <v>35 min skills
Wall handstand: 3 x 25 sec, Elevated pike push-up: 3 x 4, Lower-box pistol with counterweight: 3 x 4/leg, Core: 5 rounds
Core: 30 sec work / 20 sec rest each exercise.</v>
      </c>
      <c r="D8" s="7" t="s">
        <v>200</v>
      </c>
      <c r="E8" s="7" t="n">
        <v>65</v>
      </c>
      <c r="F8" s="23"/>
      <c r="G8" s="23" t="s">
        <v>198</v>
      </c>
      <c r="H8" s="23"/>
      <c r="I8" s="23"/>
      <c r="J8" s="23"/>
      <c r="K8" s="23"/>
    </row>
    <row r="9" customFormat="false" ht="84" hidden="false" customHeight="true" outlineLevel="0" collapsed="false">
      <c r="A9" s="10" t="n">
        <f aca="false">Strategy!$E$3+12</f>
        <v>46333.5</v>
      </c>
      <c r="B9" s="6" t="s">
        <v>50</v>
      </c>
      <c r="C9" s="22" t="str">
        <f aca="false">"20 min easy technique"&amp;CHAR(10)&amp;"Wrist/shoulder mobility: 2 min"&amp;CHAR(10)&amp;"Easy chest-to-wall hold: 3 x 15 sec"&amp;CHAR(10)&amp;"Wall handstand line drill: 3 x 15 sec"</f>
        <v>20 min easy technique
Wrist/shoulder mobility: 2 min
Easy chest-to-wall hold: 3 x 15 sec
Wall handstand line drill: 3 x 15 sec</v>
      </c>
      <c r="D9" s="7" t="s">
        <v>201</v>
      </c>
      <c r="E9" s="7" t="n">
        <v>20</v>
      </c>
      <c r="F9" s="23"/>
      <c r="G9" s="23" t="s">
        <v>198</v>
      </c>
      <c r="H9" s="23"/>
      <c r="I9" s="23"/>
      <c r="J9" s="23"/>
      <c r="K9" s="23"/>
    </row>
    <row r="10" customFormat="false" ht="84" hidden="false" customHeight="true" outlineLevel="0" collapsed="false">
      <c r="A10" s="10" t="n">
        <f aca="false">Strategy!$E$3+14</f>
        <v>46335.5</v>
      </c>
      <c r="B10" s="6" t="s">
        <v>42</v>
      </c>
      <c r="C10" s="22" t="str">
        <f aca="false">"35 min skills"&amp;CHAR(10)&amp;Strategy!H23&amp;CHAR(10)&amp;"Core: 30 sec work / 20 sec rest each exercise."</f>
        <v>35 min skills
Explosive pull-up: 4 x 2, Low-bar transition: 3 x 3, Assisted full-depth pistol: 3 x 4/leg, Core: 5 rounds
Core: 30 sec work / 20 sec rest each exercise.</v>
      </c>
      <c r="D10" s="7" t="s">
        <v>197</v>
      </c>
      <c r="E10" s="7" t="n">
        <v>65</v>
      </c>
      <c r="F10" s="23"/>
      <c r="G10" s="23" t="s">
        <v>198</v>
      </c>
      <c r="H10" s="23"/>
      <c r="I10" s="23"/>
      <c r="J10" s="23"/>
      <c r="K10" s="23"/>
    </row>
    <row r="11" customFormat="false" ht="84" hidden="false" customHeight="true" outlineLevel="0" collapsed="false">
      <c r="A11" s="10" t="n">
        <f aca="false">Strategy!$E$3+15</f>
        <v>46336.5</v>
      </c>
      <c r="B11" s="6" t="s">
        <v>50</v>
      </c>
      <c r="C11" s="22" t="str">
        <f aca="false">"10 min easy technique"&amp;CHAR(10)&amp;"Wrist/shoulder mobility: 2 min"&amp;CHAR(10)&amp;"Easy chest-to-wall hold: 3 x 15 sec"&amp;CHAR(10)&amp;"Wall handstand line drill: 2 x 15 sec"</f>
        <v>10 min easy technique
Wrist/shoulder mobility: 2 min
Easy chest-to-wall hold: 3 x 15 sec
Wall handstand line drill: 2 x 15 sec</v>
      </c>
      <c r="D11" s="7" t="s">
        <v>199</v>
      </c>
      <c r="E11" s="7" t="n">
        <v>10</v>
      </c>
      <c r="F11" s="23"/>
      <c r="G11" s="23" t="s">
        <v>198</v>
      </c>
      <c r="H11" s="23"/>
      <c r="I11" s="23"/>
      <c r="J11" s="23"/>
      <c r="K11" s="23"/>
    </row>
    <row r="12" customFormat="false" ht="84" hidden="false" customHeight="true" outlineLevel="0" collapsed="false">
      <c r="A12" s="10" t="n">
        <f aca="false">Strategy!$E$3+17</f>
        <v>46338.5</v>
      </c>
      <c r="B12" s="6" t="s">
        <v>46</v>
      </c>
      <c r="C12" s="22" t="str">
        <f aca="false">"35 min skills"&amp;CHAR(10)&amp;Strategy!I23&amp;CHAR(10)&amp;"Core: 30 sec work / 20 sec rest each exercise."</f>
        <v>35 min skills
Wall HSPU negative: 3 x 2 (lower 3 sec), Pike push-up: 3 x 5, Assisted full-depth pistol: 3 x 4/leg, Core: 5 rounds
Core: 30 sec work / 20 sec rest each exercise.</v>
      </c>
      <c r="D12" s="7" t="s">
        <v>200</v>
      </c>
      <c r="E12" s="7" t="n">
        <v>65</v>
      </c>
      <c r="F12" s="23"/>
      <c r="G12" s="23" t="s">
        <v>198</v>
      </c>
      <c r="H12" s="23"/>
      <c r="I12" s="23"/>
      <c r="J12" s="23"/>
      <c r="K12" s="23"/>
    </row>
    <row r="13" customFormat="false" ht="84" hidden="false" customHeight="true" outlineLevel="0" collapsed="false">
      <c r="A13" s="10" t="n">
        <f aca="false">Strategy!$E$3+19</f>
        <v>46340.5</v>
      </c>
      <c r="B13" s="6" t="s">
        <v>50</v>
      </c>
      <c r="C13" s="22" t="str">
        <f aca="false">"20 min easy technique"&amp;CHAR(10)&amp;"Wrist/shoulder mobility: 2 min"&amp;CHAR(10)&amp;"Easy chest-to-wall hold: 3 x 15 sec"&amp;CHAR(10)&amp;"Wall handstand line drill: 3 x 15 sec"</f>
        <v>20 min easy technique
Wrist/shoulder mobility: 2 min
Easy chest-to-wall hold: 3 x 15 sec
Wall handstand line drill: 3 x 15 sec</v>
      </c>
      <c r="D13" s="7" t="s">
        <v>201</v>
      </c>
      <c r="E13" s="7" t="n">
        <v>20</v>
      </c>
      <c r="F13" s="23"/>
      <c r="G13" s="23" t="s">
        <v>198</v>
      </c>
      <c r="H13" s="23"/>
      <c r="I13" s="23"/>
      <c r="J13" s="23"/>
      <c r="K13" s="23"/>
    </row>
    <row r="14" customFormat="false" ht="84" hidden="false" customHeight="true" outlineLevel="0" collapsed="false">
      <c r="A14" s="10" t="n">
        <f aca="false">Strategy!$E$3+21</f>
        <v>46342.5</v>
      </c>
      <c r="B14" s="6" t="s">
        <v>42</v>
      </c>
      <c r="C14" s="22" t="str">
        <f aca="false">"10 min skills"&amp;CHAR(10)&amp;Strategy!H24&amp;CHAR(10)&amp;"Core: 30 sec work / 20 sec rest each exercise."</f>
        <v>10 min skills
Easy scapular pull-up: 1 x 5, Easy low-bar transition: 1 x 3, Assisted pistol: 1 x 3/leg, Core: 3 rounds
Core: 30 sec work / 20 sec rest each exercise.</v>
      </c>
      <c r="D14" s="7" t="s">
        <v>197</v>
      </c>
      <c r="E14" s="7" t="n">
        <v>33</v>
      </c>
      <c r="F14" s="23"/>
      <c r="G14" s="23" t="s">
        <v>198</v>
      </c>
      <c r="H14" s="23"/>
      <c r="I14" s="23"/>
      <c r="J14" s="23"/>
      <c r="K14" s="23"/>
    </row>
    <row r="15" customFormat="false" ht="84" hidden="false" customHeight="true" outlineLevel="0" collapsed="false">
      <c r="A15" s="10" t="n">
        <f aca="false">Strategy!$E$3+22</f>
        <v>46343.5</v>
      </c>
      <c r="B15" s="6" t="s">
        <v>50</v>
      </c>
      <c r="C15" s="22" t="str">
        <f aca="false">"5 min easy technique"&amp;CHAR(10)&amp;"Wrist/shoulder mobility: 1 min"&amp;CHAR(10)&amp;"Easy chest-to-wall hold: 2 x 10 sec"&amp;CHAR(10)&amp;"Wall handstand line drill: 1 x 10 sec"</f>
        <v>5 min easy technique
Wrist/shoulder mobility: 1 min
Easy chest-to-wall hold: 2 x 10 sec
Wall handstand line drill: 1 x 10 sec</v>
      </c>
      <c r="D15" s="7" t="s">
        <v>199</v>
      </c>
      <c r="E15" s="7" t="n">
        <v>5</v>
      </c>
      <c r="F15" s="23"/>
      <c r="G15" s="23" t="s">
        <v>198</v>
      </c>
      <c r="H15" s="23"/>
      <c r="I15" s="23"/>
      <c r="J15" s="23"/>
      <c r="K15" s="23"/>
    </row>
    <row r="16" customFormat="false" ht="84" hidden="false" customHeight="true" outlineLevel="0" collapsed="false">
      <c r="A16" s="10" t="n">
        <f aca="false">Strategy!$E$3+24</f>
        <v>46345.5</v>
      </c>
      <c r="B16" s="6" t="s">
        <v>46</v>
      </c>
      <c r="C16" s="22" t="str">
        <f aca="false">"10 min skills"&amp;CHAR(10)&amp;Strategy!I24&amp;CHAR(10)&amp;"Core: 30 sec work / 20 sec rest each exercise."</f>
        <v>10 min skills
Easy wall handstand: 1 x 15 sec, Gentle wrist/shoulder mobility: 2 min, Assisted pistol: 1 x 3/leg, Core: 3 rounds
Core: 30 sec work / 20 sec rest each exercise.</v>
      </c>
      <c r="D16" s="7" t="s">
        <v>202</v>
      </c>
      <c r="E16" s="7" t="n">
        <v>33</v>
      </c>
      <c r="F16" s="23"/>
      <c r="G16" s="23" t="s">
        <v>198</v>
      </c>
      <c r="H16" s="23"/>
      <c r="I16" s="23"/>
      <c r="J16" s="23"/>
      <c r="K16" s="23"/>
    </row>
    <row r="17" customFormat="false" ht="84" hidden="false" customHeight="true" outlineLevel="0" collapsed="false">
      <c r="A17" s="10" t="n">
        <f aca="false">Strategy!$E$3+26</f>
        <v>46347.5</v>
      </c>
      <c r="B17" s="6" t="s">
        <v>50</v>
      </c>
      <c r="C17" s="22" t="str">
        <f aca="false">"10 min easy technique"&amp;CHAR(10)&amp;"Wrist/shoulder mobility: 1 min"&amp;CHAR(10)&amp;"Easy chest-to-wall hold: 2 x 10 sec"&amp;CHAR(10)&amp;"Wall handstand line drill: 1 x 10 sec"</f>
        <v>10 min easy technique
Wrist/shoulder mobility: 1 min
Easy chest-to-wall hold: 2 x 10 sec
Wall handstand line drill: 1 x 10 sec</v>
      </c>
      <c r="D17" s="7" t="s">
        <v>201</v>
      </c>
      <c r="E17" s="7" t="n">
        <v>10</v>
      </c>
      <c r="F17" s="23"/>
      <c r="G17" s="23" t="s">
        <v>198</v>
      </c>
      <c r="H17" s="23"/>
      <c r="I17" s="23"/>
      <c r="J17" s="23"/>
      <c r="K17" s="23"/>
    </row>
    <row r="18" customFormat="false" ht="84" hidden="false" customHeight="true" outlineLevel="0" collapsed="false">
      <c r="A18" s="10" t="n">
        <f aca="false">Strategy!$E$3+28</f>
        <v>46349.5</v>
      </c>
      <c r="B18" s="6" t="s">
        <v>42</v>
      </c>
      <c r="C18" s="22" t="str">
        <f aca="false">"35 min skills"&amp;CHAR(10)&amp;Strategy!H25&amp;CHAR(10)&amp;"Core: 30 sec work / 20 sec rest each exercise."</f>
        <v>35 min skills
Chest-to-bar pull-up: 3 x 3, Band-assisted muscle-up: 4 x 1, Counterweight pistol: 3 x 4/leg, Core: 5 rounds
Core: 30 sec work / 20 sec rest each exercise.</v>
      </c>
      <c r="D18" s="7" t="s">
        <v>197</v>
      </c>
      <c r="E18" s="7" t="n">
        <v>65</v>
      </c>
      <c r="F18" s="23"/>
      <c r="G18" s="23" t="s">
        <v>198</v>
      </c>
      <c r="H18" s="23"/>
      <c r="I18" s="23"/>
      <c r="J18" s="23"/>
      <c r="K18" s="23"/>
    </row>
    <row r="19" customFormat="false" ht="84" hidden="false" customHeight="true" outlineLevel="0" collapsed="false">
      <c r="A19" s="10" t="n">
        <f aca="false">Strategy!$E$3+29</f>
        <v>46350.5</v>
      </c>
      <c r="B19" s="6" t="s">
        <v>50</v>
      </c>
      <c r="C19" s="22" t="str">
        <f aca="false">"10 min easy technique"&amp;CHAR(10)&amp;"Wrist/shoulder mobility: 2 min"&amp;CHAR(10)&amp;"Easy chest-to-wall hold: 3 x 15 sec"&amp;CHAR(10)&amp;"Wall handstand line drill: 2 x 15 sec"</f>
        <v>10 min easy technique
Wrist/shoulder mobility: 2 min
Easy chest-to-wall hold: 3 x 15 sec
Wall handstand line drill: 2 x 15 sec</v>
      </c>
      <c r="D19" s="7" t="s">
        <v>199</v>
      </c>
      <c r="E19" s="7" t="n">
        <v>10</v>
      </c>
      <c r="F19" s="23"/>
      <c r="G19" s="23" t="s">
        <v>198</v>
      </c>
      <c r="H19" s="23"/>
      <c r="I19" s="23"/>
      <c r="J19" s="23"/>
      <c r="K19" s="23"/>
    </row>
    <row r="20" customFormat="false" ht="84" hidden="false" customHeight="true" outlineLevel="0" collapsed="false">
      <c r="A20" s="10" t="n">
        <f aca="false">Strategy!$E$3+31</f>
        <v>46352.5</v>
      </c>
      <c r="B20" s="6" t="s">
        <v>46</v>
      </c>
      <c r="C20" s="22" t="str">
        <f aca="false">"35 min skills"&amp;CHAR(10)&amp;Strategy!I25&amp;CHAR(10)&amp;"Core: 30 sec work / 20 sec rest each exercise."</f>
        <v>35 min skills
Deficit pike push-up: 3 x 4, Wall HSPU negative: 3 x 2 (lower 3 sec), Counterweight pistol: 3 x 4/leg, Core: 5 rounds
Core: 30 sec work / 20 sec rest each exercise.</v>
      </c>
      <c r="D20" s="7" t="s">
        <v>200</v>
      </c>
      <c r="E20" s="7" t="n">
        <v>65</v>
      </c>
      <c r="F20" s="23"/>
      <c r="G20" s="23" t="s">
        <v>198</v>
      </c>
      <c r="H20" s="23"/>
      <c r="I20" s="23"/>
      <c r="J20" s="23"/>
      <c r="K20" s="23"/>
    </row>
    <row r="21" customFormat="false" ht="84" hidden="false" customHeight="true" outlineLevel="0" collapsed="false">
      <c r="A21" s="10" t="n">
        <f aca="false">Strategy!$E$3+33</f>
        <v>46354.5</v>
      </c>
      <c r="B21" s="6" t="s">
        <v>50</v>
      </c>
      <c r="C21" s="22" t="str">
        <f aca="false">"20 min easy technique"&amp;CHAR(10)&amp;"Wrist/shoulder mobility: 2 min"&amp;CHAR(10)&amp;"Easy chest-to-wall hold: 3 x 15 sec"&amp;CHAR(10)&amp;"Wall handstand line drill: 3 x 15 sec"</f>
        <v>20 min easy technique
Wrist/shoulder mobility: 2 min
Easy chest-to-wall hold: 3 x 15 sec
Wall handstand line drill: 3 x 15 sec</v>
      </c>
      <c r="D21" s="7" t="s">
        <v>201</v>
      </c>
      <c r="E21" s="7" t="n">
        <v>20</v>
      </c>
      <c r="F21" s="23"/>
      <c r="G21" s="23" t="s">
        <v>198</v>
      </c>
      <c r="H21" s="23"/>
      <c r="I21" s="23"/>
      <c r="J21" s="23"/>
      <c r="K21" s="23"/>
    </row>
    <row r="22" customFormat="false" ht="84" hidden="false" customHeight="true" outlineLevel="0" collapsed="false">
      <c r="A22" s="10" t="n">
        <f aca="false">Strategy!$E$3+35</f>
        <v>46356.5</v>
      </c>
      <c r="B22" s="6" t="s">
        <v>42</v>
      </c>
      <c r="C22" s="22" t="str">
        <f aca="false">"35 min skills"&amp;CHAR(10)&amp;Strategy!H26&amp;CHAR(10)&amp;"Core: 30 sec work / 20 sec rest each exercise."</f>
        <v>35 min skills
Jumping muscle-up: 3 x 3, Low-bar slow transition: 3 x 3, Light-counterweight pistol: 3 x 4/leg, Core: 5 rounds
Core: 30 sec work / 20 sec rest each exercise.</v>
      </c>
      <c r="D22" s="7" t="s">
        <v>197</v>
      </c>
      <c r="E22" s="7" t="n">
        <v>65</v>
      </c>
      <c r="F22" s="23"/>
      <c r="G22" s="23" t="s">
        <v>198</v>
      </c>
      <c r="H22" s="23"/>
      <c r="I22" s="23"/>
      <c r="J22" s="23"/>
      <c r="K22" s="23"/>
    </row>
    <row r="23" customFormat="false" ht="84" hidden="false" customHeight="true" outlineLevel="0" collapsed="false">
      <c r="A23" s="10" t="n">
        <f aca="false">Strategy!$E$3+36</f>
        <v>46357.5</v>
      </c>
      <c r="B23" s="6" t="s">
        <v>50</v>
      </c>
      <c r="C23" s="22" t="str">
        <f aca="false">"10 min easy technique"&amp;CHAR(10)&amp;"Wrist/shoulder mobility: 2 min"&amp;CHAR(10)&amp;"Easy chest-to-wall hold: 3 x 15 sec"&amp;CHAR(10)&amp;"Wall handstand line drill: 2 x 15 sec"</f>
        <v>10 min easy technique
Wrist/shoulder mobility: 2 min
Easy chest-to-wall hold: 3 x 15 sec
Wall handstand line drill: 2 x 15 sec</v>
      </c>
      <c r="D23" s="7" t="s">
        <v>199</v>
      </c>
      <c r="E23" s="7" t="n">
        <v>10</v>
      </c>
      <c r="F23" s="23"/>
      <c r="G23" s="23" t="s">
        <v>198</v>
      </c>
      <c r="H23" s="23"/>
      <c r="I23" s="23"/>
      <c r="J23" s="23"/>
      <c r="K23" s="23"/>
    </row>
    <row r="24" customFormat="false" ht="84" hidden="false" customHeight="true" outlineLevel="0" collapsed="false">
      <c r="A24" s="10" t="n">
        <f aca="false">Strategy!$E$3+38</f>
        <v>46359.5</v>
      </c>
      <c r="B24" s="6" t="s">
        <v>46</v>
      </c>
      <c r="C24" s="22" t="str">
        <f aca="false">"35 min skills"&amp;CHAR(10)&amp;Strategy!I26&amp;CHAR(10)&amp;"Core: 30 sec work / 20 sec rest each exercise."</f>
        <v>35 min skills
Partial wall HSPU: 3 x 3, Wall HSPU negative: 3 x 2 (lower 3 sec), Light-counterweight pistol: 3 x 4/leg, Core: 5 rounds
Core: 30 sec work / 20 sec rest each exercise.</v>
      </c>
      <c r="D24" s="7" t="s">
        <v>200</v>
      </c>
      <c r="E24" s="7" t="n">
        <v>65</v>
      </c>
      <c r="F24" s="23"/>
      <c r="G24" s="23" t="s">
        <v>198</v>
      </c>
      <c r="H24" s="23"/>
      <c r="I24" s="23"/>
      <c r="J24" s="23"/>
      <c r="K24" s="23"/>
    </row>
    <row r="25" customFormat="false" ht="84" hidden="false" customHeight="true" outlineLevel="0" collapsed="false">
      <c r="A25" s="10" t="n">
        <f aca="false">Strategy!$E$3+40</f>
        <v>46361.5</v>
      </c>
      <c r="B25" s="6" t="s">
        <v>50</v>
      </c>
      <c r="C25" s="22" t="str">
        <f aca="false">"20 min easy technique"&amp;CHAR(10)&amp;"Wrist/shoulder mobility: 2 min"&amp;CHAR(10)&amp;"Easy chest-to-wall hold: 3 x 15 sec"&amp;CHAR(10)&amp;"Wall handstand line drill: 3 x 15 sec"</f>
        <v>20 min easy technique
Wrist/shoulder mobility: 2 min
Easy chest-to-wall hold: 3 x 15 sec
Wall handstand line drill: 3 x 15 sec</v>
      </c>
      <c r="D25" s="7" t="s">
        <v>201</v>
      </c>
      <c r="E25" s="7" t="n">
        <v>20</v>
      </c>
      <c r="F25" s="23"/>
      <c r="G25" s="23" t="s">
        <v>198</v>
      </c>
      <c r="H25" s="23"/>
      <c r="I25" s="23"/>
      <c r="J25" s="23"/>
      <c r="K25" s="23"/>
    </row>
    <row r="26" customFormat="false" ht="84" hidden="false" customHeight="true" outlineLevel="0" collapsed="false">
      <c r="A26" s="10" t="n">
        <f aca="false">Strategy!$E$3+42</f>
        <v>46363.5</v>
      </c>
      <c r="B26" s="6" t="s">
        <v>42</v>
      </c>
      <c r="C26" s="22" t="str">
        <f aca="false">"35 min skills"&amp;CHAR(10)&amp;Strategy!H27&amp;CHAR(10)&amp;"Core: 30 sec work / 20 sec rest each exercise."</f>
        <v>35 min skills
Light-band muscle-up: 4 x 1, Band-assisted transition: 3 x 2, Unassisted pistol to target: 3 x 1/leg, Core: 5 rounds
Core: 30 sec work / 20 sec rest each exercise.</v>
      </c>
      <c r="D26" s="7" t="s">
        <v>197</v>
      </c>
      <c r="E26" s="7" t="n">
        <v>65</v>
      </c>
      <c r="F26" s="23"/>
      <c r="G26" s="23" t="s">
        <v>198</v>
      </c>
      <c r="H26" s="23"/>
      <c r="I26" s="23"/>
      <c r="J26" s="23"/>
      <c r="K26" s="23"/>
    </row>
    <row r="27" customFormat="false" ht="84" hidden="false" customHeight="true" outlineLevel="0" collapsed="false">
      <c r="A27" s="10" t="n">
        <f aca="false">Strategy!$E$3+43</f>
        <v>46364.5</v>
      </c>
      <c r="B27" s="6" t="s">
        <v>50</v>
      </c>
      <c r="C27" s="22" t="str">
        <f aca="false">"10 min easy technique"&amp;CHAR(10)&amp;"Wrist/shoulder mobility: 2 min"&amp;CHAR(10)&amp;"Easy chest-to-wall hold: 3 x 15 sec"&amp;CHAR(10)&amp;"Wall handstand line drill: 2 x 15 sec"</f>
        <v>10 min easy technique
Wrist/shoulder mobility: 2 min
Easy chest-to-wall hold: 3 x 15 sec
Wall handstand line drill: 2 x 15 sec</v>
      </c>
      <c r="D27" s="7" t="s">
        <v>199</v>
      </c>
      <c r="E27" s="7" t="n">
        <v>10</v>
      </c>
      <c r="F27" s="23"/>
      <c r="G27" s="23" t="s">
        <v>198</v>
      </c>
      <c r="H27" s="23"/>
      <c r="I27" s="23"/>
      <c r="J27" s="23"/>
      <c r="K27" s="23"/>
    </row>
    <row r="28" customFormat="false" ht="84" hidden="false" customHeight="true" outlineLevel="0" collapsed="false">
      <c r="A28" s="10" t="n">
        <f aca="false">Strategy!$E$3+45</f>
        <v>46366.5</v>
      </c>
      <c r="B28" s="6" t="s">
        <v>46</v>
      </c>
      <c r="C28" s="22" t="str">
        <f aca="false">"35 min skills"&amp;CHAR(10)&amp;Strategy!I27&amp;CHAR(10)&amp;"Core: 30 sec work / 20 sec rest each exercise."</f>
        <v>35 min skills
Deeper wall HSPU: 3 x 2, Easy wall handstand: 2 x 20 sec, Unassisted pistol to target: 3 x 1/leg, Core: 5 rounds
Core: 30 sec work / 20 sec rest each exercise.</v>
      </c>
      <c r="D28" s="7" t="s">
        <v>200</v>
      </c>
      <c r="E28" s="7" t="n">
        <v>65</v>
      </c>
      <c r="F28" s="23"/>
      <c r="G28" s="23" t="s">
        <v>198</v>
      </c>
      <c r="H28" s="23"/>
      <c r="I28" s="23"/>
      <c r="J28" s="23"/>
      <c r="K28" s="23"/>
    </row>
    <row r="29" customFormat="false" ht="84" hidden="false" customHeight="true" outlineLevel="0" collapsed="false">
      <c r="A29" s="10" t="n">
        <f aca="false">Strategy!$E$3+47</f>
        <v>46368.5</v>
      </c>
      <c r="B29" s="6" t="s">
        <v>50</v>
      </c>
      <c r="C29" s="22" t="str">
        <f aca="false">"20 min easy technique"&amp;CHAR(10)&amp;"Wrist/shoulder mobility: 2 min"&amp;CHAR(10)&amp;"Easy chest-to-wall hold: 3 x 15 sec"&amp;CHAR(10)&amp;"Wall handstand line drill: 3 x 15 sec"</f>
        <v>20 min easy technique
Wrist/shoulder mobility: 2 min
Easy chest-to-wall hold: 3 x 15 sec
Wall handstand line drill: 3 x 15 sec</v>
      </c>
      <c r="D29" s="7" t="s">
        <v>201</v>
      </c>
      <c r="E29" s="7" t="n">
        <v>20</v>
      </c>
      <c r="F29" s="23"/>
      <c r="G29" s="23" t="s">
        <v>198</v>
      </c>
      <c r="H29" s="23"/>
      <c r="I29" s="23"/>
      <c r="J29" s="23"/>
      <c r="K29" s="23"/>
    </row>
    <row r="30" customFormat="false" ht="84" hidden="false" customHeight="true" outlineLevel="0" collapsed="false">
      <c r="A30" s="10" t="n">
        <f aca="false">Strategy!$E$3+49</f>
        <v>46370.5</v>
      </c>
      <c r="B30" s="6" t="s">
        <v>42</v>
      </c>
      <c r="C30" s="22" t="str">
        <f aca="false">"10 min skills"&amp;CHAR(10)&amp;Strategy!H28&amp;CHAR(10)&amp;"Core: 30 sec work / 20 sec rest each exercise."</f>
        <v>10 min skills
Easy high pull: 1 x 3, Easy low-bar transition: 1 x 3, Assisted smooth pistol: 1 x 3/leg, Core: 3 rounds
Core: 30 sec work / 20 sec rest each exercise.</v>
      </c>
      <c r="D30" s="7" t="s">
        <v>197</v>
      </c>
      <c r="E30" s="7" t="n">
        <v>33</v>
      </c>
      <c r="F30" s="23"/>
      <c r="G30" s="23" t="s">
        <v>198</v>
      </c>
      <c r="H30" s="23"/>
      <c r="I30" s="23"/>
      <c r="J30" s="23"/>
      <c r="K30" s="23"/>
    </row>
    <row r="31" customFormat="false" ht="84" hidden="false" customHeight="true" outlineLevel="0" collapsed="false">
      <c r="A31" s="10" t="n">
        <f aca="false">Strategy!$E$3+50</f>
        <v>46371.5</v>
      </c>
      <c r="B31" s="6" t="s">
        <v>50</v>
      </c>
      <c r="C31" s="22" t="str">
        <f aca="false">"5 min easy technique"&amp;CHAR(10)&amp;"Wrist/shoulder mobility: 1 min"&amp;CHAR(10)&amp;"Easy chest-to-wall hold: 2 x 10 sec"&amp;CHAR(10)&amp;"Wall handstand line drill: 1 x 10 sec"</f>
        <v>5 min easy technique
Wrist/shoulder mobility: 1 min
Easy chest-to-wall hold: 2 x 10 sec
Wall handstand line drill: 1 x 10 sec</v>
      </c>
      <c r="D31" s="7" t="s">
        <v>199</v>
      </c>
      <c r="E31" s="7" t="n">
        <v>5</v>
      </c>
      <c r="F31" s="23"/>
      <c r="G31" s="23" t="s">
        <v>198</v>
      </c>
      <c r="H31" s="23"/>
      <c r="I31" s="23"/>
      <c r="J31" s="23"/>
      <c r="K31" s="23"/>
    </row>
    <row r="32" customFormat="false" ht="84" hidden="false" customHeight="true" outlineLevel="0" collapsed="false">
      <c r="A32" s="10" t="n">
        <f aca="false">Strategy!$E$3+52</f>
        <v>46373.5</v>
      </c>
      <c r="B32" s="6" t="s">
        <v>46</v>
      </c>
      <c r="C32" s="22" t="str">
        <f aca="false">"10 min skills"&amp;CHAR(10)&amp;Strategy!I28&amp;CHAR(10)&amp;"Core: 30 sec work / 20 sec rest each exercise."</f>
        <v>10 min skills
Easy wall handstand: 1 x 15 sec, Easy pike push-up: 1 x 4, Assisted smooth pistol: 1 x 3/leg, Core: 3 rounds
Core: 30 sec work / 20 sec rest each exercise.</v>
      </c>
      <c r="D32" s="7" t="s">
        <v>202</v>
      </c>
      <c r="E32" s="7" t="n">
        <v>33</v>
      </c>
      <c r="F32" s="23"/>
      <c r="G32" s="23" t="s">
        <v>198</v>
      </c>
      <c r="H32" s="23"/>
      <c r="I32" s="23"/>
      <c r="J32" s="23"/>
      <c r="K32" s="23"/>
    </row>
    <row r="33" customFormat="false" ht="84" hidden="false" customHeight="true" outlineLevel="0" collapsed="false">
      <c r="A33" s="10" t="n">
        <f aca="false">Strategy!$E$3+54</f>
        <v>46375.5</v>
      </c>
      <c r="B33" s="6" t="s">
        <v>50</v>
      </c>
      <c r="C33" s="22" t="str">
        <f aca="false">"10 min easy technique"&amp;CHAR(10)&amp;"Wrist/shoulder mobility: 1 min"&amp;CHAR(10)&amp;"Easy chest-to-wall hold: 2 x 10 sec"&amp;CHAR(10)&amp;"Wall handstand line drill: 1 x 10 sec"</f>
        <v>10 min easy technique
Wrist/shoulder mobility: 1 min
Easy chest-to-wall hold: 2 x 10 sec
Wall handstand line drill: 1 x 10 sec</v>
      </c>
      <c r="D33" s="7" t="s">
        <v>201</v>
      </c>
      <c r="E33" s="7" t="n">
        <v>10</v>
      </c>
      <c r="F33" s="23"/>
      <c r="G33" s="23" t="s">
        <v>198</v>
      </c>
      <c r="H33" s="23"/>
      <c r="I33" s="23"/>
      <c r="J33" s="23"/>
      <c r="K33" s="23"/>
    </row>
    <row r="34" customFormat="false" ht="84" hidden="false" customHeight="true" outlineLevel="0" collapsed="false">
      <c r="A34" s="10" t="n">
        <f aca="false">Strategy!$E$3+56</f>
        <v>46377.5</v>
      </c>
      <c r="B34" s="6" t="s">
        <v>42</v>
      </c>
      <c r="C34" s="22" t="str">
        <f aca="false">"35 min skills"&amp;CHAR(10)&amp;Strategy!H29&amp;CHAR(10)&amp;"Core: 30 sec work / 20 sec rest each exercise."</f>
        <v>35 min skills
Light-band or strict muscle-up: 3 x 1, Stronger-band back-off muscle-up: 2 x 2, Unassisted pistol: 3 x 1/leg, Core: 5 rounds
Core: 30 sec work / 20 sec rest each exercise.</v>
      </c>
      <c r="D34" s="7" t="s">
        <v>197</v>
      </c>
      <c r="E34" s="7" t="n">
        <v>65</v>
      </c>
      <c r="F34" s="23"/>
      <c r="G34" s="23" t="s">
        <v>198</v>
      </c>
      <c r="H34" s="23"/>
      <c r="I34" s="23"/>
      <c r="J34" s="23"/>
      <c r="K34" s="23"/>
    </row>
    <row r="35" customFormat="false" ht="84" hidden="false" customHeight="true" outlineLevel="0" collapsed="false">
      <c r="A35" s="10" t="n">
        <f aca="false">Strategy!$E$3+57</f>
        <v>46378.5</v>
      </c>
      <c r="B35" s="6" t="s">
        <v>50</v>
      </c>
      <c r="C35" s="22" t="str">
        <f aca="false">"10 min easy technique"&amp;CHAR(10)&amp;"Wrist/shoulder mobility: 2 min"&amp;CHAR(10)&amp;"Easy chest-to-wall hold: 3 x 15 sec"&amp;CHAR(10)&amp;"Wall handstand line drill: 2 x 15 sec"</f>
        <v>10 min easy technique
Wrist/shoulder mobility: 2 min
Easy chest-to-wall hold: 3 x 15 sec
Wall handstand line drill: 2 x 15 sec</v>
      </c>
      <c r="D35" s="7" t="s">
        <v>199</v>
      </c>
      <c r="E35" s="7" t="n">
        <v>10</v>
      </c>
      <c r="F35" s="23"/>
      <c r="G35" s="23" t="s">
        <v>198</v>
      </c>
      <c r="H35" s="23"/>
      <c r="I35" s="23"/>
      <c r="J35" s="23"/>
      <c r="K35" s="23"/>
    </row>
    <row r="36" customFormat="false" ht="84" hidden="false" customHeight="true" outlineLevel="0" collapsed="false">
      <c r="A36" s="10" t="n">
        <f aca="false">Strategy!$E$3+59</f>
        <v>46380.5</v>
      </c>
      <c r="B36" s="6" t="s">
        <v>46</v>
      </c>
      <c r="C36" s="22" t="str">
        <f aca="false">"35 min skills"&amp;CHAR(10)&amp;Strategy!I29&amp;CHAR(10)&amp;"Core: 30 sec work / 20 sec rest each exercise."</f>
        <v>35 min skills
Full-ROM wall HSPU negative: 3 x 1, Partial wall HSPU: 3 x 3, Unassisted pistol: 3 x 1/leg, Core: 5 rounds
Core: 30 sec work / 20 sec rest each exercise.</v>
      </c>
      <c r="D36" s="7" t="s">
        <v>200</v>
      </c>
      <c r="E36" s="7" t="n">
        <v>65</v>
      </c>
      <c r="F36" s="23"/>
      <c r="G36" s="23" t="s">
        <v>198</v>
      </c>
      <c r="H36" s="23"/>
      <c r="I36" s="23"/>
      <c r="J36" s="23"/>
      <c r="K36" s="23"/>
    </row>
    <row r="37" customFormat="false" ht="84" hidden="false" customHeight="true" outlineLevel="0" collapsed="false">
      <c r="A37" s="10" t="n">
        <f aca="false">Strategy!$E$3+61</f>
        <v>46382.5</v>
      </c>
      <c r="B37" s="6" t="s">
        <v>50</v>
      </c>
      <c r="C37" s="22" t="str">
        <f aca="false">"20 min easy technique"&amp;CHAR(10)&amp;"Wrist/shoulder mobility: 2 min"&amp;CHAR(10)&amp;"Easy chest-to-wall hold: 3 x 15 sec"&amp;CHAR(10)&amp;"Wall handstand line drill: 3 x 15 sec"</f>
        <v>20 min easy technique
Wrist/shoulder mobility: 2 min
Easy chest-to-wall hold: 3 x 15 sec
Wall handstand line drill: 3 x 15 sec</v>
      </c>
      <c r="D37" s="7" t="s">
        <v>201</v>
      </c>
      <c r="E37" s="7" t="n">
        <v>20</v>
      </c>
      <c r="F37" s="23"/>
      <c r="G37" s="23" t="s">
        <v>198</v>
      </c>
      <c r="H37" s="23"/>
      <c r="I37" s="23"/>
      <c r="J37" s="23"/>
      <c r="K37" s="23"/>
    </row>
    <row r="38" customFormat="false" ht="84" hidden="false" customHeight="true" outlineLevel="0" collapsed="false">
      <c r="A38" s="10" t="n">
        <f aca="false">Strategy!$E$3+63</f>
        <v>46384.5</v>
      </c>
      <c r="B38" s="6" t="s">
        <v>42</v>
      </c>
      <c r="C38" s="22" t="str">
        <f aca="false">"35 min skills"&amp;CHAR(10)&amp;Strategy!H30&amp;CHAR(10)&amp;"Core: 30 sec work / 20 sec rest each exercise."</f>
        <v>35 min skills
Quality muscle-up attempts: 3-5 singles, Band-assisted muscle-up: 2 x 2, Pistol clusters: 3 x (1+1)/leg (20 sec between reps), Core: 5 rounds
Core: 30 sec work / 20 sec rest each exercise.</v>
      </c>
      <c r="D38" s="7" t="s">
        <v>197</v>
      </c>
      <c r="E38" s="7" t="n">
        <v>65</v>
      </c>
      <c r="F38" s="23"/>
      <c r="G38" s="23" t="s">
        <v>198</v>
      </c>
      <c r="H38" s="23"/>
      <c r="I38" s="23"/>
      <c r="J38" s="23"/>
      <c r="K38" s="23"/>
    </row>
    <row r="39" customFormat="false" ht="84" hidden="false" customHeight="true" outlineLevel="0" collapsed="false">
      <c r="A39" s="10" t="n">
        <f aca="false">Strategy!$E$3+64</f>
        <v>46385.5</v>
      </c>
      <c r="B39" s="6" t="s">
        <v>50</v>
      </c>
      <c r="C39" s="22" t="str">
        <f aca="false">"10 min easy technique"&amp;CHAR(10)&amp;"Wrist/shoulder mobility: 2 min"&amp;CHAR(10)&amp;"Easy chest-to-wall hold: 3 x 15 sec"&amp;CHAR(10)&amp;"Wall handstand line drill: 2 x 15 sec"</f>
        <v>10 min easy technique
Wrist/shoulder mobility: 2 min
Easy chest-to-wall hold: 3 x 15 sec
Wall handstand line drill: 2 x 15 sec</v>
      </c>
      <c r="D39" s="7" t="s">
        <v>199</v>
      </c>
      <c r="E39" s="7" t="n">
        <v>10</v>
      </c>
      <c r="F39" s="23"/>
      <c r="G39" s="23" t="s">
        <v>198</v>
      </c>
      <c r="H39" s="23"/>
      <c r="I39" s="23"/>
      <c r="J39" s="23"/>
      <c r="K39" s="23"/>
    </row>
    <row r="40" customFormat="false" ht="84" hidden="false" customHeight="true" outlineLevel="0" collapsed="false">
      <c r="A40" s="10" t="n">
        <f aca="false">Strategy!$E$3+66</f>
        <v>46387.5</v>
      </c>
      <c r="B40" s="6" t="s">
        <v>46</v>
      </c>
      <c r="C40" s="22" t="str">
        <f aca="false">"35 min skills"&amp;CHAR(10)&amp;Strategy!I30&amp;CHAR(10)&amp;"Core: 30 sec work / 20 sec rest each exercise."</f>
        <v>35 min skills
Wall HSPU clusters: 3 x (1+1) (20 sec between reps), Easy wall handstand: 2 x 20 sec, Pistol clusters: 3 x (1+1)/leg (20 sec between reps), Core: 5 rounds
Core: 30 sec work / 20 sec rest each exercise.</v>
      </c>
      <c r="D40" s="7" t="s">
        <v>200</v>
      </c>
      <c r="E40" s="7" t="n">
        <v>65</v>
      </c>
      <c r="F40" s="23"/>
      <c r="G40" s="23" t="s">
        <v>198</v>
      </c>
      <c r="H40" s="23"/>
      <c r="I40" s="23"/>
      <c r="J40" s="23"/>
      <c r="K40" s="23"/>
    </row>
    <row r="41" customFormat="false" ht="84" hidden="false" customHeight="true" outlineLevel="0" collapsed="false">
      <c r="A41" s="10" t="n">
        <f aca="false">Strategy!$E$3+68</f>
        <v>46389.5</v>
      </c>
      <c r="B41" s="6" t="s">
        <v>50</v>
      </c>
      <c r="C41" s="22" t="str">
        <f aca="false">"20 min easy technique"&amp;CHAR(10)&amp;"Wrist/shoulder mobility: 2 min"&amp;CHAR(10)&amp;"Easy chest-to-wall hold: 3 x 15 sec"&amp;CHAR(10)&amp;"Wall handstand line drill: 3 x 15 sec"</f>
        <v>20 min easy technique
Wrist/shoulder mobility: 2 min
Easy chest-to-wall hold: 3 x 15 sec
Wall handstand line drill: 3 x 15 sec</v>
      </c>
      <c r="D41" s="7" t="s">
        <v>201</v>
      </c>
      <c r="E41" s="7" t="n">
        <v>20</v>
      </c>
      <c r="F41" s="23"/>
      <c r="G41" s="23" t="s">
        <v>198</v>
      </c>
      <c r="H41" s="23"/>
      <c r="I41" s="23"/>
      <c r="J41" s="23"/>
      <c r="K41" s="23"/>
    </row>
    <row r="42" customFormat="false" ht="84" hidden="false" customHeight="true" outlineLevel="0" collapsed="false">
      <c r="A42" s="10" t="n">
        <f aca="false">Strategy!$E$3+70</f>
        <v>46391.5</v>
      </c>
      <c r="B42" s="6" t="s">
        <v>42</v>
      </c>
      <c r="C42" s="22" t="str">
        <f aca="false">"35 min skills"&amp;CHAR(10)&amp;Strategy!H31&amp;CHAR(10)&amp;"Core: 30 sec work / 20 sec rest each exercise."</f>
        <v>35 min skills
Quality muscle-up attempts: 3 singles, Crisp high pull: 3 x 2, Clean pistol: 3 x 2/leg, Core: 5 rounds
Core: 30 sec work / 20 sec rest each exercise.</v>
      </c>
      <c r="D42" s="7" t="s">
        <v>197</v>
      </c>
      <c r="E42" s="7" t="n">
        <v>65</v>
      </c>
      <c r="F42" s="23"/>
      <c r="G42" s="23" t="s">
        <v>198</v>
      </c>
      <c r="H42" s="23"/>
      <c r="I42" s="23"/>
      <c r="J42" s="23"/>
      <c r="K42" s="23"/>
    </row>
    <row r="43" customFormat="false" ht="84" hidden="false" customHeight="true" outlineLevel="0" collapsed="false">
      <c r="A43" s="10" t="n">
        <f aca="false">Strategy!$E$3+71</f>
        <v>46392.5</v>
      </c>
      <c r="B43" s="6" t="s">
        <v>50</v>
      </c>
      <c r="C43" s="22" t="str">
        <f aca="false">"10 min easy technique"&amp;CHAR(10)&amp;"Wrist/shoulder mobility: 2 min"&amp;CHAR(10)&amp;"Easy chest-to-wall hold: 3 x 15 sec"&amp;CHAR(10)&amp;"Wall handstand line drill: 2 x 15 sec"</f>
        <v>10 min easy technique
Wrist/shoulder mobility: 2 min
Easy chest-to-wall hold: 3 x 15 sec
Wall handstand line drill: 2 x 15 sec</v>
      </c>
      <c r="D43" s="7" t="s">
        <v>199</v>
      </c>
      <c r="E43" s="7" t="n">
        <v>10</v>
      </c>
      <c r="F43" s="23"/>
      <c r="G43" s="23" t="s">
        <v>198</v>
      </c>
      <c r="H43" s="23"/>
      <c r="I43" s="23"/>
      <c r="J43" s="23"/>
      <c r="K43" s="23"/>
    </row>
    <row r="44" customFormat="false" ht="84" hidden="false" customHeight="true" outlineLevel="0" collapsed="false">
      <c r="A44" s="10" t="n">
        <f aca="false">Strategy!$E$3+73</f>
        <v>46394.5</v>
      </c>
      <c r="B44" s="6" t="s">
        <v>46</v>
      </c>
      <c r="C44" s="22" t="str">
        <f aca="false">"35 min skills"&amp;CHAR(10)&amp;Strategy!I31&amp;CHAR(10)&amp;"Core: 30 sec work / 20 sec rest each exercise."</f>
        <v>35 min skills
Full-ROM wall HSPU: 3 single attempts, Pike push-up back-off: 2 x 4, Clean pistol: 3 x 2/leg, Core: 5 rounds
Core: 30 sec work / 20 sec rest each exercise.</v>
      </c>
      <c r="D44" s="7" t="s">
        <v>200</v>
      </c>
      <c r="E44" s="7" t="n">
        <v>65</v>
      </c>
      <c r="F44" s="23"/>
      <c r="G44" s="23" t="s">
        <v>198</v>
      </c>
      <c r="H44" s="23"/>
      <c r="I44" s="23"/>
      <c r="J44" s="23"/>
      <c r="K44" s="23"/>
    </row>
    <row r="45" customFormat="false" ht="84" hidden="false" customHeight="true" outlineLevel="0" collapsed="false">
      <c r="A45" s="10" t="n">
        <f aca="false">Strategy!$E$3+75</f>
        <v>46396.5</v>
      </c>
      <c r="B45" s="6" t="s">
        <v>50</v>
      </c>
      <c r="C45" s="22" t="str">
        <f aca="false">"20 min easy technique"&amp;CHAR(10)&amp;"Wrist/shoulder mobility: 2 min"&amp;CHAR(10)&amp;"Easy chest-to-wall hold: 3 x 15 sec"&amp;CHAR(10)&amp;"Wall handstand line drill: 3 x 15 sec"</f>
        <v>20 min easy technique
Wrist/shoulder mobility: 2 min
Easy chest-to-wall hold: 3 x 15 sec
Wall handstand line drill: 3 x 15 sec</v>
      </c>
      <c r="D45" s="7" t="s">
        <v>201</v>
      </c>
      <c r="E45" s="7" t="n">
        <v>20</v>
      </c>
      <c r="F45" s="23"/>
      <c r="G45" s="23" t="s">
        <v>198</v>
      </c>
      <c r="H45" s="23"/>
      <c r="I45" s="23"/>
      <c r="J45" s="23"/>
      <c r="K45" s="23"/>
    </row>
    <row r="46" customFormat="false" ht="84" hidden="false" customHeight="true" outlineLevel="0" collapsed="false">
      <c r="A46" s="10" t="n">
        <f aca="false">Strategy!$E$3+77</f>
        <v>46398.5</v>
      </c>
      <c r="B46" s="6" t="s">
        <v>42</v>
      </c>
      <c r="C46" s="22" t="str">
        <f aca="false">"10 min skills"&amp;CHAR(10)&amp;Strategy!H32&amp;CHAR(10)&amp;"Core: 30 sec work / 20 sec rest each exercise."</f>
        <v>10 min skills
Muscle-up test: up to 3 rested singles, Pistol test: 1 clean set/leg (cap at 5), Easy scapular pull-up: 1 x 5 if time remains, Core: 2 rounds
Core: 30 sec work / 20 sec rest each exercise.</v>
      </c>
      <c r="D46" s="7" t="s">
        <v>197</v>
      </c>
      <c r="E46" s="7" t="n">
        <v>30</v>
      </c>
      <c r="F46" s="23"/>
      <c r="G46" s="23" t="s">
        <v>198</v>
      </c>
      <c r="H46" s="23"/>
      <c r="I46" s="23"/>
      <c r="J46" s="23"/>
      <c r="K46" s="23"/>
    </row>
    <row r="47" customFormat="false" ht="84" hidden="false" customHeight="true" outlineLevel="0" collapsed="false">
      <c r="A47" s="10" t="n">
        <f aca="false">Strategy!$E$3+78</f>
        <v>46399.5</v>
      </c>
      <c r="B47" s="6" t="s">
        <v>50</v>
      </c>
      <c r="C47" s="22" t="str">
        <f aca="false">"5 min easy technique"&amp;CHAR(10)&amp;"Wrist/shoulder mobility: 1 min"&amp;CHAR(10)&amp;"Easy chest-to-wall hold: 2 x 10 sec"&amp;CHAR(10)&amp;"Wall handstand line drill: 1 x 10 sec"</f>
        <v>5 min easy technique
Wrist/shoulder mobility: 1 min
Easy chest-to-wall hold: 2 x 10 sec
Wall handstand line drill: 1 x 10 sec</v>
      </c>
      <c r="D47" s="7" t="s">
        <v>199</v>
      </c>
      <c r="E47" s="7" t="n">
        <v>5</v>
      </c>
      <c r="F47" s="23"/>
      <c r="G47" s="23" t="s">
        <v>198</v>
      </c>
      <c r="H47" s="23"/>
      <c r="I47" s="23"/>
      <c r="J47" s="23"/>
      <c r="K47" s="23"/>
    </row>
    <row r="48" customFormat="false" ht="84" hidden="false" customHeight="true" outlineLevel="0" collapsed="false">
      <c r="A48" s="10" t="n">
        <f aca="false">Strategy!$E$3+80</f>
        <v>46401.5</v>
      </c>
      <c r="B48" s="6" t="s">
        <v>46</v>
      </c>
      <c r="C48" s="22" t="str">
        <f aca="false">"10 min skills"&amp;CHAR(10)&amp;Strategy!I32&amp;CHAR(10)&amp;"Core: 30 sec work / 20 sec rest each exercise."</f>
        <v>10 min skills
Wall HSPU test: 1 clean set (cap at 5), Easy wall handstand: 1 x 15 sec, Gentle wrist/shoulder mobility: 2 min, Core: 2 rounds
Core: 30 sec work / 20 sec rest each exercise.</v>
      </c>
      <c r="D48" s="7" t="s">
        <v>202</v>
      </c>
      <c r="E48" s="7" t="n">
        <v>30</v>
      </c>
      <c r="F48" s="23"/>
      <c r="G48" s="23" t="s">
        <v>198</v>
      </c>
      <c r="H48" s="23"/>
      <c r="I48" s="23"/>
      <c r="J48" s="23"/>
      <c r="K48" s="23"/>
    </row>
    <row r="49" customFormat="false" ht="84" hidden="false" customHeight="true" outlineLevel="0" collapsed="false">
      <c r="A49" s="10" t="n">
        <f aca="false">Strategy!$E$3+82</f>
        <v>46403.5</v>
      </c>
      <c r="B49" s="6" t="s">
        <v>50</v>
      </c>
      <c r="C49" s="22" t="str">
        <f aca="false">"10 min easy technique"&amp;CHAR(10)&amp;"Wrist/shoulder mobility: 1 min"&amp;CHAR(10)&amp;"Easy chest-to-wall hold: 2 x 10 sec"&amp;CHAR(10)&amp;"Wall handstand line drill: 1 x 10 sec"</f>
        <v>10 min easy technique
Wrist/shoulder mobility: 1 min
Easy chest-to-wall hold: 2 x 10 sec
Wall handstand line drill: 1 x 10 sec</v>
      </c>
      <c r="D49" s="7" t="s">
        <v>201</v>
      </c>
      <c r="E49" s="7" t="n">
        <v>10</v>
      </c>
      <c r="F49" s="23"/>
      <c r="G49" s="23" t="s">
        <v>198</v>
      </c>
      <c r="H49" s="23"/>
      <c r="I49" s="23"/>
      <c r="J49" s="23"/>
      <c r="K49" s="23"/>
    </row>
  </sheetData>
  <conditionalFormatting sqref="G2:G49">
    <cfRule type="containsText" priority="2" operator="containsText" aboveAverage="0" equalAverage="0" bottom="0" percent="0" rank="0" text="completed" dxfId="4">
      <formula>NOT(ISERROR(SEARCH("completed",G2)))</formula>
    </cfRule>
  </conditionalFormatting>
  <dataValidations count="2">
    <dataValidation allowBlank="false" errorStyle="stop" operator="between" showDropDown="false" showErrorMessage="false" showInputMessage="false" sqref="G2:G49" type="list">
      <formula1>"planned,in-progress,completed,incomplete,skipped,cancelled"</formula1>
      <formula2>0</formula2>
    </dataValidation>
    <dataValidation allowBlank="false" errorStyle="stop" operator="between" showDropDown="false" showErrorMessage="false" showInputMessage="false" sqref="B2:B133" type="list">
      <formula1>"A,B,Technique,Core,Empty"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LibreOffice_project/6673c99d96549ce65101be79fa29dd8a8e58eb52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de-DE</dc:language>
  <cp:lastModifiedBy/>
  <dcterms:modified xsi:type="dcterms:W3CDTF">2026-10-21T10:09:32Z</dcterms:modified>
  <cp:revision>1</cp:revision>
  <dc:subject/>
  <dc:title/>
</cp:coreProperties>
</file>
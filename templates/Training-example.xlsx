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d3c38662ad43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b82739df4cbe48cd"/>
    <x:sheet xmlns:r="http://schemas.openxmlformats.org/officeDocument/2006/relationships" name="Recurring" sheetId="2" r:id="Rb34766ff17714892"/>
    <x:sheet xmlns:r="http://schemas.openxmlformats.org/officeDocument/2006/relationships" name="Daily" sheetId="3" r:id="R9fb4e1e72596461f"/>
  </x:sheets>
</x:workbook>
</file>

<file path=xl/sharedStrings.xml><?xml version="1.0" encoding="utf-8"?>
<x:sst xmlns:x="http://schemas.openxmlformats.org/spreadsheetml/2006/main">
  <x:si>
    <x:t xml:space="preserve">Plan</x:t>
  </x:si>
  <x:si>
    <x:t xml:space="preserve">schema_version</x:t>
  </x:si>
  <x:si>
    <x:t xml:space="preserve">plan_id</x:t>
  </x:si>
  <x:si>
    <x:t xml:space="preserve">plan_name</x:t>
  </x:si>
  <x:si>
    <x:t xml:space="preserve">timezone</x:t>
  </x:si>
  <x:si>
    <x:t xml:space="preserve">start_date</x:t>
  </x:si>
  <x:si>
    <x:t xml:space="preserve">1</x:t>
  </x:si>
  <x:si>
    <x:t xml:space="preserve">my-training</x:t>
  </x:si>
  <x:si>
    <x:t xml:space="preserve">12-week hybrid plan</x:t>
  </x:si>
  <x:si>
    <x:t xml:space="preserve">Europe/Berlin</x:t>
  </x:si>
  <x:si>
    <x:t xml:space="preserve">Goals</x:t>
  </x:si>
  <x:si>
    <x:t xml:space="preserve">goal_id</x:t>
  </x:si>
  <x:si>
    <x:t xml:space="preserve">title</x:t>
  </x:si>
  <x:si>
    <x:t xml:space="preserve">benchmark</x:t>
  </x:si>
  <x:si>
    <x:t xml:space="preserve">baseline</x:t>
  </x:si>
  <x:si>
    <x:t xml:space="preserve">test</x:t>
  </x:si>
  <x:si>
    <x:t xml:space="preserve">category</x:t>
  </x:si>
  <x:si>
    <x:t xml:space="preserve">result_column</x:t>
  </x:si>
  <x:si>
    <x:t xml:space="preserve">garmin_types</x:t>
  </x:si>
  <x:si>
    <x:t xml:space="preserve">muscle-up</x:t>
  </x:si>
  <x:si>
    <x:t xml:space="preserve">Muscle-up</x:t>
  </x:si>
  <x:si>
    <x:t xml:space="preserve">Band-assisted or first strict rep</x:t>
  </x:si>
  <x:si>
    <x:t xml:space="preserve">7 pull-ups reported; confirm strict form. Muscle-up baseline not established.</x:t>
  </x:si>
  <x:si>
    <x:t xml:space="preserve">Record assistance and controlled full movement</x:t>
  </x:si>
  <x:si>
    <x:t xml:space="preserve">milestone</x:t>
  </x:si>
  <x:si>
    <x:t xml:space="preserve">Muscle-up result</x:t>
  </x:si>
  <x:si>
    <x:t xml:space="preserve">hspu</x:t>
  </x:si>
  <x:si>
    <x:t xml:space="preserve">Handstand push-up</x:t>
  </x:si>
  <x:si>
    <x:t xml:space="preserve">3–5 controlled wall reps or deep negatives</x:t>
  </x:si>
  <x:si>
    <x:t xml:space="preserve">Not established</x:t>
  </x:si>
  <x:si>
    <x:t xml:space="preserve">Chest-to-wall, full lockout</x:t>
  </x:si>
  <x:si>
    <x:t xml:space="preserve">HSPU result</x:t>
  </x:si>
  <x:si>
    <x:t xml:space="preserve">pistol</x:t>
  </x:si>
  <x:si>
    <x:t xml:space="preserve">Pistol squat</x:t>
  </x:si>
  <x:si>
    <x:t xml:space="preserve">3–5 clean reps per leg</x:t>
  </x:si>
  <x:si>
    <x:t xml:space="preserve">Heel down, controlled depth</x:t>
  </x:si>
  <x:si>
    <x:t xml:space="preserve">Pistol result</x:t>
  </x:si>
  <x:si>
    <x:t xml:space="preserve">running</x:t>
  </x:si>
  <x:si>
    <x:t xml:space="preserve">Running</x:t>
  </x:si>
  <x:si>
    <x:t xml:space="preserve">Maintain or improve 12 km pace</x:t>
  </x:si>
  <x:si>
    <x:t xml:space="preserve">12 km at 5:00/km (reported)</x:t>
  </x:si>
  <x:si>
    <x:t xml:space="preserve">12 km steady test in week 12</x:t>
  </x:si>
  <x:si>
    <x:t xml:space="preserve">maintenance</x:t>
  </x:si>
  <x:si>
    <x:t xml:space="preserve">swimming</x:t>
  </x:si>
  <x:si>
    <x:t xml:space="preserve">Swimming</x:t>
  </x:si>
  <x:si>
    <x:t xml:space="preserve">Maintain regular swimming</x:t>
  </x:si>
  <x:si>
    <x:t xml:space="preserve">3 fixed 60 min guided swims/week; optional fourth (reported routine)</x:t>
  </x:si>
  <x:si>
    <x:t xml:space="preserve">Record duration and distance for comparable swims</x:t>
  </x:si>
  <x:si>
    <x:t xml:space="preserve">Parts</x:t>
  </x:si>
  <x:si>
    <x:t xml:space="preserve">part_id</x:t>
  </x:si>
  <x:si>
    <x:t xml:space="preserve">version</x:t>
  </x:si>
  <x:si>
    <x:t xml:space="preserve">prescription</x:t>
  </x:si>
  <x:si>
    <x:t xml:space="preserve">goal_ids</x:t>
  </x:si>
  <x:si>
    <x:t xml:space="preserve">A</x:t>
  </x:si>
  <x:si>
    <x:t xml:space="preserve">Skills A</x:t>
  </x:si>
  <x:si>
    <x:t xml:space="preserve">Follow block A in Week plans, then Core. A/B/C label the three daily exercises.</x:t>
  </x:si>
  <x:si>
    <x:t xml:space="preserve">muscle-up, pistol</x:t>
  </x:si>
  <x:si>
    <x:t xml:space="preserve">B</x:t>
  </x:si>
  <x:si>
    <x:t xml:space="preserve">Skills B</x:t>
  </x:si>
  <x:si>
    <x:t xml:space="preserve">Follow block B in Week plans, then Core. A/B/C label the three daily exercises.</x:t>
  </x:si>
  <x:si>
    <x:t xml:space="preserve">hspu, pistol</x:t>
  </x:si>
  <x:si>
    <x:t xml:space="preserve">Technique</x:t>
  </x:si>
  <x:si>
    <x:t xml:space="preserve">Light technique</x:t>
  </x:si>
  <x:si>
    <x:t xml:space="preserve">Follow the easy technique session in Daily. A/B/C label its three exercises.</x:t>
  </x:si>
  <x:si>
    <x:t xml:space="preserve">Core</x:t>
  </x:si>
  <x:si>
    <x:t xml:space="preserve">Core circuit — 16 min 40 sec</x:t>
  </x:si>
  <x:si>
    <x:t xml:space="preserve">5 rounds: pull-ups, push-ups, weighted squats, upside-down hanging shoulder/ab work. Each exercise: 30 sec work + 20 sec rest.</x:t>
  </x:si>
  <x:si>
    <x:t xml:space="preserve">muscle-up, hspu, pistol</x:t>
  </x:si>
  <x:si>
    <x:t xml:space="preserve">Week plans</x:t>
  </x:si>
  <x:si>
    <x:t xml:space="preserve">Week</x:t>
  </x:si>
  <x:si>
    <x:t xml:space="preserve">Start</x:t>
  </x:si>
  <x:si>
    <x:t xml:space="preserve">Phase</x:t>
  </x:si>
  <x:si>
    <x:t xml:space="preserve">Focus</x:t>
  </x:si>
  <x:si>
    <x:t xml:space="preserve">Targets</x:t>
  </x:si>
  <x:si>
    <x:t xml:space="preserve">Advance when</x:t>
  </x:si>
  <x:si>
    <x:t xml:space="preserve">Minutes</x:t>
  </x:si>
  <x:si>
    <x:t xml:space="preserve">Foundation</x:t>
  </x:si>
  <x:si>
    <x:t xml:space="preserve">35 min skills before each circuit; leave reps in reserve</x:t>
  </x:si>
  <x:si>
    <x:t xml:space="preserve">Muscle-up: Scapular pulls + chest-to-bar intent; HSPU: Chest-to-wall hold + pike push-up; Pistol: Box pistol + ankle mobility</x:t>
  </x:si>
  <x:si>
    <x:t xml:space="preserve">Review recorded results and comfort. Repeat or adjust the week if needed.</x:t>
  </x:si>
  <x:si>
    <x:t xml:space="preserve">A) Scapular pull-up: 3 x 5, B) High pull (chest-to-bar intent): 3 x 3, C) Box pistol: 3 x 5/leg, Core: 5 rounds</x:t>
  </x:si>
  <x:si>
    <x:t xml:space="preserve">A) Chest-to-wall handstand: 3 x 20 sec, B) Pike push-up: 3 x 5, C) Box pistol: 3 x 5/leg, Core: 5 rounds</x:t>
  </x:si>
  <x:si>
    <x:t xml:space="preserve">Muscle-up: Band transition drill + high pull; HSPU: Wall hold + elevated pike push-up; Pistol: Lower box pistol + counterweight</x:t>
  </x:si>
  <x:si>
    <x:t xml:space="preserve">A) Band transition drill: 3 x 3, B) High pull: 3 x 3, C) Lower-box pistol with counterweight: 3 x 4/leg, Core: 5 rounds</x:t>
  </x:si>
  <x:si>
    <x:t xml:space="preserve">A) Wall handstand: 3 x 25 sec, B) Elevated pike push-up: 3 x 4, C) Lower-box pistol with counterweight: 3 x 4/leg, Core: 5 rounds</x:t>
  </x:si>
  <x:si>
    <x:t xml:space="preserve">Muscle-up: Explosive pull + low-bar transition; HSPU: Wall negative + pike push-up; Pistol: Assisted pistol to depth</x:t>
  </x:si>
  <x:si>
    <x:t xml:space="preserve">A) Explosive pull-up: 4 x 2, B) Low-bar transition: 3 x 3, C) Assisted full-depth pistol: 3 x 4/leg, Core: 5 rounds</x:t>
  </x:si>
  <x:si>
    <x:t xml:space="preserve">A) Wall HSPU negative: 3 x 2 (lower 3 sec), B) Pike push-up: 3 x 5, C) Assisted full-depth pistol: 3 x 4/leg, Core: 5 rounds</x:t>
  </x:si>
  <x:si>
    <x:t xml:space="preserve">Deload</x:t>
  </x:si>
  <x:si>
    <x:t xml:space="preserve">3 rounds; skip optional strength</x:t>
  </x:si>
  <x:si>
    <x:t xml:space="preserve">Muscle-up: Easy technique only; HSPU: Easy holds + mobility; Pistol: Easy assisted reps</x:t>
  </x:si>
  <x:si>
    <x:t xml:space="preserve">A) Easy scapular pull-up: 1 x 5, B) Easy low-bar transition: 1 x 3, C) Assisted pistol: 1 x 3/leg, Core: 3 rounds</x:t>
  </x:si>
  <x:si>
    <x:t xml:space="preserve">A) Easy wall handstand: 1 x 15 sec, B) Gentle wrist/shoulder mobility: 2 min, C) Assisted pistol: 1 x 3/leg, Core: 3 rounds</x:t>
  </x:si>
  <x:si>
    <x:t xml:space="preserve">Build</x:t>
  </x:si>
  <x:si>
    <x:t xml:space="preserve">Muscle-up: Chest-to-bar + band muscle-up; HSPU: Deficit pike + wall negative; Pistol: Counterweight pistol</x:t>
  </x:si>
  <x:si>
    <x:t xml:space="preserve">A) Chest-to-bar pull-up: 3 x 3, B) Band-assisted muscle-up: 4 x 1, C) Counterweight pistol: 3 x 4/leg, Core: 5 rounds</x:t>
  </x:si>
  <x:si>
    <x:t xml:space="preserve">A) Deficit pike push-up: 3 x 4, B) Wall HSPU negative: 3 x 2 (lower 3 sec), C) Counterweight pistol: 3 x 4/leg, Core: 5 rounds</x:t>
  </x:si>
  <x:si>
    <x:t xml:space="preserve">Muscle-up: Jumping muscle-up + slow transition; HSPU: Partial wall HSPU + negative; Pistol: Light counterweight pistol</x:t>
  </x:si>
  <x:si>
    <x:t xml:space="preserve">A) Jumping muscle-up: 3 x 3, B) Low-bar slow transition: 3 x 3, C) Light-counterweight pistol: 3 x 4/leg, Core: 5 rounds</x:t>
  </x:si>
  <x:si>
    <x:t xml:space="preserve">A) Partial wall HSPU: 3 x 3, B) Wall HSPU negative: 3 x 2 (lower 3 sec), C) Light-counterweight pistol: 3 x 4/leg, Core: 5 rounds</x:t>
  </x:si>
  <x:si>
    <x:t xml:space="preserve">Muscle-up: Light-band muscle-up singles; HSPU: Deeper wall HSPU; Pistol: Unassisted singles to target</x:t>
  </x:si>
  <x:si>
    <x:t xml:space="preserve">A) Light-band muscle-up: 4 x 1, B) Band-assisted transition: 3 x 2, C) Unassisted pistol to target: 3 x 1/leg, Core: 5 rounds</x:t>
  </x:si>
  <x:si>
    <x:t xml:space="preserve">A) Deeper wall HSPU: 3 x 2, B) Easy wall handstand: 2 x 20 sec, C) Unassisted pistol to target: 3 x 1/leg, Core: 5 rounds</x:t>
  </x:si>
  <x:si>
    <x:t xml:space="preserve">Muscle-up: Easy high pulls + transitions; HSPU: Easy holds + pike reps; Pistol: Assisted smooth reps</x:t>
  </x:si>
  <x:si>
    <x:t xml:space="preserve">A) Easy high pull: 1 x 3, B) Easy low-bar transition: 1 x 3, C) Assisted smooth pistol: 1 x 3/leg, Core: 3 rounds</x:t>
  </x:si>
  <x:si>
    <x:t xml:space="preserve">A) Easy wall handstand: 1 x 15 sec, B) Easy pike push-up: 1 x 4, C) Assisted smooth pistol: 1 x 3/leg, Core: 3 rounds</x:t>
  </x:si>
  <x:si>
    <x:t xml:space="preserve">Specific</x:t>
  </x:si>
  <x:si>
    <x:t xml:space="preserve">Muscle-up: Light-band or strict attempts, then back-off; HSPU: Full-ROM negatives + partial reps; Pistol: Unassisted singles</x:t>
  </x:si>
  <x:si>
    <x:t xml:space="preserve">A) Light-band or strict muscle-up: 3 x 1, B) Stronger-band back-off muscle-up: 2 x 2, C) Unassisted pistol: 3 x 1/leg, Core: 5 rounds</x:t>
  </x:si>
  <x:si>
    <x:t xml:space="preserve">A) Full-ROM wall HSPU negative: 3 x 1, B) Partial wall HSPU: 3 x 3, C) Unassisted pistol: 3 x 1/leg, Core: 5 rounds</x:t>
  </x:si>
  <x:si>
    <x:t xml:space="preserve">Muscle-up: 3-5 quality attempts + band reps; HSPU: Wall HSPU clusters; Pistol: Pistol clusters</x:t>
  </x:si>
  <x:si>
    <x:t xml:space="preserve">A) Quality muscle-up attempts: 3-5 singles, B) Band-assisted muscle-up: 2 x 2, C) Pistol clusters: 3 x (1+1)/leg (20 sec between reps), Core: 5 rounds</x:t>
  </x:si>
  <x:si>
    <x:t xml:space="preserve">A) Wall HSPU clusters: 3 x (1+1) (20 sec between reps), B) Easy wall handstand: 2 x 20 sec, C) Pistol clusters: 3 x (1+1)/leg (20 sec between reps), Core: 5 rounds</x:t>
  </x:si>
  <x:si>
    <x:t xml:space="preserve">Muscle-up: 3 quality attempts + crisp high pulls; HSPU: Full-ROM attempts + back-off; Pistol: Sets of clean pistols</x:t>
  </x:si>
  <x:si>
    <x:t xml:space="preserve">A) Quality muscle-up attempts: 3 singles, B) Crisp high pull: 3 x 2, C) Clean pistol: 3 x 2/leg, Core: 5 rounds</x:t>
  </x:si>
  <x:si>
    <x:t xml:space="preserve">A) Full-ROM wall HSPU: 3 single attempts, B) Pike push-up back-off: 2 x 4, C) Clean pistol: 3 x 2/leg, Core: 5 rounds</x:t>
  </x:si>
  <x:si>
    <x:t xml:space="preserve">Test</x:t>
  </x:si>
  <x:si>
    <x:t xml:space="preserve">2 easy rounds; tests replace extras</x:t>
  </x:si>
  <x:si>
    <x:t xml:space="preserve">Muscle-up: Test after warm-up; HSPU: Test after warm-up; Pistol: Test after warm-up</x:t>
  </x:si>
  <x:si>
    <x:t xml:space="preserve">A) Muscle-up test: up to 3 rested singles, B) Pistol test: 1 clean set/leg (cap at 5), C) Easy scapular pull-up: 1 x 5 if time remains, Core: 2 rounds</x:t>
  </x:si>
  <x:si>
    <x:t xml:space="preserve">A) Wall HSPU test: 1 clean set (cap at 5), B) Easy wall handstand: 1 x 15 sec, C) Gentle wrist/shoulder mobility: 2 min, Core: 2 rounds</x:t>
  </x:si>
  <x:si>
    <x:t xml:space="preserve">Exercise arsenal</x:t>
  </x:si>
  <x:si>
    <x:t xml:space="preserve">Group</x:t>
  </x:si>
  <x:si>
    <x:t xml:space="preserve">Exercise</x:t>
  </x:si>
  <x:si>
    <x:t xml:space="preserve">Easy scapular pull-up</x:t>
  </x:si>
  <x:si>
    <x:t xml:space="preserve">Scapular pull-up</x:t>
  </x:si>
  <x:si>
    <x:t xml:space="preserve">Easy high pull</x:t>
  </x:si>
  <x:si>
    <x:t xml:space="preserve">High pull</x:t>
  </x:si>
  <x:si>
    <x:t xml:space="preserve">High pull (chest-to-bar intent)</x:t>
  </x:si>
  <x:si>
    <x:t xml:space="preserve">Explosive pull-up</x:t>
  </x:si>
  <x:si>
    <x:t xml:space="preserve">Chest-to-bar pull-up</x:t>
  </x:si>
  <x:si>
    <x:t xml:space="preserve">Crisp high pull</x:t>
  </x:si>
  <x:si>
    <x:t xml:space="preserve">Easy low-bar transition</x:t>
  </x:si>
  <x:si>
    <x:t xml:space="preserve">Low-bar transition</x:t>
  </x:si>
  <x:si>
    <x:t xml:space="preserve">Low-bar slow transition</x:t>
  </x:si>
  <x:si>
    <x:t xml:space="preserve">Band transition drill</x:t>
  </x:si>
  <x:si>
    <x:t xml:space="preserve">Band-assisted transition</x:t>
  </x:si>
  <x:si>
    <x:t xml:space="preserve">Jumping muscle-up</x:t>
  </x:si>
  <x:si>
    <x:t xml:space="preserve">Band-assisted muscle-up</x:t>
  </x:si>
  <x:si>
    <x:t xml:space="preserve">Stronger-band back-off muscle-up</x:t>
  </x:si>
  <x:si>
    <x:t xml:space="preserve">Light-band muscle-up</x:t>
  </x:si>
  <x:si>
    <x:t xml:space="preserve">Light-band or strict muscle-up</x:t>
  </x:si>
  <x:si>
    <x:t xml:space="preserve">Quality muscle-up attempts</x:t>
  </x:si>
  <x:si>
    <x:t xml:space="preserve">Muscle-up test</x:t>
  </x:si>
  <x:si>
    <x:t xml:space="preserve">Handstand / HSPU</x:t>
  </x:si>
  <x:si>
    <x:t xml:space="preserve">Easy chest-to-wall hold</x:t>
  </x:si>
  <x:si>
    <x:t xml:space="preserve">Chest-to-wall handstand</x:t>
  </x:si>
  <x:si>
    <x:t xml:space="preserve">Easy wall handstand</x:t>
  </x:si>
  <x:si>
    <x:t xml:space="preserve">Wall handstand</x:t>
  </x:si>
  <x:si>
    <x:t xml:space="preserve">Wall handstand line drill</x:t>
  </x:si>
  <x:si>
    <x:t xml:space="preserve">Easy pike push-up</x:t>
  </x:si>
  <x:si>
    <x:t xml:space="preserve">Pike push-up</x:t>
  </x:si>
  <x:si>
    <x:t xml:space="preserve">Elevated pike push-up</x:t>
  </x:si>
  <x:si>
    <x:t xml:space="preserve">Deficit pike push-up</x:t>
  </x:si>
  <x:si>
    <x:t xml:space="preserve">Wall HSPU negative</x:t>
  </x:si>
  <x:si>
    <x:t xml:space="preserve">Full-ROM wall HSPU negative</x:t>
  </x:si>
  <x:si>
    <x:t xml:space="preserve">Partial wall HSPU</x:t>
  </x:si>
  <x:si>
    <x:t xml:space="preserve">Deeper wall HSPU</x:t>
  </x:si>
  <x:si>
    <x:t xml:space="preserve">Full-ROM wall HSPU</x:t>
  </x:si>
  <x:si>
    <x:t xml:space="preserve">Wall HSPU clusters</x:t>
  </x:si>
  <x:si>
    <x:t xml:space="preserve">Pike push-up back-off</x:t>
  </x:si>
  <x:si>
    <x:t xml:space="preserve">Wall HSPU test</x:t>
  </x:si>
  <x:si>
    <x:t xml:space="preserve">Box pistol</x:t>
  </x:si>
  <x:si>
    <x:t xml:space="preserve">Lower-box pistol with counterweight</x:t>
  </x:si>
  <x:si>
    <x:t xml:space="preserve">Assisted pistol</x:t>
  </x:si>
  <x:si>
    <x:t xml:space="preserve">Assisted smooth pistol</x:t>
  </x:si>
  <x:si>
    <x:t xml:space="preserve">Assisted full-depth pistol</x:t>
  </x:si>
  <x:si>
    <x:t xml:space="preserve">Counterweight pistol</x:t>
  </x:si>
  <x:si>
    <x:t xml:space="preserve">Light-counterweight pistol</x:t>
  </x:si>
  <x:si>
    <x:t xml:space="preserve">Unassisted pistol to target</x:t>
  </x:si>
  <x:si>
    <x:t xml:space="preserve">Unassisted pistol</x:t>
  </x:si>
  <x:si>
    <x:t xml:space="preserve">Pistol clusters</x:t>
  </x:si>
  <x:si>
    <x:t xml:space="preserve">Clean pistol</x:t>
  </x:si>
  <x:si>
    <x:t xml:space="preserve">Pistol test</x:t>
  </x:si>
  <x:si>
    <x:t xml:space="preserve">Pull-up</x:t>
  </x:si>
  <x:si>
    <x:t xml:space="preserve">Push-up</x:t>
  </x:si>
  <x:si>
    <x:t xml:space="preserve">Weighted squat</x:t>
  </x:si>
  <x:si>
    <x:t xml:space="preserve">Upside-down hanging shoulder/ab work</x:t>
  </x:si>
  <x:si>
    <x:t xml:space="preserve">Mobility</x:t>
  </x:si>
  <x:si>
    <x:t xml:space="preserve">Gentle wrist/shoulder mobility</x:t>
  </x:si>
  <x:si>
    <x:t xml:space="preserve">Wrist/shoulder mobility</x:t>
  </x:si>
  <x:si>
    <x:t xml:space="preserve">Weekly schedule</x:t>
  </x:si>
  <x:si>
    <x:t xml:space="preserve">Day</x:t>
  </x:si>
  <x:si>
    <x:t xml:space="preserve">Time Start</x:t>
  </x:si>
  <x:si>
    <x:t xml:space="preserve">Time End</x:t>
  </x:si>
  <x:si>
    <x:t xml:space="preserve">Activity</x:t>
  </x:si>
  <x:si>
    <x:t xml:space="preserve">Recorded by</x:t>
  </x:si>
  <x:si>
    <x:t xml:space="preserve">Notes</x:t>
  </x:si>
  <x:si>
    <x:t xml:space="preserve">Monday</x:t>
  </x:si>
  <x:si>
    <x:t xml:space="preserve">Tuesday</x:t>
  </x:si>
  <x:si>
    <x:t xml:space="preserve">Tracker</x:t>
  </x:si>
  <x:si>
    <x:t xml:space="preserve">Regular weekly swim training</x:t>
  </x:si>
  <x:si>
    <x:t xml:space="preserve">Wednesday</x:t>
  </x:si>
  <x:si>
    <x:t xml:space="preserve">Thursday</x:t>
  </x:si>
  <x:si>
    <x:t xml:space="preserve">Friday</x:t>
  </x:si>
  <x:si>
    <x:t xml:space="preserve">Saturday</x:t>
  </x:si>
  <x:si>
    <x:t xml:space="preserve">Sunday</x:t>
  </x:si>
  <x:si>
    <x:t xml:space="preserve">Regular weekly run</x:t>
  </x:si>
  <x:si>
    <x:t xml:space="preserve">C</x:t>
  </x:si>
  <x:si>
    <x:t xml:space="preserve">Date</x:t>
  </x:si>
  <x:si>
    <x:t xml:space="preserve">Block</x:t>
  </x:si>
  <x:si>
    <x:t xml:space="preserve">Title</x:t>
  </x:si>
  <x:si>
    <x:t xml:space="preserve">Planned minutes</x:t>
  </x:si>
  <x:si>
    <x:t xml:space="preserve">Actual minutes</x:t>
  </x:si>
  <x:si>
    <x:t xml:space="preserve">Status</x:t>
  </x:si>
  <x:si>
    <x:t xml:space="preserve">Done</x:t>
  </x:si>
  <x:si>
    <x:t xml:space="preserve">Skill A + interval circuit</x:t>
  </x:si>
  <x:si>
    <x:t xml:space="preserve">planned</x:t>
  </x:si>
  <x:si>
    <x:t xml:space="preserve">10 min easy technique
A) Wrist/shoulder mobility: 2 min
B) Easy chest-to-wall hold: 3 x 15 sec
C) Wall handstand line drill: 2 x 15 sec</x:t>
  </x:si>
  <x:si>
    <x:t xml:space="preserve">Handstand technique</x:t>
  </x:si>
  <x:si>
    <x:t xml:space="preserve">Skill B + circuit</x:t>
  </x:si>
  <x:si>
    <x:t xml:space="preserve">20 min easy technique
A) Wrist/shoulder mobility: 2 min
B) Easy chest-to-wall hold: 3 x 15 sec
C) Wall handstand line drill: 3 x 15 sec</x:t>
  </x:si>
  <x:si>
    <x:t xml:space="preserve">Skill micro-session</x:t>
  </x:si>
  <x:si>
    <x:t xml:space="preserve">5 min easy technique
A) Wrist/shoulder mobility: 1 min
B) Easy chest-to-wall hold: 2 x 10 sec
C) Wall handstand line drill: 1 x 10 sec</x:t>
  </x:si>
  <x:si>
    <x:t xml:space="preserve">Skill B + interval circuit</x:t>
  </x:si>
  <x:si>
    <x:t xml:space="preserve">10 min easy technique
A) Wrist/shoulder mobility: 1 min
B) Easy chest-to-wall hold: 2 x 10 sec
C) Wall handstand line drill: 1 x 10 sec</x:t>
  </x:si>
</x:sst>
</file>

<file path=xl/styles.xml><?xml version="1.0" encoding="utf-8"?>
<x:styleSheet xmlns:x="http://schemas.openxmlformats.org/spreadsheetml/2006/main">
  <x:numFmts count="15">
    <x:numFmt numFmtId="164" formatCode="General"/>
    <x:numFmt numFmtId="165" formatCode="_-* #,##0.00\ _€_-;\-* #,##0.00\ _€_-;_-* \-??\ _€_-;_-@_-"/>
    <x:numFmt numFmtId="166" formatCode="_-* #,##0.00\ _€_-;\-* #,##0.00\ _€_-;_-* \-??\ _€_-;_-@_-"/>
    <x:numFmt numFmtId="167" formatCode="_-* #,##0\ _€_-;\-* #,##0\ _€_-;_-* &quot;- &quot;_€_-;_-@_-"/>
    <x:numFmt numFmtId="168" formatCode="_-* #,##0\ _€_-;\-* #,##0\ _€_-;_-* &quot;- &quot;_€_-;_-@_-"/>
    <x:numFmt numFmtId="169" formatCode="_-* #,##0.00&quot; €&quot;_-;\-* #,##0.00&quot; €&quot;_-;_-* \-??&quot; €&quot;_-;_-@_-"/>
    <x:numFmt numFmtId="170" formatCode="_-* #,##0.00&quot; €&quot;_-;\-* #,##0.00&quot; €&quot;_-;_-* \-??&quot; €&quot;_-;_-@_-"/>
    <x:numFmt numFmtId="171" formatCode="_-* #,##0&quot; €&quot;_-;\-* #,##0&quot; €&quot;_-;_-* &quot;- €&quot;_-;_-@_-"/>
    <x:numFmt numFmtId="172" formatCode="_-* #,##0&quot; €&quot;_-;\-* #,##0&quot; €&quot;_-;_-* &quot;- €&quot;_-;_-@_-"/>
    <x:numFmt numFmtId="173" formatCode="0\ %"/>
    <x:numFmt numFmtId="174" formatCode="0\ %"/>
    <x:numFmt numFmtId="175" formatCode="yyyy\-mm\-dd"/>
    <x:numFmt numFmtId="176" formatCode="hh:mm"/>
    <x:numFmt numFmtId="177" formatCode="0"/>
    <x:numFmt numFmtId="200" formatCode="mm:ss"/>
  </x:numFmts>
  <x:fonts count="27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  <x:family val="2"/>
    </x:font>
    <x:font>
      <x:sz val="11"/>
      <x:name val="Calibri"/>
    </x:font>
    <x:font>
      <x:b/>
      <x:sz val="10"/>
      <x:color rgb="FF243247"/>
      <x:name val="Arial"/>
    </x:font>
    <x:font>
      <x:sz val="10"/>
      <x:color rgb="FF243247"/>
      <x:name val="Arial"/>
    </x:font>
    <x:font>
      <x:sz val="10"/>
      <x:color rgb="FF243247"/>
      <x:name val="Arial"/>
      <x:family val="2"/>
    </x:font>
    <x:font>
      <x:b/>
      <x:sz val="10"/>
      <x:color rgb="FFFFFFFF"/>
      <x:name val="Arial"/>
    </x:font>
    <x:font>
      <x:b/>
      <x:sz val="10"/>
      <x:color rgb="FF243247"/>
      <x:name val="Arial"/>
      <x:family val="2"/>
    </x:font>
    <x:font>
      <x:b/>
      <x:sz val="13"/>
      <x:color rgb="FFFFFFFF"/>
      <x:name val="Arial"/>
      <x:family val="2"/>
    </x:font>
    <x:font>
      <x:b/>
      <x:sz val="10"/>
      <x:color rgb="FFFFFFFF"/>
      <x:name val="Arial"/>
      <x:family val="2"/>
    </x:font>
    <x:font>
      <x:b/>
      <x:sz val="10"/>
      <x:color rgb="FF334155"/>
      <x:name val="Arial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155"/>
      <x:name val="Arial"/>
      <x:family val="2"/>
    </x:font>
    <x:font>
      <x:b/>
      <x:sz val="10"/>
      <x:color rgb="FF475569"/>
      <x:name val="Arial"/>
    </x:font>
    <x:font>
      <x:b/>
      <x:sz val="10"/>
      <x:color rgb="FF355A4B"/>
      <x:name val="Arial"/>
    </x:font>
    <x:font>
      <x:b/>
      <x:sz val="11"/>
      <x:color rgb="FF334155"/>
      <x:name val="Arial"/>
      <x:family val="2"/>
    </x:font>
    <x:font>
      <x:b/>
      <x:sz val="10"/>
      <x:color rgb="FF475569"/>
      <x:name val="Arial"/>
      <x:family val="2"/>
    </x:font>
    <x:font>
      <x:sz val="10"/>
      <x:color rgb="FF64748B"/>
      <x:name val="Arial"/>
      <x:family val="2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D45"/>
      <x:name val="Arial"/>
    </x:font>
    <x:font>
      <x:b/>
      <x:sz val="10"/>
      <x:color rgb="FF334D45"/>
      <x:name val="Arial"/>
      <x:family val="2"/>
    </x:font>
  </x:fonts>
  <x:fills count="33">
    <x:fill>
      <x:patternFill patternType="none"/>
    </x:fill>
    <x:fill>
      <x:patternFill patternType="gray125"/>
    </x:fill>
    <x:fill>
      <x:patternFill patternType="solid">
        <x:fgColor rgb="FFD9E3EF"/>
      </x:patternFill>
    </x:fill>
    <x:fill>
      <x:patternFill patternType="solid">
        <x:fgColor rgb="FF33465E"/>
      </x:patternFill>
    </x:fill>
    <x:fill>
      <x:patternFill patternType="solid">
        <x:fgColor rgb="FFE8EFF8"/>
      </x:patternFill>
    </x:fill>
    <x:fill>
      <x:patternFill patternType="solid">
        <x:fgColor rgb="FFFFF4D6"/>
      </x:patternFill>
    </x:fill>
    <x:fill>
      <x:patternFill patternType="solid">
        <x:fgColor rgb="FFF0F2F5"/>
      </x:patternFill>
    </x:fill>
    <x:fill>
      <x:patternFill patternType="solid">
        <x:fgColor rgb="FFE6ECF3"/>
      </x:patternFill>
    </x:fill>
    <x:fill>
      <x:patternFill patternType="solid">
        <x:fgColor rgb="FFE8F3EC"/>
      </x:patternFill>
    </x:fill>
    <x:fill>
      <x:patternFill patternType="solid">
        <x:fgColor rgb="FFFFF4D5"/>
      </x:patternFill>
    </x:fill>
    <x:fill>
      <x:patternFill patternType="solid">
        <x:fgColor rgb="FFFFFFFF"/>
      </x:patternFill>
    </x:fill>
    <x:fill>
      <x:patternFill patternType="solid">
        <x:fgColor rgb="FFF5F7F8"/>
      </x:patternFill>
    </x:fill>
    <x:fill>
      <x:patternFill patternType="solid">
        <x:fgColor rgb="FFE7EDEE"/>
      </x:patternFill>
    </x:fill>
    <x:fill>
      <x:patternFill patternType="solid">
        <x:fgColor rgb="FFF0F3F4"/>
      </x:patternFill>
    </x:fill>
    <x:fill>
      <x:patternFill patternType="solid">
        <x:fgColor rgb="FFEFF5F1"/>
      </x:patternFill>
    </x:fill>
    <x:fill>
      <x:patternFill patternType="solid">
        <x:fgColor rgb="FFDDEBE4"/>
      </x:patternFill>
    </x:fill>
    <x:fill>
      <x:patternFill patternType="solid">
        <x:fgColor rgb="FFE4EAF0"/>
      </x:patternFill>
    </x:fill>
    <x:fill>
      <x:patternFill patternType="solid">
        <x:fgColor rgb="FFFFFFFF"/>
      </x:patternFill>
    </x:fill>
    <x:fill>
      <x:patternFill patternType="solid">
        <x:fgColor rgb="FFF7F9FA"/>
      </x:patternFill>
    </x:fill>
    <x:fill>
      <x:patternFill patternType="solid">
        <x:fgColor rgb="FFE6ECEA"/>
      </x:patternFill>
    </x:fill>
    <x:fill>
      <x:patternFill patternType="solid">
        <x:fgColor rgb="FFF0F3F4"/>
      </x:patternFill>
    </x:fill>
    <x:fill>
      <x:patternFill patternType="solid">
        <x:fgColor rgb="FFDCEAE3"/>
      </x:patternFill>
    </x:fill>
    <x:fill>
      <x:patternFill patternType="solid">
        <x:fgColor rgb="FFE4EAF0"/>
      </x:patternFill>
    </x:fill>
    <x:fill>
      <x:patternFill patternType="solid">
        <x:fgColor rgb="FFEAF3ED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FFFFF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E4EAF0"/>
      </x:patternFill>
    </x:fill>
    <x:fill>
      <x:patternFill patternType="solid">
        <x:fgColor rgb="FFF7F9FA"/>
      </x:patternFill>
    </x:fill>
  </x:fills>
  <x:borders count="11">
    <x:border diagonalUp="0" diagonalDown="0">
      <x:left/>
      <x:right/>
      <x:top/>
      <x:bottom/>
      <x:diagonal/>
    </x:border>
    <x:border diagonalUp="0" diagonalDown="0">
      <x:left style="thin"/>
      <x:right/>
      <x:top style="thin"/>
      <x:bottom style="thin"/>
      <x:diagonal/>
    </x:border>
    <x:border diagonalUp="0" diagonalDown="0">
      <x:left/>
      <x:right style="thin"/>
      <x:top style="thin"/>
      <x:bottom/>
      <x:diagonal/>
    </x:border>
    <x:border diagonalUp="0" diagonalDown="0">
      <x:left/>
      <x:right style="thin"/>
      <x:top/>
      <x:bottom/>
      <x:diagonal/>
    </x:border>
    <x:border diagonalUp="0" diagonalDown="0">
      <x:left/>
      <x:right style="thin"/>
      <x:top/>
      <x:bottom style="thin"/>
      <x:diagonal/>
    </x:border>
    <x:border diagonalUp="0" diagonalDown="0">
      <x:left/>
      <x:right/>
      <x:top style="thin">
        <x:color rgb="FF8297AD"/>
      </x:top>
      <x:bottom style="thin">
        <x:color rgb="FFCCD6E2"/>
      </x:bottom>
      <x:diagonal/>
    </x:border>
    <x:border diagonalUp="0" diagonalDown="0">
      <x:left/>
      <x:right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none"/>
      <x:bottom style="none"/>
      <x:diagonal/>
    </x:border>
    <x:border diagonalUp="0" diagonalDown="0">
      <x:left style="thin">
        <x:color rgb="FFCBD5DF"/>
      </x:left>
      <x:right style="none"/>
      <x:top style="none"/>
      <x:bottom style="none"/>
      <x:diagonal/>
    </x:border>
    <x:border diagonalUp="0" diagonalDown="0">
      <x:left style="thin">
        <x:color rgb="FFE5E9ED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  <x:border diagonalUp="0" diagonalDown="0">
      <x:left style="thin">
        <x:color rgb="FFC5D1D5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9" fontId="4" fillId="0" borderId="0" applyFont="1" applyBorder="0" applyAlignment="0" applyProtection="0"/>
    <x:xf numFmtId="170" fontId="4" fillId="0" borderId="0" applyFont="1" applyBorder="0" applyAlignment="0" applyProtection="0"/>
    <x:xf numFmtId="171" fontId="4" fillId="0" borderId="0" applyFont="1" applyBorder="0" applyAlignment="0" applyProtection="0"/>
    <x:xf numFmtId="172" fontId="4" fillId="0" borderId="0" applyFont="1" applyBorder="0" applyAlignment="0" applyProtection="0"/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4" fontId="4" fillId="0" borderId="0" applyFont="1" applyBorder="0" applyAlignment="0" applyProtection="0"/>
  </x:cellStyleXfs>
  <x:cellXfs count="296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30" applyFont="0" applyBorder="0" applyAlignment="1" applyProtection="1">
      <x:alignment horizontal="general" vertical="bottom" wrapText="0" shrinkToFit="0"/>
      <x:protection locked="1" hidden="0"/>
    </x:xf>
    <x:xf numFmtId="164" fontId="7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9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10" fillId="3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4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1">
      <x:alignment horizontal="general" vertical="top" wrapText="1" shrinkToFit="0"/>
      <x:protection locked="1" hidden="0"/>
    </x:xf>
    <x:xf numFmtId="164" fontId="11" fillId="2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6" borderId="0" xfId="30" applyFont="1" applyBorder="1" applyAlignment="1" applyProtection="1">
      <x:alignment horizontal="general" vertical="top" wrapText="1" shrinkToFit="0"/>
      <x:protection locked="1" hidden="0"/>
    </x:xf>
    <x:xf numFmtId="164" fontId="7" fillId="7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1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2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3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4" xfId="30" applyFont="1" applyBorder="1" applyAlignment="1" applyProtection="1">
      <x:alignment horizontal="general" vertical="top" wrapText="1" shrinkToFit="0"/>
      <x:protection locked="1" hidden="0"/>
    </x:xf>
    <x:xf numFmtId="164" fontId="9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5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6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6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64" fontId="12" fillId="3" borderId="0" xfId="28" applyFont="1" applyBorder="1" applyAlignment="1" applyProtection="0">
      <x:alignment horizontal="center" vertical="center" wrapText="0" shrinkToFit="0"/>
      <x:protection locked="1" hidden="0"/>
    </x:xf>
    <x:xf numFmtId="164" fontId="10" fillId="3" borderId="0" xfId="28" applyFont="1" applyBorder="1" applyAlignment="1" applyProtection="1">
      <x:alignment horizontal="general" vertical="top" wrapText="1" shrinkToFit="0"/>
      <x:protection locked="1" hidden="0"/>
    </x:xf>
    <x:xf numFmtId="164" fontId="13" fillId="3" borderId="0" xfId="28" applyFont="1" applyBorder="1" applyAlignment="1" applyProtection="0">
      <x:alignment horizontal="center" vertical="bottom" wrapText="1" shrinkToFit="0"/>
      <x:protection locked="1" hidden="0"/>
    </x:xf>
    <x:xf numFmtId="164" fontId="13" fillId="3" borderId="0" xfId="28" applyFont="1" applyBorder="1" applyAlignment="1" applyProtection="0">
      <x:alignment horizontal="general" vertical="bottom" wrapText="1" shrinkToFit="0"/>
      <x:protection locked="1" hidden="0"/>
    </x:xf>
    <x:xf numFmtId="175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8" borderId="0" xfId="28" applyFont="1" applyBorder="1" applyAlignment="1" applyProtection="1">
      <x:alignment horizontal="general" vertical="top" wrapText="1" shrinkToFit="0"/>
      <x:protection locked="1" hidden="0"/>
    </x:xf>
    <x:xf numFmtId="164" fontId="5" fillId="9" borderId="0" xfId="28" applyFont="1" applyBorder="1" applyAlignment="1" applyProtection="0">
      <x:alignment horizontal="general" vertical="bottom" wrapText="0" shrinkToFit="0"/>
      <x:protection locked="1" hidden="0"/>
    </x:xf>
    <x:xf numFmtId="164" fontId="0" fillId="0" borderId="0" xfId="0" applyFont="0" applyBorder="0" applyAlignment="0" applyProtection="0">
      <x:alignment horizontal="general" vertical="bottom" wrapText="0" shrinkToFit="0"/>
      <x:protection locked="1" hidden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7" fillId="10" borderId="0" xfId="0" applyNumberFormat="1" applyFont="1" applyFill="1" applyBorder="1" applyAlignment="1">
      <x:alignment horizontal="general" vertical="top" wrapText="1"/>
    </x:xf>
    <x:xf numFmtId="164" fontId="8" fillId="10" borderId="0" xfId="0" applyNumberFormat="1" applyFont="1" applyFill="1" applyBorder="1" applyAlignment="1">
      <x:alignment horizontal="general" vertical="top" wrapText="1"/>
    </x:xf>
    <x:xf numFmtId="164" fontId="9" fillId="10" borderId="0" xfId="0" applyNumberFormat="1" applyFont="1" applyFill="1" applyBorder="1" applyAlignment="1">
      <x:alignment horizontal="general" vertical="top" wrapText="1"/>
    </x:xf>
    <x:xf numFmtId="164" fontId="10" fillId="10" borderId="0" xfId="0" applyNumberFormat="1" applyFont="1" applyFill="1" applyBorder="1" applyAlignment="1">
      <x:alignment horizontal="general" vertical="top" wrapText="1"/>
    </x:xf>
    <x:xf numFmtId="175" fontId="8" fillId="10" borderId="0" xfId="0" applyNumberFormat="1" applyFont="1" applyFill="1" applyBorder="1" applyAlignment="1">
      <x:alignment horizontal="general" vertical="top" wrapText="1"/>
    </x:xf>
    <x:xf numFmtId="164" fontId="11" fillId="10" borderId="0" xfId="0" applyNumberFormat="1" applyFont="1" applyFill="1" applyBorder="1" applyAlignment="1">
      <x:alignment horizontal="general" vertical="top" wrapText="1"/>
    </x:xf>
    <x:xf numFmtId="164" fontId="8" fillId="10" borderId="1" xfId="0" applyNumberFormat="1" applyFont="1" applyFill="1" applyBorder="1" applyAlignment="1">
      <x:alignment horizontal="general" vertical="top" wrapText="1"/>
    </x:xf>
    <x:xf numFmtId="164" fontId="8" fillId="10" borderId="2" xfId="0" applyNumberFormat="1" applyFont="1" applyFill="1" applyBorder="1" applyAlignment="1">
      <x:alignment horizontal="general" vertical="top" wrapText="1"/>
    </x:xf>
    <x:xf numFmtId="164" fontId="8" fillId="10" borderId="3" xfId="0" applyNumberFormat="1" applyFont="1" applyFill="1" applyBorder="1" applyAlignment="1">
      <x:alignment horizontal="general" vertical="top" wrapText="1"/>
    </x:xf>
    <x:xf numFmtId="164" fontId="8" fillId="10" borderId="4" xfId="0" applyNumberFormat="1" applyFont="1" applyFill="1" applyBorder="1" applyAlignment="1">
      <x:alignment horizontal="general" vertical="top" wrapText="1"/>
    </x:xf>
    <x:xf numFmtId="164" fontId="14" fillId="10" borderId="0" xfId="0" applyNumberFormat="1" applyFont="1" applyFill="1" applyBorder="1" applyAlignment="1">
      <x:alignment horizontal="general" vertical="top" wrapText="1"/>
    </x:xf>
    <x:xf numFmtId="164" fontId="15" fillId="10" borderId="0" xfId="0" applyNumberFormat="1" applyFont="1" applyFill="1" applyBorder="1" applyAlignment="1">
      <x:alignment horizontal="general" vertical="top" wrapText="1"/>
    </x:xf>
    <x:xf numFmtId="164" fontId="16" fillId="10" borderId="0" xfId="0" applyNumberFormat="1" applyFont="1" applyFill="1" applyBorder="1" applyAlignment="1">
      <x:alignment horizontal="general" vertical="top" wrapText="1"/>
    </x:xf>
    <x:xf numFmtId="175" fontId="15" fillId="10" borderId="0" xfId="0" applyNumberFormat="1" applyFont="1" applyFill="1" applyBorder="1" applyAlignment="1">
      <x:alignment horizontal="general" vertical="top" wrapText="1"/>
    </x:xf>
    <x:xf numFmtId="164" fontId="17" fillId="10" borderId="0" xfId="0" applyNumberFormat="1" applyFont="1" applyFill="1" applyBorder="1" applyAlignment="1">
      <x:alignment horizontal="general" vertical="top" wrapText="1"/>
    </x:xf>
    <x:xf numFmtId="164" fontId="15" fillId="10" borderId="1" xfId="0" applyNumberFormat="1" applyFont="1" applyFill="1" applyBorder="1" applyAlignment="1">
      <x:alignment horizontal="general" vertical="top" wrapText="1"/>
    </x:xf>
    <x:xf numFmtId="164" fontId="15" fillId="10" borderId="2" xfId="0" applyNumberFormat="1" applyFont="1" applyFill="1" applyBorder="1" applyAlignment="1">
      <x:alignment horizontal="general" vertical="top" wrapText="1"/>
    </x:xf>
    <x:xf numFmtId="164" fontId="15" fillId="10" borderId="3" xfId="0" applyNumberFormat="1" applyFont="1" applyFill="1" applyBorder="1" applyAlignment="1">
      <x:alignment horizontal="general" vertical="top" wrapText="1"/>
    </x:xf>
    <x:xf numFmtId="164" fontId="15" fillId="10" borderId="4" xfId="0" applyNumberFormat="1" applyFont="1" applyFill="1" applyBorder="1" applyAlignment="1">
      <x:alignment horizontal="general" vertical="top" wrapText="1"/>
    </x:xf>
    <x:xf numFmtId="164" fontId="14" fillId="10" borderId="7" xfId="0" applyNumberFormat="1" applyFont="1" applyFill="1" applyBorder="1" applyAlignment="1">
      <x:alignment horizontal="general" vertical="top" wrapText="1"/>
    </x:xf>
    <x:xf numFmtId="164" fontId="15" fillId="10" borderId="7" xfId="0" applyNumberFormat="1" applyFont="1" applyFill="1" applyBorder="1" applyAlignment="1">
      <x:alignment horizontal="general" vertical="top" wrapText="1"/>
    </x:xf>
    <x:xf numFmtId="164" fontId="16" fillId="10" borderId="7" xfId="0" applyNumberFormat="1" applyFont="1" applyFill="1" applyBorder="1" applyAlignment="1">
      <x:alignment horizontal="general" vertical="top" wrapText="1"/>
    </x:xf>
    <x:xf numFmtId="175" fontId="15" fillId="10" borderId="7" xfId="0" applyNumberFormat="1" applyFont="1" applyFill="1" applyBorder="1" applyAlignment="1">
      <x:alignment horizontal="general" vertical="top" wrapText="1"/>
    </x:xf>
    <x:xf numFmtId="164" fontId="17" fillId="10" borderId="7" xfId="0" applyNumberFormat="1" applyFont="1" applyFill="1" applyBorder="1" applyAlignment="1">
      <x:alignment horizontal="general" vertical="top" wrapText="1"/>
    </x:xf>
    <x:xf numFmtId="164" fontId="15" fillId="11" borderId="7" xfId="0" applyNumberFormat="1" applyFont="1" applyFill="1" applyBorder="1" applyAlignment="1">
      <x:alignment horizontal="general" vertical="top" wrapText="1"/>
    </x:xf>
    <x:xf numFmtId="175" fontId="15" fillId="11" borderId="7" xfId="0" applyNumberFormat="1" applyFont="1" applyFill="1" applyBorder="1" applyAlignment="1">
      <x:alignment horizontal="general" vertical="top" wrapText="1"/>
    </x:xf>
    <x:xf numFmtId="164" fontId="16" fillId="11" borderId="7" xfId="0" applyNumberFormat="1" applyFont="1" applyFill="1" applyBorder="1" applyAlignment="1">
      <x:alignment horizontal="general" vertical="top" wrapText="1"/>
    </x:xf>
    <x:xf numFmtId="164" fontId="14" fillId="11" borderId="7" xfId="0" applyNumberFormat="1" applyFont="1" applyFill="1" applyBorder="1" applyAlignment="1">
      <x:alignment horizontal="general" vertical="top" wrapText="1"/>
    </x:xf>
    <x:xf numFmtId="164" fontId="17" fillId="11" borderId="7" xfId="0" applyNumberFormat="1" applyFont="1" applyFill="1" applyBorder="1" applyAlignment="1">
      <x:alignment horizontal="general" vertical="top" wrapText="1"/>
    </x:xf>
    <x:xf numFmtId="164" fontId="14" fillId="12" borderId="7" xfId="0" applyNumberFormat="1" applyFont="1" applyFill="1" applyBorder="1" applyAlignment="1">
      <x:alignment horizontal="general" vertical="top" wrapText="1"/>
    </x:xf>
    <x:xf numFmtId="164" fontId="15" fillId="12" borderId="7" xfId="0" applyNumberFormat="1" applyFont="1" applyFill="1" applyBorder="1" applyAlignment="1">
      <x:alignment horizontal="general" vertical="top" wrapText="1"/>
    </x:xf>
    <x:xf numFmtId="164" fontId="14" fillId="13" borderId="7" xfId="0" applyNumberFormat="1" applyFont="1" applyFill="1" applyBorder="1" applyAlignment="1">
      <x:alignment horizontal="general" vertical="top" wrapText="1"/>
    </x:xf>
    <x:xf numFmtId="164" fontId="15" fillId="13" borderId="7" xfId="0" applyNumberFormat="1" applyFont="1" applyFill="1" applyBorder="1" applyAlignment="1">
      <x:alignment horizontal="general" vertical="top" wrapText="1"/>
    </x:xf>
    <x:xf numFmtId="164" fontId="18" fillId="13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top" wrapText="1"/>
    </x:xf>
    <x:xf numFmtId="164" fontId="17" fillId="12" borderId="7" xfId="0" applyNumberFormat="1" applyFont="1" applyFill="1" applyBorder="1" applyAlignment="1">
      <x:alignment horizontal="general" vertical="top" wrapText="1"/>
    </x:xf>
    <x:xf numFmtId="164" fontId="8" fillId="10" borderId="5" xfId="0" applyNumberFormat="1" applyFont="1" applyFill="1" applyBorder="1" applyAlignment="1">
      <x:alignment horizontal="general" vertical="top" wrapText="1"/>
    </x:xf>
    <x:xf numFmtId="176" fontId="8" fillId="10" borderId="5" xfId="0" applyNumberFormat="1" applyFont="1" applyFill="1" applyBorder="1" applyAlignment="1">
      <x:alignment horizontal="general" vertical="top" wrapText="1"/>
    </x:xf>
    <x:xf numFmtId="177" fontId="8" fillId="10" borderId="5" xfId="0" applyNumberFormat="1" applyFont="1" applyFill="1" applyBorder="1" applyAlignment="1">
      <x:alignment horizontal="general" vertical="top" wrapText="1"/>
    </x:xf>
    <x:xf numFmtId="164" fontId="8" fillId="10" borderId="6" xfId="0" applyNumberFormat="1" applyFont="1" applyFill="1" applyBorder="1" applyAlignment="1">
      <x:alignment horizontal="general" vertical="top" wrapText="1"/>
    </x:xf>
    <x:xf numFmtId="176" fontId="8" fillId="10" borderId="6" xfId="0" applyNumberFormat="1" applyFont="1" applyFill="1" applyBorder="1" applyAlignment="1">
      <x:alignment horizontal="general" vertical="top" wrapText="1"/>
    </x:xf>
    <x:xf numFmtId="177" fontId="8" fillId="10" borderId="6" xfId="0" applyNumberFormat="1" applyFont="1" applyFill="1" applyBorder="1" applyAlignment="1">
      <x:alignment horizontal="general" vertical="top" wrapText="1"/>
    </x:xf>
    <x:xf numFmtId="164" fontId="15" fillId="10" borderId="5" xfId="0" applyNumberFormat="1" applyFont="1" applyFill="1" applyBorder="1" applyAlignment="1">
      <x:alignment horizontal="general" vertical="top" wrapText="1"/>
    </x:xf>
    <x:xf numFmtId="176" fontId="15" fillId="10" borderId="5" xfId="0" applyNumberFormat="1" applyFont="1" applyFill="1" applyBorder="1" applyAlignment="1">
      <x:alignment horizontal="general" vertical="top" wrapText="1"/>
    </x:xf>
    <x:xf numFmtId="177" fontId="15" fillId="10" borderId="5" xfId="0" applyNumberFormat="1" applyFont="1" applyFill="1" applyBorder="1" applyAlignment="1">
      <x:alignment horizontal="general" vertical="top" wrapText="1"/>
    </x:xf>
    <x:xf numFmtId="164" fontId="15" fillId="10" borderId="6" xfId="0" applyNumberFormat="1" applyFont="1" applyFill="1" applyBorder="1" applyAlignment="1">
      <x:alignment horizontal="general" vertical="top" wrapText="1"/>
    </x:xf>
    <x:xf numFmtId="176" fontId="15" fillId="10" borderId="6" xfId="0" applyNumberFormat="1" applyFont="1" applyFill="1" applyBorder="1" applyAlignment="1">
      <x:alignment horizontal="general" vertical="top" wrapText="1"/>
    </x:xf>
    <x:xf numFmtId="177" fontId="15" fillId="10" borderId="6" xfId="0" applyNumberFormat="1" applyFont="1" applyFill="1" applyBorder="1" applyAlignment="1">
      <x:alignment horizontal="general" vertical="top" wrapText="1"/>
    </x:xf>
    <x:xf numFmtId="176" fontId="15" fillId="10" borderId="7" xfId="0" applyNumberFormat="1" applyFont="1" applyFill="1" applyBorder="1" applyAlignment="1">
      <x:alignment horizontal="general" vertical="top" wrapText="1"/>
    </x:xf>
    <x:xf numFmtId="177" fontId="15" fillId="10" borderId="7" xfId="0" applyNumberFormat="1" applyFont="1" applyFill="1" applyBorder="1" applyAlignment="1">
      <x:alignment horizontal="general" vertical="top" wrapText="1"/>
    </x:xf>
    <x:xf numFmtId="176" fontId="15" fillId="11" borderId="7" xfId="0" applyNumberFormat="1" applyFont="1" applyFill="1" applyBorder="1" applyAlignment="1">
      <x:alignment horizontal="general" vertical="top" wrapText="1"/>
    </x:xf>
    <x:xf numFmtId="177" fontId="15" fillId="11" borderId="7" xfId="0" applyNumberFormat="1" applyFont="1" applyFill="1" applyBorder="1" applyAlignment="1">
      <x:alignment horizontal="general" vertical="top" wrapText="1"/>
    </x:xf>
    <x:xf numFmtId="164" fontId="18" fillId="12" borderId="7" xfId="0" applyNumberFormat="1" applyFont="1" applyFill="1" applyBorder="1" applyAlignment="1">
      <x:alignment horizontal="general" vertical="top" wrapText="1"/>
    </x:xf>
    <x:xf numFmtId="176" fontId="15" fillId="12" borderId="7" xfId="0" applyNumberFormat="1" applyFont="1" applyFill="1" applyBorder="1" applyAlignment="1">
      <x:alignment horizontal="general" vertical="top" wrapText="1"/>
    </x:xf>
    <x:xf numFmtId="177" fontId="15" fillId="12" borderId="7" xfId="0" applyNumberFormat="1" applyFont="1" applyFill="1" applyBorder="1" applyAlignment="1">
      <x:alignment horizontal="general" vertical="top" wrapText="1"/>
    </x:xf>
    <x:xf numFmtId="176" fontId="14" fillId="12" borderId="7" xfId="0" applyNumberFormat="1" applyFont="1" applyFill="1" applyBorder="1" applyAlignment="1">
      <x:alignment horizontal="general" vertical="top" wrapText="1"/>
    </x:xf>
    <x:xf numFmtId="177" fontId="14" fillId="12" borderId="7" xfId="0" applyNumberFormat="1" applyFont="1" applyFill="1" applyBorder="1" applyAlignment="1">
      <x:alignment horizontal="general" vertical="top" wrapText="1"/>
    </x:xf>
    <x:xf numFmtId="176" fontId="15" fillId="13" borderId="7" xfId="0" applyNumberFormat="1" applyFont="1" applyFill="1" applyBorder="1" applyAlignment="1">
      <x:alignment horizontal="general" vertical="top" wrapText="1"/>
    </x:xf>
    <x:xf numFmtId="177" fontId="15" fillId="13" borderId="7" xfId="0" applyNumberFormat="1" applyFont="1" applyFill="1" applyBorder="1" applyAlignment="1">
      <x:alignment horizontal="general" vertical="top" wrapText="1"/>
    </x:xf>
    <x:xf numFmtId="176" fontId="18" fillId="13" borderId="7" xfId="0" applyNumberFormat="1" applyFont="1" applyFill="1" applyBorder="1" applyAlignment="1">
      <x:alignment horizontal="general" vertical="top" wrapText="1"/>
    </x:xf>
    <x:xf numFmtId="177" fontId="18" fillId="13" borderId="7" xfId="0" applyNumberFormat="1" applyFont="1" applyFill="1" applyBorder="1" applyAlignment="1">
      <x:alignment horizontal="general" vertical="top" wrapText="1"/>
    </x:xf>
    <x:xf numFmtId="164" fontId="0" fillId="10" borderId="0" xfId="0" applyNumberFormat="1" applyFont="1" applyFill="1" applyBorder="1" applyAlignment="1">
      <x:alignment horizontal="general" vertical="bottom" wrapText="0"/>
    </x:xf>
    <x:xf numFmtId="164" fontId="12" fillId="10" borderId="0" xfId="0" applyNumberFormat="1" applyFont="1" applyFill="1" applyBorder="1" applyAlignment="1">
      <x:alignment horizontal="center" vertical="center" wrapText="0"/>
    </x:xf>
    <x:xf numFmtId="164" fontId="13" fillId="10" borderId="0" xfId="0" applyNumberFormat="1" applyFont="1" applyFill="1" applyBorder="1" applyAlignment="1">
      <x:alignment horizontal="center" vertical="bottom" wrapText="1"/>
    </x:xf>
    <x:xf numFmtId="164" fontId="0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0" xfId="0" applyNumberFormat="1" applyFont="1" applyFill="1" applyBorder="1" applyAlignment="1">
      <x:alignment horizontal="general" vertical="bottom" wrapText="0"/>
    </x:xf>
    <x:xf numFmtId="164" fontId="17" fillId="10" borderId="0" xfId="0" applyNumberFormat="1" applyFont="1" applyFill="1" applyBorder="1" applyAlignment="1">
      <x:alignment horizontal="center" vertical="center" wrapText="0"/>
    </x:xf>
    <x:xf numFmtId="164" fontId="17" fillId="10" borderId="0" xfId="0" applyNumberFormat="1" applyFont="1" applyFill="1" applyBorder="1" applyAlignment="1">
      <x:alignment horizontal="center" vertical="bottom" wrapText="1"/>
    </x:xf>
    <x:xf numFmtId="164" fontId="16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general" vertical="bottom" wrapText="0"/>
    </x:xf>
    <x:xf numFmtId="164" fontId="17" fillId="10" borderId="7" xfId="0" applyNumberFormat="1" applyFont="1" applyFill="1" applyBorder="1" applyAlignment="1">
      <x:alignment horizontal="center" vertical="center" wrapText="0"/>
    </x:xf>
    <x:xf numFmtId="164" fontId="17" fillId="10" borderId="7" xfId="0" applyNumberFormat="1" applyFont="1" applyFill="1" applyBorder="1" applyAlignment="1">
      <x:alignment horizontal="center" vertical="bottom" wrapText="1"/>
    </x:xf>
    <x:xf numFmtId="164" fontId="16" fillId="10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general" vertical="bottom" wrapText="0"/>
    </x:xf>
    <x:xf numFmtId="164" fontId="16" fillId="11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5" fillId="14" borderId="7" xfId="0" applyNumberFormat="1" applyFont="1" applyFill="1" applyBorder="1" applyAlignment="1">
      <x:alignment horizontal="general" vertical="top" wrapText="1"/>
    </x:xf>
    <x:xf numFmtId="164" fontId="19" fillId="14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bottom" wrapText="0"/>
    </x:xf>
    <x:xf numFmtId="164" fontId="17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general" vertical="bottom" wrapText="0"/>
    </x:xf>
    <x:xf numFmtId="164" fontId="20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center" vertical="bottom" wrapText="0"/>
    </x:xf>
    <x:xf numFmtId="164" fontId="17" fillId="13" borderId="7" xfId="0" applyNumberFormat="1" applyFont="1" applyFill="1" applyBorder="1" applyAlignment="1">
      <x:alignment horizontal="center" vertical="bottom" wrapText="1"/>
    </x:xf>
    <x:xf numFmtId="164" fontId="16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center" vertical="bottom" wrapText="1"/>
    </x:xf>
    <x:xf numFmtId="164" fontId="21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general" vertical="bottom" wrapText="1"/>
    </x:xf>
    <x:xf numFmtId="164" fontId="18" fillId="13" borderId="7" xfId="0" applyNumberFormat="1" applyFont="1" applyFill="1" applyBorder="1" applyAlignment="1">
      <x:alignment horizontal="center" vertical="top" wrapText="1"/>
    </x:xf>
    <x:xf numFmtId="164" fontId="18" fillId="13" borderId="7" xfId="0" applyNumberFormat="1" applyFont="1" applyFill="1" applyBorder="1" applyAlignment="1">
      <x:alignment horizontal="center" vertical="center" wrapText="1"/>
    </x:xf>
    <x:xf numFmtId="164" fontId="21" fillId="13" borderId="7" xfId="0" applyNumberFormat="1" applyFont="1" applyFill="1" applyBorder="1" applyAlignment="1">
      <x:alignment horizontal="center" vertical="center" wrapText="1"/>
    </x:xf>
    <x:xf numFmtId="164" fontId="20" fillId="15" borderId="7" xfId="0" applyNumberFormat="1" applyFont="1" applyFill="1" applyBorder="1" applyAlignment="1">
      <x:alignment horizontal="center" vertical="center" wrapText="0"/>
    </x:xf>
    <x:xf numFmtId="164" fontId="20" fillId="16" borderId="7" xfId="0" applyNumberFormat="1" applyFont="1" applyFill="1" applyBorder="1" applyAlignment="1">
      <x:alignment horizontal="center" vertical="center" wrapText="0"/>
    </x:xf>
    <x:xf numFmtId="175" fontId="15" fillId="11" borderId="7" xfId="0" applyNumberFormat="1" applyFont="1" applyFill="1" applyBorder="1" applyAlignment="1">
      <x:alignment horizontal="general" vertical="center" wrapText="1"/>
    </x:xf>
    <x:xf numFmtId="164" fontId="15" fillId="11" borderId="7" xfId="0" applyNumberFormat="1" applyFont="1" applyFill="1" applyBorder="1" applyAlignment="1">
      <x:alignment horizontal="general" vertical="center" wrapText="1"/>
    </x:xf>
    <x:xf numFmtId="164" fontId="16" fillId="11" borderId="7" xfId="0" applyNumberFormat="1" applyFont="1" applyFill="1" applyBorder="1" applyAlignment="1">
      <x:alignment horizontal="general" vertical="center" wrapText="0"/>
    </x:xf>
    <x:xf numFmtId="164" fontId="16" fillId="11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75" fontId="15" fillId="10" borderId="7" xfId="0" applyNumberFormat="1" applyFont="1" applyFill="1" applyBorder="1" applyAlignment="1">
      <x:alignment horizontal="general" vertical="center" wrapText="1"/>
    </x:xf>
    <x:xf numFmtId="164" fontId="15" fillId="10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0"/>
    </x:xf>
    <x:xf numFmtId="164" fontId="16" fillId="10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0"/>
    </x:xf>
    <x:xf numFmtId="164" fontId="16" fillId="11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0"/>
    </x:xf>
    <x:xf numFmtId="164" fontId="16" fillId="10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1"/>
    </x:xf>
    <x:xf numFmtId="164" fontId="16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7" xfId="0" applyNumberFormat="1" applyFont="1" applyFill="1" applyBorder="1" applyAlignment="1">
      <x:alignment horizontal="center" vertical="center" wrapText="1"/>
    </x:xf>
    <x:xf numFmtId="164" fontId="22" fillId="10" borderId="7" xfId="0" applyNumberFormat="1" applyFont="1" applyFill="1" applyBorder="1" applyAlignment="1">
      <x:alignment horizontal="center" vertical="center" wrapText="1"/>
    </x:xf>
    <x:xf numFmtId="164" fontId="20" fillId="15" borderId="8" xfId="0" applyNumberFormat="1" applyFont="1" applyFill="1" applyBorder="1" applyAlignment="1">
      <x:alignment horizontal="center" vertical="center" wrapText="0"/>
    </x:xf>
    <x:xf numFmtId="164" fontId="21" fillId="13" borderId="8" xfId="0" applyNumberFormat="1" applyFont="1" applyFill="1" applyBorder="1" applyAlignment="1">
      <x:alignment horizontal="center" vertical="center" wrapText="1"/>
    </x:xf>
    <x:xf numFmtId="164" fontId="22" fillId="11" borderId="8" xfId="0" applyNumberFormat="1" applyFont="1" applyFill="1" applyBorder="1" applyAlignment="1">
      <x:alignment horizontal="center" vertical="center" wrapText="1"/>
    </x:xf>
    <x:xf numFmtId="164" fontId="22" fillId="10" borderId="8" xfId="0" applyNumberFormat="1" applyFont="1" applyFill="1" applyBorder="1" applyAlignment="1">
      <x:alignment horizontal="center" vertical="center" wrapText="1"/>
    </x:xf>
    <x:xf numFmtId="164" fontId="20" fillId="16" borderId="8" xfId="0" applyNumberFormat="1" applyFont="1" applyFill="1" applyBorder="1" applyAlignment="1">
      <x:alignment horizontal="center" vertical="center" wrapText="0"/>
    </x:xf>
    <x:xf numFmtId="164" fontId="22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1" borderId="7" xfId="0" applyNumberFormat="1" applyFont="1" applyFill="1" applyBorder="1" applyAlignment="1">
      <x:alignment horizontal="center" vertical="center" wrapText="1"/>
    </x:xf>
    <x:xf numFmtId="177" fontId="16" fillId="10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1"/>
    </x:xf>
    <x:xf numFmtId="164" fontId="14" fillId="17" borderId="7" xfId="0" applyNumberFormat="1" applyFont="1" applyFill="1" applyBorder="1" applyAlignment="1">
      <x:alignment horizontal="general" vertical="top" wrapText="1"/>
    </x:xf>
    <x:xf numFmtId="164" fontId="15" fillId="17" borderId="7" xfId="0" applyNumberFormat="1" applyFont="1" applyFill="1" applyBorder="1" applyAlignment="1">
      <x:alignment horizontal="general" vertical="top" wrapText="1"/>
    </x:xf>
    <x:xf numFmtId="164" fontId="16" fillId="17" borderId="7" xfId="0" applyNumberFormat="1" applyFont="1" applyFill="1" applyBorder="1" applyAlignment="1">
      <x:alignment horizontal="general" vertical="top" wrapText="1"/>
    </x:xf>
    <x:xf numFmtId="164" fontId="18" fillId="17" borderId="7" xfId="0" applyNumberFormat="1" applyFont="1" applyFill="1" applyBorder="1" applyAlignment="1">
      <x:alignment horizontal="general" vertical="top" wrapText="1"/>
    </x:xf>
    <x:xf numFmtId="175" fontId="15" fillId="17" borderId="7" xfId="0" applyNumberFormat="1" applyFont="1" applyFill="1" applyBorder="1" applyAlignment="1">
      <x:alignment horizontal="general" vertical="top" wrapText="1"/>
    </x:xf>
    <x:xf numFmtId="164" fontId="19" fillId="17" borderId="7" xfId="0" applyNumberFormat="1" applyFont="1" applyFill="1" applyBorder="1" applyAlignment="1">
      <x:alignment horizontal="general" vertical="top" wrapText="1"/>
    </x:xf>
    <x:xf numFmtId="164" fontId="17" fillId="17" borderId="7" xfId="0" applyNumberFormat="1" applyFont="1" applyFill="1" applyBorder="1" applyAlignment="1">
      <x:alignment horizontal="general" vertical="top" wrapText="1"/>
    </x:xf>
    <x:xf numFmtId="164" fontId="23" fillId="17" borderId="7" xfId="0" applyNumberFormat="1" applyFont="1" applyFill="1" applyBorder="1" applyAlignment="1">
      <x:alignment horizontal="general" vertical="top" wrapText="1"/>
    </x:xf>
    <x:xf numFmtId="164" fontId="24" fillId="17" borderId="7" xfId="0" applyNumberFormat="1" applyFont="1" applyFill="1" applyBorder="1" applyAlignment="1">
      <x:alignment horizontal="general" vertical="top" wrapText="1"/>
    </x:xf>
    <x:xf numFmtId="175" fontId="23" fillId="17" borderId="7" xfId="0" applyNumberFormat="1" applyFont="1" applyFill="1" applyBorder="1" applyAlignment="1">
      <x:alignment horizontal="general" vertical="top" wrapText="1"/>
    </x:xf>
    <x:xf numFmtId="164" fontId="23" fillId="17" borderId="9" xfId="0" applyNumberFormat="1" applyFont="1" applyFill="1" applyBorder="1" applyAlignment="1">
      <x:alignment horizontal="general" vertical="top" wrapText="1"/>
    </x:xf>
    <x:xf numFmtId="164" fontId="24" fillId="17" borderId="9" xfId="0" applyNumberFormat="1" applyFont="1" applyFill="1" applyBorder="1" applyAlignment="1">
      <x:alignment horizontal="general" vertical="top" wrapText="1"/>
    </x:xf>
    <x:xf numFmtId="175" fontId="23" fillId="17" borderId="9" xfId="0" applyNumberFormat="1" applyFont="1" applyFill="1" applyBorder="1" applyAlignment="1">
      <x:alignment horizontal="general" vertical="top" wrapText="1"/>
    </x:xf>
    <x:xf numFmtId="164" fontId="23" fillId="18" borderId="9" xfId="0" applyNumberFormat="1" applyFont="1" applyFill="1" applyBorder="1" applyAlignment="1">
      <x:alignment horizontal="general" vertical="top" wrapText="1"/>
    </x:xf>
    <x:xf numFmtId="175" fontId="23" fillId="18" borderId="9" xfId="0" applyNumberFormat="1" applyFont="1" applyFill="1" applyBorder="1" applyAlignment="1">
      <x:alignment horizontal="general" vertical="top" wrapText="1"/>
    </x:xf>
    <x:xf numFmtId="164" fontId="24" fillId="18" borderId="9" xfId="0" applyNumberFormat="1" applyFont="1" applyFill="1" applyBorder="1" applyAlignment="1">
      <x:alignment horizontal="general" vertical="top" wrapText="1"/>
    </x:xf>
    <x:xf numFmtId="164" fontId="23" fillId="19" borderId="9" xfId="0" applyNumberFormat="1" applyFont="1" applyFill="1" applyBorder="1" applyAlignment="1">
      <x:alignment horizontal="general" vertical="top" wrapText="1"/>
    </x:xf>
    <x:xf numFmtId="164" fontId="25" fillId="19" borderId="9" xfId="0" applyNumberFormat="1" applyFont="1" applyFill="1" applyBorder="1" applyAlignment="1">
      <x:alignment horizontal="general" vertical="top" wrapText="1"/>
    </x:xf>
    <x:xf numFmtId="164" fontId="23" fillId="20" borderId="9" xfId="0" applyNumberFormat="1" applyFont="1" applyFill="1" applyBorder="1" applyAlignment="1">
      <x:alignment horizontal="general" vertical="top" wrapText="1"/>
    </x:xf>
    <x:xf numFmtId="164" fontId="18" fillId="20" borderId="9" xfId="0" applyNumberFormat="1" applyFont="1" applyFill="1" applyBorder="1" applyAlignment="1">
      <x:alignment horizontal="general" vertical="top" wrapText="1"/>
    </x:xf>
    <x:xf numFmtId="164" fontId="24" fillId="19" borderId="9" xfId="0" applyNumberFormat="1" applyFont="1" applyFill="1" applyBorder="1" applyAlignment="1">
      <x:alignment horizontal="general" vertical="top" wrapText="1"/>
    </x:xf>
    <x:xf numFmtId="164" fontId="26" fillId="19" borderId="9" xfId="0" applyNumberFormat="1" applyFont="1" applyFill="1" applyBorder="1" applyAlignment="1">
      <x:alignment horizontal="general" vertical="top" wrapText="1"/>
    </x:xf>
    <x:xf numFmtId="176" fontId="15" fillId="17" borderId="7" xfId="0" applyNumberFormat="1" applyFont="1" applyFill="1" applyBorder="1" applyAlignment="1">
      <x:alignment horizontal="general" vertical="top" wrapText="1"/>
    </x:xf>
    <x:xf numFmtId="177" fontId="15" fillId="17" borderId="7" xfId="0" applyNumberFormat="1" applyFont="1" applyFill="1" applyBorder="1" applyAlignment="1">
      <x:alignment horizontal="general" vertical="top" wrapText="1"/>
    </x:xf>
    <x:xf numFmtId="176" fontId="14" fillId="17" borderId="7" xfId="0" applyNumberFormat="1" applyFont="1" applyFill="1" applyBorder="1" applyAlignment="1">
      <x:alignment horizontal="general" vertical="top" wrapText="1"/>
    </x:xf>
    <x:xf numFmtId="177" fontId="14" fillId="17" borderId="7" xfId="0" applyNumberFormat="1" applyFont="1" applyFill="1" applyBorder="1" applyAlignment="1">
      <x:alignment horizontal="general" vertical="top" wrapText="1"/>
    </x:xf>
    <x:xf numFmtId="176" fontId="18" fillId="17" borderId="7" xfId="0" applyNumberFormat="1" applyFont="1" applyFill="1" applyBorder="1" applyAlignment="1">
      <x:alignment horizontal="general" vertical="top" wrapText="1"/>
    </x:xf>
    <x:xf numFmtId="177" fontId="18" fillId="17" borderId="7" xfId="0" applyNumberFormat="1" applyFont="1" applyFill="1" applyBorder="1" applyAlignment="1">
      <x:alignment horizontal="general" vertical="top" wrapText="1"/>
    </x:xf>
    <x:xf numFmtId="176" fontId="23" fillId="17" borderId="7" xfId="0" applyNumberFormat="1" applyFont="1" applyFill="1" applyBorder="1" applyAlignment="1">
      <x:alignment horizontal="general" vertical="top" wrapText="1"/>
    </x:xf>
    <x:xf numFmtId="177" fontId="23" fillId="17" borderId="7" xfId="0" applyNumberFormat="1" applyFont="1" applyFill="1" applyBorder="1" applyAlignment="1">
      <x:alignment horizontal="general" vertical="top" wrapText="1"/>
    </x:xf>
    <x:xf numFmtId="176" fontId="23" fillId="17" borderId="9" xfId="0" applyNumberFormat="1" applyFont="1" applyFill="1" applyBorder="1" applyAlignment="1">
      <x:alignment horizontal="general" vertical="top" wrapText="1"/>
    </x:xf>
    <x:xf numFmtId="177" fontId="23" fillId="17" borderId="9" xfId="0" applyNumberFormat="1" applyFont="1" applyFill="1" applyBorder="1" applyAlignment="1">
      <x:alignment horizontal="general" vertical="top" wrapText="1"/>
    </x:xf>
    <x:xf numFmtId="176" fontId="23" fillId="18" borderId="9" xfId="0" applyNumberFormat="1" applyFont="1" applyFill="1" applyBorder="1" applyAlignment="1">
      <x:alignment horizontal="general" vertical="top" wrapText="1"/>
    </x:xf>
    <x:xf numFmtId="177" fontId="23" fillId="18" borderId="9" xfId="0" applyNumberFormat="1" applyFont="1" applyFill="1" applyBorder="1" applyAlignment="1">
      <x:alignment horizontal="general" vertical="top" wrapText="1"/>
    </x:xf>
    <x:xf numFmtId="164" fontId="20" fillId="17" borderId="7" xfId="0" applyNumberFormat="1" applyFont="1" applyFill="1" applyBorder="1" applyAlignment="1">
      <x:alignment horizontal="center" vertical="center" wrapText="0"/>
    </x:xf>
    <x:xf numFmtId="164" fontId="20" fillId="17" borderId="8" xfId="0" applyNumberFormat="1" applyFont="1" applyFill="1" applyBorder="1" applyAlignment="1">
      <x:alignment horizontal="center" vertical="center" wrapText="0"/>
    </x:xf>
    <x:xf numFmtId="164" fontId="18" fillId="17" borderId="7" xfId="0" applyNumberFormat="1" applyFont="1" applyFill="1" applyBorder="1" applyAlignment="1">
      <x:alignment horizontal="center" vertical="center" wrapText="1"/>
    </x:xf>
    <x:xf numFmtId="164" fontId="21" fillId="17" borderId="8" xfId="0" applyNumberFormat="1" applyFont="1" applyFill="1" applyBorder="1" applyAlignment="1">
      <x:alignment horizontal="center" vertical="center" wrapText="1"/>
    </x:xf>
    <x:xf numFmtId="164" fontId="21" fillId="17" borderId="7" xfId="0" applyNumberFormat="1" applyFont="1" applyFill="1" applyBorder="1" applyAlignment="1">
      <x:alignment horizontal="center" vertical="center" wrapText="1"/>
    </x:xf>
    <x:xf numFmtId="175" fontId="15" fillId="17" borderId="7" xfId="0" applyNumberFormat="1" applyFont="1" applyFill="1" applyBorder="1" applyAlignment="1">
      <x:alignment horizontal="general" vertical="center" wrapText="1"/>
    </x:xf>
    <x:xf numFmtId="164" fontId="15" fillId="17" borderId="7" xfId="0" applyNumberFormat="1" applyFont="1" applyFill="1" applyBorder="1" applyAlignment="1">
      <x:alignment horizontal="general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center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7" borderId="7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general" vertical="center" wrapText="1"/>
    </x:xf>
    <x:xf numFmtId="164" fontId="24" fillId="17" borderId="7" xfId="0" applyNumberFormat="1" applyFont="1" applyFill="1" applyBorder="1" applyAlignment="1">
      <x:alignment horizontal="center" vertical="center" wrapText="0"/>
    </x:xf>
    <x:xf numFmtId="164" fontId="24" fillId="17" borderId="8" xfId="0" applyNumberFormat="1" applyFont="1" applyFill="1" applyBorder="1" applyAlignment="1">
      <x:alignment horizontal="center" vertical="center" wrapText="0"/>
    </x:xf>
    <x:xf numFmtId="164" fontId="23" fillId="17" borderId="7" xfId="0" applyNumberFormat="1" applyFont="1" applyFill="1" applyBorder="1" applyAlignment="1">
      <x:alignment horizontal="center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center" vertical="center" wrapText="1"/>
    </x:xf>
    <x:xf numFmtId="175" fontId="23" fillId="17" borderId="7" xfId="0" applyNumberFormat="1" applyFont="1" applyFill="1" applyBorder="1" applyAlignment="1">
      <x:alignment horizontal="general" vertical="center" wrapText="1"/>
    </x:xf>
    <x:xf numFmtId="164" fontId="23" fillId="17" borderId="7" xfId="0" applyNumberFormat="1" applyFont="1" applyFill="1" applyBorder="1" applyAlignment="1">
      <x:alignment horizontal="general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7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0"/>
    </x:xf>
    <x:xf numFmtId="164" fontId="23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</x:xf>
    <x:xf numFmtId="175" fontId="23" fillId="17" borderId="9" xfId="0" applyNumberFormat="1" applyFont="1" applyFill="1" applyBorder="1" applyAlignment="1">
      <x:alignment horizontal="general" vertical="center" wrapText="1"/>
    </x:xf>
    <x:xf numFmtId="164" fontId="23" fillId="17" borderId="9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general" vertical="center" wrapText="1"/>
    </x:xf>
    <x:xf numFmtId="175" fontId="23" fillId="18" borderId="9" xfId="0" applyNumberFormat="1" applyFont="1" applyFill="1" applyBorder="1" applyAlignment="1">
      <x:alignment horizontal="general" vertical="center" wrapText="1"/>
    </x:xf>
    <x:xf numFmtId="164" fontId="23" fillId="18" borderId="9" xfId="0" applyNumberFormat="1" applyFont="1" applyFill="1" applyBorder="1" applyAlignment="1">
      <x:alignment horizontal="general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general" vertical="center" wrapText="1"/>
    </x:xf>
    <x:xf numFmtId="164" fontId="20" fillId="17" borderId="9" xfId="0" applyNumberFormat="1" applyFont="1" applyFill="1" applyBorder="1" applyAlignment="1">
      <x:alignment horizontal="center" vertical="center" wrapText="0"/>
    </x:xf>
    <x:xf numFmtId="164" fontId="20" fillId="21" borderId="9" xfId="0" applyNumberFormat="1" applyFont="1" applyFill="1" applyBorder="1" applyAlignment="1">
      <x:alignment horizontal="center" vertical="center" wrapText="0"/>
    </x:xf>
    <x:xf numFmtId="164" fontId="20" fillId="22" borderId="9" xfId="0" applyNumberFormat="1" applyFont="1" applyFill="1" applyBorder="1" applyAlignment="1">
      <x:alignment horizontal="center" vertical="center" wrapText="0"/>
    </x:xf>
    <x:xf numFmtId="164" fontId="23" fillId="20" borderId="9" xfId="0" applyNumberFormat="1" applyFont="1" applyFill="1" applyBorder="1" applyAlignment="1">
      <x:alignment horizontal="center" vertical="center" wrapText="1"/>
    </x:xf>
    <x:xf numFmtId="164" fontId="24" fillId="20" borderId="9" xfId="0" applyNumberFormat="1" applyFont="1" applyFill="1" applyBorder="1" applyAlignment="1">
      <x:alignment horizontal="center" vertical="center" wrapText="1"/>
    </x:xf>
    <x:xf numFmtId="164" fontId="18" fillId="20" borderId="9" xfId="0" applyNumberFormat="1" applyFont="1" applyFill="1" applyBorder="1" applyAlignment="1">
      <x:alignment horizontal="center" vertical="center" wrapText="1"/>
    </x:xf>
    <x:xf numFmtId="164" fontId="21" fillId="20" borderId="9" xfId="0" applyNumberFormat="1" applyFont="1" applyFill="1" applyBorder="1" applyAlignment="1">
      <x:alignment horizontal="center" vertical="center" wrapText="1"/>
    </x:xf>
    <x:xf numFmtId="164" fontId="20" fillId="21" borderId="10" xfId="0" applyNumberFormat="1" applyFont="1" applyFill="1" applyBorder="1" applyAlignment="1">
      <x:alignment horizontal="center" vertical="center" wrapText="0"/>
    </x:xf>
    <x:xf numFmtId="164" fontId="21" fillId="20" borderId="10" xfId="0" applyNumberFormat="1" applyFont="1" applyFill="1" applyBorder="1" applyAlignment="1">
      <x:alignment horizontal="center" vertical="center" wrapText="1"/>
    </x:xf>
    <x:xf numFmtId="164" fontId="24" fillId="18" borderId="10" xfId="0" applyNumberFormat="1" applyFont="1" applyFill="1" applyBorder="1" applyAlignment="1">
      <x:alignment horizontal="center" vertical="center" wrapText="1"/>
    </x:xf>
    <x:xf numFmtId="164" fontId="24" fillId="17" borderId="10" xfId="0" applyNumberFormat="1" applyFont="1" applyFill="1" applyBorder="1" applyAlignment="1">
      <x:alignment horizontal="center" vertical="center" wrapText="1"/>
    </x:xf>
    <x:xf numFmtId="164" fontId="20" fillId="22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4" fillId="17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0" fillId="17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general" vertical="center" wrapText="1"/>
    </x:xf>
    <x:xf numFmtId="164" fontId="24" fillId="17" borderId="10" xfId="0" applyNumberFormat="1" applyFont="1" applyFill="1" applyBorder="1" applyAlignment="1">
      <x:alignment horizontal="general" vertical="center" wrapText="1"/>
    </x:xf>
    <x:xf numFmtId="164" fontId="23" fillId="23" borderId="9" xfId="0" applyNumberFormat="1" applyFont="1" applyFill="1" applyBorder="1" applyAlignment="1">
      <x:alignment horizontal="general" vertical="top" wrapText="1"/>
    </x:xf>
    <x:xf numFmtId="164" fontId="19" fillId="23" borderId="9" xfId="0" applyNumberFormat="1" applyFont="1" applyFill="1" applyBorder="1" applyAlignment="1">
      <x:alignment horizontal="general" vertical="top" wrapText="1"/>
    </x:xf>
    <x:xf numFmtId="177" fontId="16" fillId="18" borderId="9" xfId="0" applyNumberFormat="1" applyFont="1" applyFill="1" applyBorder="1" applyAlignment="1">
      <x:alignment horizontal="center" vertical="center" wrapText="1"/>
    </x:xf>
    <x:xf numFmtId="200" fontId="16" fillId="10" borderId="9" xfId="0" applyNumberFormat="1" applyFont="1" applyFill="1" applyBorder="1" applyAlignment="1">
      <x:alignment horizontal="center" vertical="center" wrapText="1"/>
    </x:xf>
    <x:xf numFmtId="200" fontId="16" fillId="18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center" wrapText="1"/>
    </x:xf>
    <x:xf numFmtId="164" fontId="15" fillId="25" borderId="9" xfId="0" applyNumberFormat="1" applyFont="1" applyFill="1" applyBorder="1" applyAlignment="1">
      <x:alignment horizontal="general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</x:xf>
    <x:xf numFmtId="177" fontId="16" fillId="24" borderId="9" xfId="0" applyNumberFormat="1" applyFont="1" applyFill="1" applyBorder="1" applyAlignment="1">
      <x:alignment horizontal="center" vertical="center" wrapText="1"/>
    </x:xf>
    <x:xf numFmtId="164" fontId="16" fillId="24" borderId="9" xfId="0" applyNumberFormat="1" applyFont="1" applyFill="1" applyBorder="1" applyAlignment="1">
      <x:alignment horizontal="center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24" borderId="10" xfId="0" applyNumberFormat="1" applyFont="1" applyFill="1" applyBorder="1" applyAlignment="1">
      <x:alignment horizontal="general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</x:xf>
    <x:xf numFmtId="200" fontId="16" fillId="25" borderId="9" xfId="0" applyNumberFormat="1" applyFont="1" applyFill="1" applyBorder="1" applyAlignment="1">
      <x:alignment horizontal="center" vertical="center" wrapText="1"/>
    </x:xf>
    <x:xf numFmtId="164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general" vertical="center" wrapText="1"/>
    </x:xf>
    <x:xf numFmtId="200" fontId="16" fillId="24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top" wrapText="1"/>
    </x:xf>
    <x:xf numFmtId="175" fontId="15" fillId="24" borderId="9" xfId="0" applyNumberFormat="1" applyFont="1" applyFill="1" applyBorder="1" applyAlignment="1">
      <x:alignment horizontal="general" vertical="top" wrapText="1"/>
    </x:xf>
    <x:xf numFmtId="164" fontId="19" fillId="24" borderId="9" xfId="0" applyNumberFormat="1" applyFont="1" applyFill="1" applyBorder="1" applyAlignment="1">
      <x:alignment horizontal="general" vertical="top" wrapText="1"/>
    </x:xf>
    <x:xf numFmtId="164" fontId="16" fillId="24" borderId="9" xfId="0" applyNumberFormat="1" applyFont="1" applyFill="1" applyBorder="1" applyAlignment="1">
      <x:alignment horizontal="general" vertical="top" wrapText="1"/>
    </x:xf>
    <x:xf numFmtId="164" fontId="15" fillId="25" borderId="9" xfId="0" applyNumberFormat="1" applyFont="1" applyFill="1" applyBorder="1" applyAlignment="1">
      <x:alignment horizontal="general" vertical="top" wrapText="1"/>
    </x:xf>
    <x:xf numFmtId="164" fontId="16" fillId="25" borderId="9" xfId="0" applyNumberFormat="1" applyFont="1" applyFill="1" applyBorder="1" applyAlignment="1">
      <x:alignment horizontal="general" vertical="top" wrapText="1"/>
    </x:xf>
    <x:xf numFmtId="176" fontId="15" fillId="24" borderId="9" xfId="0" applyNumberFormat="1" applyFont="1" applyFill="1" applyBorder="1" applyAlignment="1">
      <x:alignment horizontal="general" vertical="top" wrapText="1"/>
    </x:xf>
    <x:xf numFmtId="176" fontId="15" fillId="25" borderId="9" xfId="0" applyNumberFormat="1" applyFont="1" applyFill="1" applyBorder="1" applyAlignment="1">
      <x:alignment horizontal="general" vertical="top" wrapText="1"/>
    </x:xf>
    <x:xf numFmtId="164" fontId="15" fillId="26" borderId="9" xfId="0" applyNumberFormat="1" applyFont="1" applyFill="1" applyBorder="1" applyAlignment="1">
      <x:alignment horizontal="general" vertical="top" wrapText="1"/>
    </x:xf>
    <x:xf numFmtId="175" fontId="15" fillId="26" borderId="9" xfId="0" applyNumberFormat="1" applyFont="1" applyFill="1" applyBorder="1" applyAlignment="1">
      <x:alignment horizontal="general" vertical="top" wrapText="1"/>
    </x:xf>
    <x:xf numFmtId="164" fontId="19" fillId="26" borderId="9" xfId="0" applyNumberFormat="1" applyFont="1" applyFill="1" applyBorder="1" applyAlignment="1">
      <x:alignment horizontal="general" vertical="top" wrapText="1"/>
    </x:xf>
    <x:xf numFmtId="164" fontId="19" fillId="27" borderId="9" xfId="0" applyNumberFormat="1" applyFont="1" applyFill="1" applyBorder="1" applyAlignment="1">
      <x:alignment horizontal="general" vertical="top" wrapText="1"/>
    </x:xf>
    <x:xf numFmtId="164" fontId="16" fillId="26" borderId="9" xfId="0" applyNumberFormat="1" applyFont="1" applyFill="1" applyBorder="1" applyAlignment="1">
      <x:alignment horizontal="general" vertical="top" wrapText="1"/>
    </x:xf>
    <x:xf numFmtId="164" fontId="15" fillId="28" borderId="9" xfId="0" applyNumberFormat="1" applyFont="1" applyFill="1" applyBorder="1" applyAlignment="1">
      <x:alignment horizontal="general" vertical="top" wrapText="1"/>
    </x:xf>
    <x:xf numFmtId="164" fontId="16" fillId="28" borderId="9" xfId="0" applyNumberFormat="1" applyFont="1" applyFill="1" applyBorder="1" applyAlignment="1">
      <x:alignment horizontal="general" vertical="top" wrapText="1"/>
    </x:xf>
    <x:xf numFmtId="176" fontId="15" fillId="26" borderId="9" xfId="0" applyNumberFormat="1" applyFont="1" applyFill="1" applyBorder="1" applyAlignment="1">
      <x:alignment horizontal="general" vertical="top" wrapText="1"/>
    </x:xf>
    <x:xf numFmtId="176" fontId="15" fillId="28" borderId="9" xfId="0" applyNumberFormat="1" applyFont="1" applyFill="1" applyBorder="1" applyAlignment="1">
      <x:alignment horizontal="general" vertical="top" wrapText="1"/>
    </x:xf>
    <x:xf numFmtId="164" fontId="16" fillId="29" borderId="9" xfId="0" applyNumberFormat="1" applyFont="1" applyFill="1" applyBorder="1" applyAlignment="1">
      <x:alignment horizontal="general" vertical="center" wrapText="1"/>
    </x:xf>
    <x:xf numFmtId="164" fontId="16" fillId="30" borderId="9" xfId="0" applyNumberFormat="1" applyFont="1" applyFill="1" applyBorder="1" applyAlignment="1">
      <x:alignment horizontal="general" vertical="center" wrapText="1"/>
    </x:xf>
    <x:xf numFmtId="164" fontId="15" fillId="18" borderId="9" xfId="0" applyNumberFormat="1" applyFont="1" applyFill="1" applyBorder="1" applyAlignment="1">
      <x:alignment horizontal="general" vertical="center" wrapText="1"/>
    </x:xf>
    <x:xf numFmtId="164" fontId="20" fillId="31" borderId="9" xfId="0" applyNumberFormat="1" applyFont="1" applyFill="1" applyBorder="1" applyAlignment="1">
      <x:alignment horizontal="center" vertical="center" wrapText="0"/>
    </x:xf>
    <x:xf numFmtId="164" fontId="20" fillId="31" borderId="10" xfId="0" applyNumberFormat="1" applyFont="1" applyFill="1" applyBorder="1" applyAlignment="1">
      <x:alignment horizontal="center" vertical="center" wrapText="0"/>
    </x:xf>
    <x:xf numFmtId="164" fontId="18" fillId="13" borderId="9" xfId="0" applyNumberFormat="1" applyFont="1" applyFill="1" applyBorder="1" applyAlignment="1">
      <x:alignment horizontal="general" vertical="top" wrapText="1"/>
    </x:xf>
    <x:xf numFmtId="177" fontId="19" fillId="23" borderId="9" xfId="0" applyNumberFormat="1" applyFont="1" applyFill="1" applyBorder="1" applyAlignment="1">
      <x:alignment horizontal="general" vertical="top" wrapText="1"/>
    </x:xf>
    <x:xf numFmtId="177" fontId="19" fillId="32" borderId="9" xfId="0" applyNumberFormat="1" applyFont="1" applyFill="1" applyBorder="1" applyAlignment="1">
      <x:alignment horizontal="general" vertical="top" wrapText="1"/>
    </x:xf>
    <x:xf numFmtId="177" fontId="14" fillId="32" borderId="9" xfId="0" applyNumberFormat="1" applyFont="1" applyFill="1" applyBorder="1" applyAlignment="1">
      <x:alignment horizontal="general" vertical="top" wrapText="1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9">
    <x:dxf>
      <x:fill>
        <x:patternFill>
          <x:bgColor rgb="FF33465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24324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FEEE2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D9E3EF"/>
      <x:rgbColor rgb="FF808080"/>
      <x:rgbColor rgb="FF9999FF"/>
      <x:rgbColor rgb="FF993366"/>
      <x:rgbColor rgb="FFFFF4D5"/>
      <x:rgbColor rgb="FFE8F3EC"/>
      <x:rgbColor rgb="FF660066"/>
      <x:rgbColor rgb="FFFF8080"/>
      <x:rgbColor rgb="FF0066CC"/>
      <x:rgbColor rgb="FFCCD6E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EFF8"/>
      <x:rgbColor rgb="FFDFEEE2"/>
      <x:rgbColor rgb="FFFFF4D6"/>
      <x:rgbColor rgb="FFF0F2F5"/>
      <x:rgbColor rgb="FFFF99CC"/>
      <x:rgbColor rgb="FFCC99FF"/>
      <x:rgbColor rgb="FFE6ECF3"/>
      <x:rgbColor rgb="FF3366FF"/>
      <x:rgbColor rgb="FF33CCCC"/>
      <x:rgbColor rgb="FF99CC00"/>
      <x:rgbColor rgb="FFFFCC00"/>
      <x:rgbColor rgb="FFFF9900"/>
      <x:rgbColor rgb="FFFF6600"/>
      <x:rgbColor rgb="FF666699"/>
      <x:rgbColor rgb="FF8297AD"/>
      <x:rgbColor rgb="FF003366"/>
      <x:rgbColor rgb="FF339966"/>
      <x:rgbColor rgb="FF003300"/>
      <x:rgbColor rgb="FF333300"/>
      <x:rgbColor rgb="FF993300"/>
      <x:rgbColor rgb="FF993366"/>
      <x:rgbColor rgb="FF33465E"/>
      <x:rgbColor rgb="FF24324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9ae1c1062a495c" /><Relationship Type="http://schemas.openxmlformats.org/officeDocument/2006/relationships/theme" Target="/xl/theme/theme1.xml" Id="R1e8ecf57c48e4ced" /><Relationship Type="http://schemas.microsoft.com/office/2022/11/relationships/FeaturePropertyBag" Target="/xl/featurePropertyBag/featurePropertyBag.xml" Id="R91014de52f0a49b4" /><Relationship Type="http://schemas.openxmlformats.org/officeDocument/2006/relationships/sharedStrings" Target="/xl/sharedStrings.xml" Id="Rf81572de645342ed" /><Relationship Type="http://schemas.openxmlformats.org/officeDocument/2006/relationships/worksheet" Target="/xl/worksheets/sheet1.xml" Id="Rb82739df4cbe48cd" /><Relationship Type="http://schemas.openxmlformats.org/officeDocument/2006/relationships/worksheet" Target="/xl/worksheets/sheet2.xml" Id="Rb34766ff17714892" /><Relationship Type="http://schemas.openxmlformats.org/officeDocument/2006/relationships/worksheet" Target="/xl/worksheets/sheet3.xml" Id="R9fb4e1e72596461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xerciseArsenal" displayName="ExerciseArsenal" ref="A35:B90" headerRowCount="1" totalsRowCount="0" totalsRowShown="0">
  <x:tableColumns count="2">
    <x:tableColumn id="1" name="Group"/>
    <x:tableColumn id="2" name="Exercise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c07be19a62c493a" /></Relationships>
</file>

<file path=xl/worksheets/sheet1.xml><?xml version="1.0" encoding="utf-8"?>
<x:worksheet xmlns:x="http://schemas.openxmlformats.org/spreadsheetml/2006/main">
  <x:sheetPr>
    <x:tabColor rgb="FF33465E"/>
  </x:sheetPr>
  <x:sheetViews>
    <x:sheetView showGridLines="0" workbookViewId="0"/>
  </x:sheetViews>
  <x:sheetFormatPr defaultColWidth="8.6796875" defaultRowHeight="15"/>
  <x:cols>
    <x:col min="1" max="2" width="15" style="1" hidden="0" customWidth="1"/>
    <x:col min="3" max="3" width="28" style="1" hidden="0" customWidth="1"/>
    <x:col min="4" max="6" width="55" style="1" hidden="0" customWidth="1"/>
    <x:col min="7" max="7" width="16" style="1" hidden="0" customWidth="1"/>
    <x:col min="8" max="9" width="62" style="1" hidden="0" customWidth="1"/>
  </x:cols>
  <x:sheetData>
    <x:row r="1" ht="26" hidden="0" customHeight="1">
      <x:c r="A1" s="181" t="s">
        <x:v>0</x:v>
      </x:c>
      <x:c r="B1" s="181"/>
      <x:c r="C1" s="181"/>
      <x:c r="D1" s="181"/>
      <x:c r="E1" s="181"/>
      <x:c r="F1" s="181"/>
      <x:c r="G1" s="181"/>
      <x:c r="H1" s="175"/>
      <x:c r="I1" s="175"/>
    </x:row>
    <x:row r="2" ht="28" hidden="0" customHeight="1">
      <x:c r="A2" s="183" t="s">
        <x:v>1</x:v>
      </x:c>
      <x:c r="B2" s="183" t="s">
        <x:v>2</x:v>
      </x:c>
      <x:c r="C2" s="183" t="s">
        <x:v>3</x:v>
      </x:c>
      <x:c r="D2" s="183" t="s">
        <x:v>4</x:v>
      </x:c>
      <x:c r="E2" s="183" t="s">
        <x:v>5</x:v>
      </x:c>
      <x:c r="F2" s="183" t="str">
        <x:v>max_sets</x:v>
      </x:c>
      <x:c r="G2" s="292" t="str">
        <x:v>max_reps</x:v>
      </x:c>
      <x:c r="H2" s="175"/>
      <x:c r="I2" s="175"/>
    </x:row>
    <x:row r="3" ht="54" hidden="0" customHeight="1">
      <x:c r="A3" s="177" t="s">
        <x:v>6</x:v>
      </x:c>
      <x:c r="B3" s="177" t="s">
        <x:v>7</x:v>
      </x:c>
      <x:c r="C3" s="278" t="s">
        <x:v>8</x:v>
      </x:c>
      <x:c r="D3" s="278" t="s">
        <x:v>9</x:v>
      </x:c>
      <x:c r="E3" s="279" t="n">
        <x:v>46321.5</x:v>
      </x:c>
      <x:c r="F3" s="295" t="n">
        <x:v>3</x:v>
      </x:c>
      <x:c r="G3" s="295" t="n">
        <x:v>5</x:v>
      </x:c>
      <x:c r="H3" s="179"/>
      <x:c r="I3" s="179"/>
    </x:row>
    <x:row r="4" ht="18" hidden="0" customHeight="1">
      <x:c r="A4" s="174"/>
      <x:c r="B4" s="174"/>
      <x:c r="C4" s="174"/>
      <x:c r="D4" s="174"/>
      <x:c r="E4" s="174"/>
      <x:c r="F4" s="174"/>
      <x:c r="G4" s="174"/>
      <x:c r="H4" s="175"/>
      <x:c r="I4" s="175"/>
    </x:row>
    <x:row r="5" ht="26" hidden="0" customHeight="1">
      <x:c r="A5" s="181" t="s">
        <x:v>10</x:v>
      </x:c>
      <x:c r="B5" s="181"/>
      <x:c r="C5" s="181"/>
      <x:c r="D5" s="181"/>
      <x:c r="E5" s="181"/>
      <x:c r="F5" s="181"/>
      <x:c r="G5" s="181"/>
      <x:c r="H5" s="185"/>
      <x:c r="I5" s="179"/>
    </x:row>
    <x:row r="6" ht="28" hidden="0" customHeight="1">
      <x:c r="A6" s="183" t="s">
        <x:v>11</x:v>
      </x:c>
      <x:c r="B6" s="183" t="s">
        <x:v>12</x:v>
      </x:c>
      <x:c r="C6" s="183" t="s">
        <x:v>13</x:v>
      </x:c>
      <x:c r="D6" s="183" t="s">
        <x:v>14</x:v>
      </x:c>
      <x:c r="E6" s="183" t="s">
        <x:v>15</x:v>
      </x:c>
      <x:c r="F6" s="183" t="s">
        <x:v>16</x:v>
      </x:c>
      <x:c r="G6" s="183" t="s">
        <x:v>17</x:v>
      </x:c>
      <x:c r="H6" s="183" t="s">
        <x:v>18</x:v>
      </x:c>
      <x:c r="I6" s="175"/>
    </x:row>
    <x:row r="7" ht="76" hidden="0" customHeight="1">
      <x:c r="A7" s="177" t="s">
        <x:v>19</x:v>
      </x:c>
      <x:c r="B7" s="278" t="s">
        <x:v>20</x:v>
      </x:c>
      <x:c r="C7" s="278" t="s">
        <x:v>21</x:v>
      </x:c>
      <x:c r="D7" s="278" t="s">
        <x:v>22</x:v>
      </x:c>
      <x:c r="E7" s="278" t="s">
        <x:v>23</x:v>
      </x:c>
      <x:c r="F7" s="278" t="s">
        <x:v>24</x:v>
      </x:c>
      <x:c r="G7" s="278" t="s">
        <x:v>25</x:v>
      </x:c>
      <x:c r="H7" s="282"/>
      <x:c r="I7" s="179"/>
    </x:row>
    <x:row r="8" ht="76" hidden="0" customHeight="1">
      <x:c r="A8" s="174" t="s">
        <x:v>26</x:v>
      </x:c>
      <x:c r="B8" s="283" t="s">
        <x:v>27</x:v>
      </x:c>
      <x:c r="C8" s="283" t="s">
        <x:v>28</x:v>
      </x:c>
      <x:c r="D8" s="283" t="s">
        <x:v>29</x:v>
      </x:c>
      <x:c r="E8" s="283" t="s">
        <x:v>30</x:v>
      </x:c>
      <x:c r="F8" s="283" t="s">
        <x:v>24</x:v>
      </x:c>
      <x:c r="G8" s="283" t="s">
        <x:v>31</x:v>
      </x:c>
      <x:c r="H8" s="284"/>
      <x:c r="I8" s="175"/>
    </x:row>
    <x:row r="9" ht="76" hidden="0" customHeight="1">
      <x:c r="A9" s="177" t="s">
        <x:v>32</x:v>
      </x:c>
      <x:c r="B9" s="278" t="s">
        <x:v>33</x:v>
      </x:c>
      <x:c r="C9" s="278" t="s">
        <x:v>34</x:v>
      </x:c>
      <x:c r="D9" s="278" t="s">
        <x:v>29</x:v>
      </x:c>
      <x:c r="E9" s="278" t="s">
        <x:v>35</x:v>
      </x:c>
      <x:c r="F9" s="278" t="s">
        <x:v>24</x:v>
      </x:c>
      <x:c r="G9" s="278" t="s">
        <x:v>36</x:v>
      </x:c>
      <x:c r="H9" s="282"/>
      <x:c r="I9" s="179"/>
    </x:row>
    <x:row r="10" ht="76" hidden="0" customHeight="1">
      <x:c r="A10" s="174" t="s">
        <x:v>37</x:v>
      </x:c>
      <x:c r="B10" s="283" t="s">
        <x:v>38</x:v>
      </x:c>
      <x:c r="C10" s="283" t="s">
        <x:v>39</x:v>
      </x:c>
      <x:c r="D10" s="283" t="s">
        <x:v>40</x:v>
      </x:c>
      <x:c r="E10" s="283" t="s">
        <x:v>41</x:v>
      </x:c>
      <x:c r="F10" s="283" t="s">
        <x:v>42</x:v>
      </x:c>
      <x:c r="G10" s="283"/>
      <x:c r="H10" s="284" t="s">
        <x:v>37</x:v>
      </x:c>
      <x:c r="I10" s="175"/>
    </x:row>
    <x:row r="11" ht="84" hidden="0" customHeight="1">
      <x:c r="A11" s="177" t="s">
        <x:v>43</x:v>
      </x:c>
      <x:c r="B11" s="278" t="s">
        <x:v>44</x:v>
      </x:c>
      <x:c r="C11" s="278" t="s">
        <x:v>45</x:v>
      </x:c>
      <x:c r="D11" s="278" t="s">
        <x:v>46</x:v>
      </x:c>
      <x:c r="E11" s="278" t="s">
        <x:v>47</x:v>
      </x:c>
      <x:c r="F11" s="278" t="s">
        <x:v>42</x:v>
      </x:c>
      <x:c r="G11" s="278"/>
      <x:c r="H11" s="282" t="s">
        <x:v>43</x:v>
      </x:c>
      <x:c r="I11" s="179"/>
    </x:row>
    <x:row r="12" ht="26" hidden="0" customHeight="1">
      <x:c r="A12" s="181" t="s">
        <x:v>48</x:v>
      </x:c>
      <x:c r="B12" s="181"/>
      <x:c r="C12" s="181"/>
      <x:c r="D12" s="181"/>
      <x:c r="E12" s="181"/>
      <x:c r="F12" s="174"/>
      <x:c r="G12" s="174"/>
      <x:c r="H12" s="175"/>
      <x:c r="I12" s="175"/>
    </x:row>
    <x:row r="13" ht="28" hidden="0" customHeight="1">
      <x:c r="A13" s="183" t="s">
        <x:v>49</x:v>
      </x:c>
      <x:c r="B13" s="183" t="s">
        <x:v>50</x:v>
      </x:c>
      <x:c r="C13" s="183" t="s">
        <x:v>12</x:v>
      </x:c>
      <x:c r="D13" s="183" t="s">
        <x:v>51</x:v>
      </x:c>
      <x:c r="E13" s="183" t="s">
        <x:v>52</x:v>
      </x:c>
      <x:c r="F13" s="177"/>
      <x:c r="G13" s="177"/>
      <x:c r="H13" s="179"/>
      <x:c r="I13" s="179"/>
    </x:row>
    <x:row r="14" ht="110" hidden="0" customHeight="1">
      <x:c r="A14" s="174" t="s">
        <x:v>53</x:v>
      </x:c>
      <x:c r="B14" s="174" t="s">
        <x:v>6</x:v>
      </x:c>
      <x:c r="C14" s="174" t="s">
        <x:v>54</x:v>
      </x:c>
      <x:c r="D14" s="283" t="s">
        <x:v>55</x:v>
      </x:c>
      <x:c r="E14" s="283" t="s">
        <x:v>56</x:v>
      </x:c>
      <x:c r="F14" s="174"/>
      <x:c r="G14" s="174"/>
      <x:c r="H14" s="175"/>
      <x:c r="I14" s="175"/>
    </x:row>
    <x:row r="15" ht="110" hidden="0" customHeight="1">
      <x:c r="A15" s="177" t="s">
        <x:v>57</x:v>
      </x:c>
      <x:c r="B15" s="177" t="s">
        <x:v>6</x:v>
      </x:c>
      <x:c r="C15" s="177" t="s">
        <x:v>58</x:v>
      </x:c>
      <x:c r="D15" s="278" t="s">
        <x:v>59</x:v>
      </x:c>
      <x:c r="E15" s="278" t="s">
        <x:v>60</x:v>
      </x:c>
      <x:c r="F15" s="177"/>
      <x:c r="G15" s="177"/>
      <x:c r="H15" s="179"/>
      <x:c r="I15" s="179"/>
    </x:row>
    <x:row r="16" ht="110" hidden="0" customHeight="1">
      <x:c r="A16" s="174" t="s">
        <x:v>61</x:v>
      </x:c>
      <x:c r="B16" s="174" t="s">
        <x:v>6</x:v>
      </x:c>
      <x:c r="C16" s="174" t="s">
        <x:v>62</x:v>
      </x:c>
      <x:c r="D16" s="283" t="s">
        <x:v>63</x:v>
      </x:c>
      <x:c r="E16" s="283" t="s">
        <x:v>26</x:v>
      </x:c>
      <x:c r="F16" s="174"/>
      <x:c r="G16" s="174"/>
      <x:c r="H16" s="175"/>
      <x:c r="I16" s="175"/>
    </x:row>
    <x:row r="17" ht="110" hidden="0" customHeight="1">
      <x:c r="A17" s="177" t="s">
        <x:v>64</x:v>
      </x:c>
      <x:c r="B17" s="177" t="s">
        <x:v>6</x:v>
      </x:c>
      <x:c r="C17" s="177" t="s">
        <x:v>65</x:v>
      </x:c>
      <x:c r="D17" s="278" t="s">
        <x:v>66</x:v>
      </x:c>
      <x:c r="E17" s="278" t="s">
        <x:v>67</x:v>
      </x:c>
      <x:c r="F17" s="177"/>
      <x:c r="G17" s="177"/>
      <x:c r="H17" s="179"/>
      <x:c r="I17" s="179"/>
    </x:row>
    <x:row r="18" ht="18" hidden="0" customHeight="1">
      <x:c r="A18" s="175"/>
      <x:c r="B18" s="175"/>
      <x:c r="C18" s="175"/>
      <x:c r="D18" s="175"/>
      <x:c r="E18" s="175"/>
      <x:c r="F18" s="175"/>
      <x:c r="G18" s="175"/>
      <x:c r="H18" s="175"/>
      <x:c r="I18" s="175"/>
    </x:row>
    <x:row r="19" ht="26" hidden="0" customHeight="1">
      <x:c r="A19" s="181" t="s">
        <x:v>68</x:v>
      </x:c>
      <x:c r="B19" s="181"/>
      <x:c r="C19" s="181"/>
      <x:c r="D19" s="181"/>
      <x:c r="E19" s="181"/>
      <x:c r="F19" s="181"/>
      <x:c r="G19" s="181"/>
      <x:c r="H19" s="185"/>
      <x:c r="I19" s="185"/>
    </x:row>
    <x:row r="20" ht="28" hidden="0" customHeight="1">
      <x:c r="A20" s="183" t="s">
        <x:v>69</x:v>
      </x:c>
      <x:c r="B20" s="183" t="s">
        <x:v>70</x:v>
      </x:c>
      <x:c r="C20" s="183" t="s">
        <x:v>71</x:v>
      </x:c>
      <x:c r="D20" s="183" t="s">
        <x:v>72</x:v>
      </x:c>
      <x:c r="E20" s="183" t="s">
        <x:v>73</x:v>
      </x:c>
      <x:c r="F20" s="183" t="s">
        <x:v>74</x:v>
      </x:c>
      <x:c r="G20" s="183" t="s">
        <x:v>75</x:v>
      </x:c>
      <x:c r="H20" s="183" t="s">
        <x:v>53</x:v>
      </x:c>
      <x:c r="I20" s="183" t="s">
        <x:v>57</x:v>
      </x:c>
    </x:row>
    <x:row r="21" ht="95" hidden="0" customHeight="1">
      <x:c r="A21" s="177" t="n">
        <x:v>1</x:v>
      </x:c>
      <x:c r="B21" s="178" t="n">
        <x:f aca="0">$E$3+7*(A21-1)</x:f>
        <x:v>46321.5</x:v>
      </x:c>
      <x:c r="C21" s="278" t="s">
        <x:v>76</x:v>
      </x:c>
      <x:c r="D21" s="278" t="s">
        <x:v>77</x:v>
      </x:c>
      <x:c r="E21" s="278" t="s">
        <x:v>78</x:v>
      </x:c>
      <x:c r="F21" s="278" t="s">
        <x:v>79</x:v>
      </x:c>
      <x:c r="G21" s="278" t="n">
        <x:v>160</x:v>
      </x:c>
      <x:c r="H21" s="278" t="s">
        <x:v>80</x:v>
      </x:c>
      <x:c r="I21" s="278" t="s">
        <x:v>81</x:v>
      </x:c>
    </x:row>
    <x:row r="22" ht="95" hidden="0" customHeight="1">
      <x:c r="A22" s="174" t="n">
        <x:v>2</x:v>
      </x:c>
      <x:c r="B22" s="176" t="n">
        <x:f aca="0">$E$3+7*(A22-1)</x:f>
        <x:v>46328.5</x:v>
      </x:c>
      <x:c r="C22" s="283" t="s">
        <x:v>76</x:v>
      </x:c>
      <x:c r="D22" s="283" t="s">
        <x:v>77</x:v>
      </x:c>
      <x:c r="E22" s="283" t="s">
        <x:v>82</x:v>
      </x:c>
      <x:c r="F22" s="283" t="s">
        <x:v>79</x:v>
      </x:c>
      <x:c r="G22" s="283" t="n">
        <x:v>160</x:v>
      </x:c>
      <x:c r="H22" s="283" t="s">
        <x:v>83</x:v>
      </x:c>
      <x:c r="I22" s="283" t="s">
        <x:v>84</x:v>
      </x:c>
    </x:row>
    <x:row r="23" ht="95" hidden="0" customHeight="1">
      <x:c r="A23" s="177" t="n">
        <x:v>3</x:v>
      </x:c>
      <x:c r="B23" s="178" t="n">
        <x:f aca="0">$E$3+7*(A23-1)</x:f>
        <x:v>46335.5</x:v>
      </x:c>
      <x:c r="C23" s="278" t="s">
        <x:v>76</x:v>
      </x:c>
      <x:c r="D23" s="278" t="s">
        <x:v>77</x:v>
      </x:c>
      <x:c r="E23" s="278" t="s">
        <x:v>85</x:v>
      </x:c>
      <x:c r="F23" s="278" t="s">
        <x:v>79</x:v>
      </x:c>
      <x:c r="G23" s="278" t="n">
        <x:v>160</x:v>
      </x:c>
      <x:c r="H23" s="278" t="s">
        <x:v>86</x:v>
      </x:c>
      <x:c r="I23" s="278" t="s">
        <x:v>87</x:v>
      </x:c>
    </x:row>
    <x:row r="24" ht="95" hidden="0" customHeight="1">
      <x:c r="A24" s="174" t="n">
        <x:v>4</x:v>
      </x:c>
      <x:c r="B24" s="176" t="n">
        <x:f aca="0">$E$3+7*(A24-1)</x:f>
        <x:v>46342.5</x:v>
      </x:c>
      <x:c r="C24" s="283" t="s">
        <x:v>88</x:v>
      </x:c>
      <x:c r="D24" s="283" t="s">
        <x:v>89</x:v>
      </x:c>
      <x:c r="E24" s="283" t="s">
        <x:v>90</x:v>
      </x:c>
      <x:c r="F24" s="283" t="s">
        <x:v>79</x:v>
      </x:c>
      <x:c r="G24" s="283" t="n">
        <x:v>81</x:v>
      </x:c>
      <x:c r="H24" s="283" t="s">
        <x:v>91</x:v>
      </x:c>
      <x:c r="I24" s="283" t="s">
        <x:v>92</x:v>
      </x:c>
    </x:row>
    <x:row r="25" ht="95" hidden="0" customHeight="1">
      <x:c r="A25" s="177" t="n">
        <x:v>5</x:v>
      </x:c>
      <x:c r="B25" s="178" t="n">
        <x:f aca="0">$E$3+7*(A25-1)</x:f>
        <x:v>46349.5</x:v>
      </x:c>
      <x:c r="C25" s="278" t="s">
        <x:v>93</x:v>
      </x:c>
      <x:c r="D25" s="278" t="s">
        <x:v>77</x:v>
      </x:c>
      <x:c r="E25" s="278" t="s">
        <x:v>94</x:v>
      </x:c>
      <x:c r="F25" s="278" t="s">
        <x:v>79</x:v>
      </x:c>
      <x:c r="G25" s="278" t="n">
        <x:v>160</x:v>
      </x:c>
      <x:c r="H25" s="278" t="s">
        <x:v>95</x:v>
      </x:c>
      <x:c r="I25" s="278" t="s">
        <x:v>96</x:v>
      </x:c>
    </x:row>
    <x:row r="26" ht="95" hidden="0" customHeight="1">
      <x:c r="A26" s="174" t="n">
        <x:v>6</x:v>
      </x:c>
      <x:c r="B26" s="176" t="n">
        <x:f aca="0">$E$3+7*(A26-1)</x:f>
        <x:v>46356.5</x:v>
      </x:c>
      <x:c r="C26" s="283" t="s">
        <x:v>93</x:v>
      </x:c>
      <x:c r="D26" s="283" t="s">
        <x:v>77</x:v>
      </x:c>
      <x:c r="E26" s="283" t="s">
        <x:v>97</x:v>
      </x:c>
      <x:c r="F26" s="283" t="s">
        <x:v>79</x:v>
      </x:c>
      <x:c r="G26" s="283" t="n">
        <x:v>160</x:v>
      </x:c>
      <x:c r="H26" s="283" t="s">
        <x:v>98</x:v>
      </x:c>
      <x:c r="I26" s="283" t="s">
        <x:v>99</x:v>
      </x:c>
    </x:row>
    <x:row r="27" ht="95" hidden="0" customHeight="1">
      <x:c r="A27" s="177" t="n">
        <x:v>7</x:v>
      </x:c>
      <x:c r="B27" s="178" t="n">
        <x:f aca="0">$E$3+7*(A27-1)</x:f>
        <x:v>46363.5</x:v>
      </x:c>
      <x:c r="C27" s="278" t="s">
        <x:v>93</x:v>
      </x:c>
      <x:c r="D27" s="278" t="s">
        <x:v>77</x:v>
      </x:c>
      <x:c r="E27" s="278" t="s">
        <x:v>100</x:v>
      </x:c>
      <x:c r="F27" s="278" t="s">
        <x:v>79</x:v>
      </x:c>
      <x:c r="G27" s="278" t="n">
        <x:v>160</x:v>
      </x:c>
      <x:c r="H27" s="278" t="s">
        <x:v>101</x:v>
      </x:c>
      <x:c r="I27" s="278" t="s">
        <x:v>102</x:v>
      </x:c>
    </x:row>
    <x:row r="28" ht="95" hidden="0" customHeight="1">
      <x:c r="A28" s="174" t="n">
        <x:v>8</x:v>
      </x:c>
      <x:c r="B28" s="176" t="n">
        <x:f aca="0">$E$3+7*(A28-1)</x:f>
        <x:v>46370.5</x:v>
      </x:c>
      <x:c r="C28" s="283" t="s">
        <x:v>88</x:v>
      </x:c>
      <x:c r="D28" s="283" t="s">
        <x:v>89</x:v>
      </x:c>
      <x:c r="E28" s="283" t="s">
        <x:v>103</x:v>
      </x:c>
      <x:c r="F28" s="283" t="s">
        <x:v>79</x:v>
      </x:c>
      <x:c r="G28" s="283" t="n">
        <x:v>81</x:v>
      </x:c>
      <x:c r="H28" s="283" t="s">
        <x:v>104</x:v>
      </x:c>
      <x:c r="I28" s="283" t="s">
        <x:v>105</x:v>
      </x:c>
    </x:row>
    <x:row r="29" ht="95" hidden="0" customHeight="1">
      <x:c r="A29" s="177" t="n">
        <x:v>9</x:v>
      </x:c>
      <x:c r="B29" s="178" t="n">
        <x:f aca="0">$E$3+7*(A29-1)</x:f>
        <x:v>46377.5</x:v>
      </x:c>
      <x:c r="C29" s="278" t="s">
        <x:v>106</x:v>
      </x:c>
      <x:c r="D29" s="278" t="s">
        <x:v>77</x:v>
      </x:c>
      <x:c r="E29" s="278" t="s">
        <x:v>107</x:v>
      </x:c>
      <x:c r="F29" s="278" t="s">
        <x:v>79</x:v>
      </x:c>
      <x:c r="G29" s="278" t="n">
        <x:v>160</x:v>
      </x:c>
      <x:c r="H29" s="278" t="s">
        <x:v>108</x:v>
      </x:c>
      <x:c r="I29" s="278" t="s">
        <x:v>109</x:v>
      </x:c>
    </x:row>
    <x:row r="30" ht="95" hidden="0" customHeight="1">
      <x:c r="A30" s="174" t="n">
        <x:v>10</x:v>
      </x:c>
      <x:c r="B30" s="176" t="n">
        <x:f aca="0">$E$3+7*(A30-1)</x:f>
        <x:v>46384.5</x:v>
      </x:c>
      <x:c r="C30" s="283" t="s">
        <x:v>106</x:v>
      </x:c>
      <x:c r="D30" s="283" t="s">
        <x:v>77</x:v>
      </x:c>
      <x:c r="E30" s="283" t="s">
        <x:v>110</x:v>
      </x:c>
      <x:c r="F30" s="283" t="s">
        <x:v>79</x:v>
      </x:c>
      <x:c r="G30" s="283" t="n">
        <x:v>160</x:v>
      </x:c>
      <x:c r="H30" s="283" t="s">
        <x:v>111</x:v>
      </x:c>
      <x:c r="I30" s="283" t="s">
        <x:v>112</x:v>
      </x:c>
    </x:row>
    <x:row r="31" ht="95" hidden="0" customHeight="1">
      <x:c r="A31" s="177" t="n">
        <x:v>11</x:v>
      </x:c>
      <x:c r="B31" s="178" t="n">
        <x:f aca="0">$E$3+7*(A31-1)</x:f>
        <x:v>46391.5</x:v>
      </x:c>
      <x:c r="C31" s="278" t="s">
        <x:v>106</x:v>
      </x:c>
      <x:c r="D31" s="278" t="s">
        <x:v>77</x:v>
      </x:c>
      <x:c r="E31" s="278" t="s">
        <x:v>113</x:v>
      </x:c>
      <x:c r="F31" s="278" t="s">
        <x:v>79</x:v>
      </x:c>
      <x:c r="G31" s="278" t="n">
        <x:v>160</x:v>
      </x:c>
      <x:c r="H31" s="278" t="s">
        <x:v>114</x:v>
      </x:c>
      <x:c r="I31" s="278" t="s">
        <x:v>115</x:v>
      </x:c>
    </x:row>
    <x:row r="32" ht="95" hidden="0" customHeight="1">
      <x:c r="A32" s="174" t="n">
        <x:v>12</x:v>
      </x:c>
      <x:c r="B32" s="176" t="n">
        <x:f aca="0">$E$3+7*(A32-1)</x:f>
        <x:v>46398.5</x:v>
      </x:c>
      <x:c r="C32" s="283" t="s">
        <x:v>116</x:v>
      </x:c>
      <x:c r="D32" s="283" t="s">
        <x:v>117</x:v>
      </x:c>
      <x:c r="E32" s="283" t="s">
        <x:v>118</x:v>
      </x:c>
      <x:c r="F32" s="283" t="s">
        <x:v>79</x:v>
      </x:c>
      <x:c r="G32" s="283" t="n">
        <x:v>75</x:v>
      </x:c>
      <x:c r="H32" s="283" t="s">
        <x:v>119</x:v>
      </x:c>
      <x:c r="I32" s="283" t="s">
        <x:v>120</x:v>
      </x:c>
    </x:row>
    <x:row r="33" ht="18" hidden="0" customHeight="1">
      <x:c r="A33" s="179"/>
      <x:c r="B33" s="179"/>
      <x:c r="C33" s="179"/>
      <x:c r="D33" s="179"/>
      <x:c r="E33" s="179"/>
      <x:c r="F33" s="179"/>
      <x:c r="G33" s="179"/>
      <x:c r="H33" s="179"/>
      <x:c r="I33" s="179"/>
    </x:row>
    <x:row r="34" ht="26" hidden="0" customHeight="1">
      <x:c r="A34" s="181" t="s">
        <x:v>121</x:v>
      </x:c>
      <x:c r="B34" s="181"/>
      <x:c r="C34" s="174"/>
      <x:c r="D34" s="174"/>
      <x:c r="E34" s="174"/>
      <x:c r="F34" s="174"/>
      <x:c r="G34" s="174"/>
      <x:c r="H34" s="175"/>
      <x:c r="I34" s="175"/>
    </x:row>
    <x:row r="35" ht="28" hidden="0" customHeight="1">
      <x:c r="A35" s="183" t="s">
        <x:v>122</x:v>
      </x:c>
      <x:c r="B35" s="183" t="s">
        <x:v>123</x:v>
      </x:c>
      <x:c r="C35" s="179"/>
      <x:c r="D35" s="179"/>
      <x:c r="E35" s="179"/>
      <x:c r="F35" s="179"/>
      <x:c r="G35" s="179"/>
      <x:c r="H35" s="179"/>
      <x:c r="I35" s="179"/>
    </x:row>
    <x:row r="36" ht="30" hidden="0" customHeight="1">
      <x:c r="A36" s="174" t="s">
        <x:v>20</x:v>
      </x:c>
      <x:c r="B36" s="174" t="s">
        <x:v>124</x:v>
      </x:c>
      <x:c r="C36" s="175"/>
      <x:c r="D36" s="175"/>
      <x:c r="E36" s="175"/>
      <x:c r="F36" s="175"/>
      <x:c r="G36" s="175"/>
      <x:c r="H36" s="175"/>
      <x:c r="I36" s="175"/>
    </x:row>
    <x:row r="37" ht="30" hidden="0" customHeight="1">
      <x:c r="A37" s="177" t="s">
        <x:v>20</x:v>
      </x:c>
      <x:c r="B37" s="177" t="s">
        <x:v>125</x:v>
      </x:c>
      <x:c r="C37" s="179"/>
      <x:c r="D37" s="179"/>
      <x:c r="E37" s="179"/>
      <x:c r="F37" s="177"/>
      <x:c r="G37" s="177"/>
      <x:c r="H37" s="179"/>
      <x:c r="I37" s="179"/>
    </x:row>
    <x:row r="38" ht="30" hidden="0" customHeight="1">
      <x:c r="A38" s="174" t="s">
        <x:v>20</x:v>
      </x:c>
      <x:c r="B38" s="174" t="s">
        <x:v>126</x:v>
      </x:c>
      <x:c r="C38" s="175"/>
      <x:c r="D38" s="175"/>
      <x:c r="E38" s="175"/>
      <x:c r="F38" s="174"/>
      <x:c r="G38" s="174"/>
      <x:c r="H38" s="175"/>
      <x:c r="I38" s="175"/>
    </x:row>
    <x:row r="39" ht="30" hidden="0" customHeight="1">
      <x:c r="A39" s="177" t="s">
        <x:v>20</x:v>
      </x:c>
      <x:c r="B39" s="177" t="s">
        <x:v>127</x:v>
      </x:c>
      <x:c r="C39" s="179"/>
      <x:c r="D39" s="179"/>
      <x:c r="E39" s="179"/>
      <x:c r="F39" s="177"/>
      <x:c r="G39" s="177"/>
      <x:c r="H39" s="179"/>
      <x:c r="I39" s="179"/>
    </x:row>
    <x:row r="40" ht="30" hidden="0" customHeight="1">
      <x:c r="A40" s="174" t="s">
        <x:v>20</x:v>
      </x:c>
      <x:c r="B40" s="174" t="s">
        <x:v>128</x:v>
      </x:c>
      <x:c r="C40" s="175"/>
      <x:c r="D40" s="175"/>
      <x:c r="E40" s="175"/>
      <x:c r="F40" s="174"/>
      <x:c r="G40" s="174"/>
      <x:c r="H40" s="175"/>
      <x:c r="I40" s="175"/>
    </x:row>
    <x:row r="41" ht="30" hidden="0" customHeight="1">
      <x:c r="A41" s="177" t="s">
        <x:v>20</x:v>
      </x:c>
      <x:c r="B41" s="177" t="s">
        <x:v>129</x:v>
      </x:c>
      <x:c r="C41" s="179"/>
      <x:c r="D41" s="179"/>
      <x:c r="E41" s="179"/>
      <x:c r="F41" s="177"/>
      <x:c r="G41" s="177"/>
      <x:c r="H41" s="179"/>
      <x:c r="I41" s="179"/>
    </x:row>
    <x:row r="42" ht="30" hidden="0" customHeight="1">
      <x:c r="A42" s="174" t="s">
        <x:v>20</x:v>
      </x:c>
      <x:c r="B42" s="174" t="s">
        <x:v>130</x:v>
      </x:c>
      <x:c r="C42" s="175"/>
      <x:c r="D42" s="175"/>
      <x:c r="E42" s="175"/>
      <x:c r="F42" s="174"/>
      <x:c r="G42" s="174"/>
      <x:c r="H42" s="175"/>
      <x:c r="I42" s="175"/>
    </x:row>
    <x:row r="43" ht="30" hidden="0" customHeight="1">
      <x:c r="A43" s="177" t="s">
        <x:v>20</x:v>
      </x:c>
      <x:c r="B43" s="177" t="s">
        <x:v>131</x:v>
      </x:c>
      <x:c r="C43" s="179"/>
      <x:c r="D43" s="179"/>
      <x:c r="E43" s="179"/>
      <x:c r="F43" s="177"/>
      <x:c r="G43" s="177"/>
      <x:c r="H43" s="179"/>
      <x:c r="I43" s="179"/>
    </x:row>
    <x:row r="44" ht="30" hidden="0" customHeight="1">
      <x:c r="A44" s="174" t="s">
        <x:v>20</x:v>
      </x:c>
      <x:c r="B44" s="174" t="s">
        <x:v>132</x:v>
      </x:c>
      <x:c r="C44" s="175"/>
      <x:c r="D44" s="175"/>
      <x:c r="E44" s="175"/>
      <x:c r="F44" s="174"/>
      <x:c r="G44" s="174"/>
      <x:c r="H44" s="175"/>
      <x:c r="I44" s="175"/>
    </x:row>
    <x:row r="45" ht="30" hidden="0" customHeight="1">
      <x:c r="A45" s="177" t="s">
        <x:v>20</x:v>
      </x:c>
      <x:c r="B45" s="177" t="s">
        <x:v>133</x:v>
      </x:c>
      <x:c r="C45" s="179"/>
      <x:c r="D45" s="179"/>
      <x:c r="E45" s="179"/>
      <x:c r="F45" s="177"/>
      <x:c r="G45" s="177"/>
      <x:c r="H45" s="179"/>
      <x:c r="I45" s="179"/>
    </x:row>
    <x:row r="46" ht="30" hidden="0" customHeight="1">
      <x:c r="A46" s="174" t="s">
        <x:v>20</x:v>
      </x:c>
      <x:c r="B46" s="174" t="s">
        <x:v>134</x:v>
      </x:c>
      <x:c r="C46" s="175"/>
      <x:c r="D46" s="175"/>
      <x:c r="E46" s="175"/>
      <x:c r="F46" s="174"/>
      <x:c r="G46" s="174"/>
      <x:c r="H46" s="175"/>
      <x:c r="I46" s="175"/>
    </x:row>
    <x:row r="47" ht="30" hidden="0" customHeight="1">
      <x:c r="A47" s="177" t="s">
        <x:v>20</x:v>
      </x:c>
      <x:c r="B47" s="177" t="s">
        <x:v>135</x:v>
      </x:c>
      <x:c r="C47" s="179"/>
      <x:c r="D47" s="179"/>
      <x:c r="E47" s="179"/>
      <x:c r="F47" s="179"/>
      <x:c r="G47" s="179"/>
      <x:c r="H47" s="179"/>
      <x:c r="I47" s="179"/>
    </x:row>
    <x:row r="48" ht="30" hidden="0" customHeight="1">
      <x:c r="A48" s="174" t="s">
        <x:v>20</x:v>
      </x:c>
      <x:c r="B48" s="174" t="s">
        <x:v>136</x:v>
      </x:c>
      <x:c r="C48" s="175"/>
      <x:c r="D48" s="175"/>
      <x:c r="E48" s="175"/>
      <x:c r="F48" s="175"/>
      <x:c r="G48" s="175"/>
      <x:c r="H48" s="175"/>
      <x:c r="I48" s="175"/>
    </x:row>
    <x:row r="49" ht="30" hidden="0" customHeight="1">
      <x:c r="A49" s="177" t="s">
        <x:v>20</x:v>
      </x:c>
      <x:c r="B49" s="177" t="s">
        <x:v>137</x:v>
      </x:c>
      <x:c r="C49" s="179"/>
      <x:c r="D49" s="179"/>
      <x:c r="E49" s="179"/>
      <x:c r="F49" s="179"/>
      <x:c r="G49" s="179"/>
      <x:c r="H49" s="179"/>
      <x:c r="I49" s="179"/>
    </x:row>
    <x:row r="50" ht="30" hidden="0" customHeight="1">
      <x:c r="A50" s="174" t="s">
        <x:v>20</x:v>
      </x:c>
      <x:c r="B50" s="174" t="s">
        <x:v>138</x:v>
      </x:c>
      <x:c r="C50" s="175"/>
      <x:c r="D50" s="175"/>
      <x:c r="E50" s="175"/>
      <x:c r="F50" s="175"/>
      <x:c r="G50" s="175"/>
      <x:c r="H50" s="175"/>
      <x:c r="I50" s="175"/>
    </x:row>
    <x:row r="51" ht="30" hidden="0" customHeight="1">
      <x:c r="A51" s="177" t="s">
        <x:v>20</x:v>
      </x:c>
      <x:c r="B51" s="177" t="s">
        <x:v>139</x:v>
      </x:c>
      <x:c r="C51" s="179"/>
      <x:c r="D51" s="179"/>
      <x:c r="E51" s="179"/>
      <x:c r="F51" s="179"/>
      <x:c r="G51" s="179"/>
      <x:c r="H51" s="179"/>
      <x:c r="I51" s="179"/>
    </x:row>
    <x:row r="52" ht="30" hidden="0" customHeight="1">
      <x:c r="A52" s="174" t="s">
        <x:v>20</x:v>
      </x:c>
      <x:c r="B52" s="174" t="s">
        <x:v>140</x:v>
      </x:c>
      <x:c r="C52" s="175"/>
      <x:c r="D52" s="175"/>
      <x:c r="E52" s="175"/>
      <x:c r="F52" s="175"/>
      <x:c r="G52" s="175"/>
      <x:c r="H52" s="175"/>
      <x:c r="I52" s="175"/>
    </x:row>
    <x:row r="53" ht="30" hidden="0" customHeight="1">
      <x:c r="A53" s="177" t="s">
        <x:v>20</x:v>
      </x:c>
      <x:c r="B53" s="177" t="s">
        <x:v>141</x:v>
      </x:c>
      <x:c r="C53" s="179"/>
      <x:c r="D53" s="179"/>
      <x:c r="E53" s="179"/>
      <x:c r="F53" s="179"/>
      <x:c r="G53" s="179"/>
      <x:c r="H53" s="179"/>
      <x:c r="I53" s="179"/>
    </x:row>
    <x:row r="54" ht="30" hidden="0" customHeight="1">
      <x:c r="A54" s="174" t="s">
        <x:v>20</x:v>
      </x:c>
      <x:c r="B54" s="174" t="s">
        <x:v>142</x:v>
      </x:c>
      <x:c r="C54" s="175"/>
      <x:c r="D54" s="175"/>
      <x:c r="E54" s="175"/>
      <x:c r="F54" s="175"/>
      <x:c r="G54" s="175"/>
      <x:c r="H54" s="175"/>
      <x:c r="I54" s="175"/>
    </x:row>
    <x:row r="55" ht="30" hidden="0" customHeight="1">
      <x:c r="A55" s="177" t="s">
        <x:v>20</x:v>
      </x:c>
      <x:c r="B55" s="177" t="s">
        <x:v>143</x:v>
      </x:c>
      <x:c r="C55" s="179"/>
      <x:c r="D55" s="179"/>
      <x:c r="E55" s="179"/>
      <x:c r="F55" s="179"/>
      <x:c r="G55" s="179"/>
      <x:c r="H55" s="179"/>
      <x:c r="I55" s="179"/>
    </x:row>
    <x:row r="56" ht="30" hidden="0" customHeight="1">
      <x:c r="A56" s="174" t="s">
        <x:v>144</x:v>
      </x:c>
      <x:c r="B56" s="174" t="s">
        <x:v>145</x:v>
      </x:c>
      <x:c r="C56" s="175"/>
      <x:c r="D56" s="175"/>
      <x:c r="E56" s="175"/>
      <x:c r="F56" s="175"/>
      <x:c r="G56" s="175"/>
      <x:c r="H56" s="175"/>
      <x:c r="I56" s="175"/>
    </x:row>
    <x:row r="57" ht="30" hidden="0" customHeight="1">
      <x:c r="A57" s="177" t="s">
        <x:v>144</x:v>
      </x:c>
      <x:c r="B57" s="177" t="s">
        <x:v>146</x:v>
      </x:c>
      <x:c r="C57" s="179"/>
      <x:c r="D57" s="179"/>
      <x:c r="E57" s="179"/>
      <x:c r="F57" s="179"/>
      <x:c r="G57" s="179"/>
      <x:c r="H57" s="179"/>
      <x:c r="I57" s="179"/>
    </x:row>
    <x:row r="58" ht="30" hidden="0" customHeight="1">
      <x:c r="A58" s="174" t="s">
        <x:v>144</x:v>
      </x:c>
      <x:c r="B58" s="174" t="s">
        <x:v>147</x:v>
      </x:c>
      <x:c r="C58" s="175"/>
      <x:c r="D58" s="175"/>
      <x:c r="E58" s="175"/>
      <x:c r="F58" s="175"/>
      <x:c r="G58" s="175"/>
      <x:c r="H58" s="175"/>
      <x:c r="I58" s="175"/>
    </x:row>
    <x:row r="59" ht="30" hidden="0" customHeight="1">
      <x:c r="A59" s="177" t="s">
        <x:v>144</x:v>
      </x:c>
      <x:c r="B59" s="177" t="s">
        <x:v>148</x:v>
      </x:c>
      <x:c r="C59" s="179"/>
      <x:c r="D59" s="179"/>
      <x:c r="E59" s="179"/>
      <x:c r="F59" s="179"/>
      <x:c r="G59" s="179"/>
      <x:c r="H59" s="179"/>
      <x:c r="I59" s="179"/>
    </x:row>
    <x:row r="60" ht="30" hidden="0" customHeight="1">
      <x:c r="A60" s="174" t="s">
        <x:v>144</x:v>
      </x:c>
      <x:c r="B60" s="174" t="s">
        <x:v>149</x:v>
      </x:c>
      <x:c r="C60" s="175"/>
      <x:c r="D60" s="175"/>
      <x:c r="E60" s="175"/>
      <x:c r="F60" s="175"/>
      <x:c r="G60" s="175"/>
      <x:c r="H60" s="175"/>
      <x:c r="I60" s="175"/>
    </x:row>
    <x:row r="61" ht="30" hidden="0" customHeight="1">
      <x:c r="A61" s="177" t="s">
        <x:v>144</x:v>
      </x:c>
      <x:c r="B61" s="177" t="s">
        <x:v>150</x:v>
      </x:c>
      <x:c r="C61" s="179"/>
      <x:c r="D61" s="179"/>
      <x:c r="E61" s="179"/>
      <x:c r="F61" s="179"/>
      <x:c r="G61" s="179"/>
      <x:c r="H61" s="179"/>
      <x:c r="I61" s="179"/>
    </x:row>
    <x:row r="62" ht="30" hidden="0" customHeight="1">
      <x:c r="A62" s="174" t="s">
        <x:v>144</x:v>
      </x:c>
      <x:c r="B62" s="174" t="s">
        <x:v>151</x:v>
      </x:c>
      <x:c r="C62" s="175"/>
      <x:c r="D62" s="175"/>
      <x:c r="E62" s="175"/>
      <x:c r="F62" s="175"/>
      <x:c r="G62" s="175"/>
      <x:c r="H62" s="175"/>
      <x:c r="I62" s="175"/>
    </x:row>
    <x:row r="63" ht="30" hidden="0" customHeight="1">
      <x:c r="A63" s="177" t="s">
        <x:v>144</x:v>
      </x:c>
      <x:c r="B63" s="177" t="s">
        <x:v>152</x:v>
      </x:c>
      <x:c r="C63" s="179"/>
      <x:c r="D63" s="179"/>
      <x:c r="E63" s="179"/>
      <x:c r="F63" s="179"/>
      <x:c r="G63" s="179"/>
      <x:c r="H63" s="179"/>
      <x:c r="I63" s="179"/>
    </x:row>
    <x:row r="64" ht="30" hidden="0" customHeight="1">
      <x:c r="A64" s="174" t="s">
        <x:v>144</x:v>
      </x:c>
      <x:c r="B64" s="174" t="s">
        <x:v>153</x:v>
      </x:c>
      <x:c r="C64" s="175"/>
      <x:c r="D64" s="175"/>
      <x:c r="E64" s="175"/>
      <x:c r="F64" s="175"/>
      <x:c r="G64" s="175"/>
      <x:c r="H64" s="175"/>
      <x:c r="I64" s="175"/>
    </x:row>
    <x:row r="65" ht="30" hidden="0" customHeight="1">
      <x:c r="A65" s="177" t="s">
        <x:v>144</x:v>
      </x:c>
      <x:c r="B65" s="177" t="s">
        <x:v>154</x:v>
      </x:c>
      <x:c r="C65" s="179"/>
      <x:c r="D65" s="179"/>
      <x:c r="E65" s="179"/>
      <x:c r="F65" s="179"/>
      <x:c r="G65" s="179"/>
      <x:c r="H65" s="179"/>
      <x:c r="I65" s="179"/>
    </x:row>
    <x:row r="66" ht="30" hidden="0" customHeight="1">
      <x:c r="A66" s="174" t="s">
        <x:v>144</x:v>
      </x:c>
      <x:c r="B66" s="174" t="s">
        <x:v>155</x:v>
      </x:c>
      <x:c r="C66" s="175"/>
      <x:c r="D66" s="175"/>
      <x:c r="E66" s="175"/>
      <x:c r="F66" s="175"/>
      <x:c r="G66" s="175"/>
      <x:c r="H66" s="175"/>
      <x:c r="I66" s="175"/>
    </x:row>
    <x:row r="67" ht="30" hidden="0" customHeight="1">
      <x:c r="A67" s="177" t="s">
        <x:v>144</x:v>
      </x:c>
      <x:c r="B67" s="177" t="s">
        <x:v>156</x:v>
      </x:c>
      <x:c r="C67" s="179"/>
      <x:c r="D67" s="179"/>
      <x:c r="E67" s="179"/>
      <x:c r="F67" s="179"/>
      <x:c r="G67" s="179"/>
      <x:c r="H67" s="179"/>
      <x:c r="I67" s="179"/>
    </x:row>
    <x:row r="68" ht="30" hidden="0" customHeight="1">
      <x:c r="A68" s="174" t="s">
        <x:v>144</x:v>
      </x:c>
      <x:c r="B68" s="174" t="s">
        <x:v>157</x:v>
      </x:c>
      <x:c r="C68" s="175"/>
      <x:c r="D68" s="175"/>
      <x:c r="E68" s="175"/>
      <x:c r="F68" s="175"/>
      <x:c r="G68" s="175"/>
      <x:c r="H68" s="175"/>
      <x:c r="I68" s="175"/>
    </x:row>
    <x:row r="69" ht="30" hidden="0" customHeight="1">
      <x:c r="A69" s="177" t="s">
        <x:v>144</x:v>
      </x:c>
      <x:c r="B69" s="177" t="s">
        <x:v>158</x:v>
      </x:c>
      <x:c r="C69" s="179"/>
      <x:c r="D69" s="179"/>
      <x:c r="E69" s="179"/>
      <x:c r="F69" s="179"/>
      <x:c r="G69" s="179"/>
      <x:c r="H69" s="179"/>
      <x:c r="I69" s="179"/>
    </x:row>
    <x:row r="70" ht="30" hidden="0" customHeight="1">
      <x:c r="A70" s="174" t="s">
        <x:v>144</x:v>
      </x:c>
      <x:c r="B70" s="174" t="s">
        <x:v>159</x:v>
      </x:c>
      <x:c r="C70" s="175"/>
      <x:c r="D70" s="175"/>
      <x:c r="E70" s="175"/>
      <x:c r="F70" s="175"/>
      <x:c r="G70" s="175"/>
      <x:c r="H70" s="175"/>
      <x:c r="I70" s="175"/>
    </x:row>
    <x:row r="71" ht="30" hidden="0" customHeight="1">
      <x:c r="A71" s="177" t="s">
        <x:v>144</x:v>
      </x:c>
      <x:c r="B71" s="177" t="s">
        <x:v>160</x:v>
      </x:c>
      <x:c r="C71" s="179"/>
      <x:c r="D71" s="179"/>
      <x:c r="E71" s="179"/>
      <x:c r="F71" s="179"/>
      <x:c r="G71" s="179"/>
      <x:c r="H71" s="179"/>
      <x:c r="I71" s="179"/>
    </x:row>
    <x:row r="72" ht="30" hidden="0" customHeight="1">
      <x:c r="A72" s="174" t="s">
        <x:v>144</x:v>
      </x:c>
      <x:c r="B72" s="174" t="s">
        <x:v>161</x:v>
      </x:c>
      <x:c r="C72" s="175"/>
      <x:c r="D72" s="175"/>
      <x:c r="E72" s="175"/>
      <x:c r="F72" s="175"/>
      <x:c r="G72" s="175"/>
      <x:c r="H72" s="175"/>
      <x:c r="I72" s="175"/>
    </x:row>
    <x:row r="73" ht="30" hidden="0" customHeight="1">
      <x:c r="A73" s="177" t="s">
        <x:v>33</x:v>
      </x:c>
      <x:c r="B73" s="177" t="s">
        <x:v>162</x:v>
      </x:c>
      <x:c r="C73" s="179"/>
      <x:c r="D73" s="179"/>
      <x:c r="E73" s="179"/>
      <x:c r="F73" s="179"/>
      <x:c r="G73" s="179"/>
      <x:c r="H73" s="179"/>
      <x:c r="I73" s="179"/>
    </x:row>
    <x:row r="74" ht="30" hidden="0" customHeight="1">
      <x:c r="A74" s="174" t="s">
        <x:v>33</x:v>
      </x:c>
      <x:c r="B74" s="174" t="s">
        <x:v>163</x:v>
      </x:c>
      <x:c r="C74" s="175"/>
      <x:c r="D74" s="175"/>
      <x:c r="E74" s="175"/>
      <x:c r="F74" s="175"/>
      <x:c r="G74" s="175"/>
      <x:c r="H74" s="175"/>
      <x:c r="I74" s="175"/>
    </x:row>
    <x:row r="75" ht="30" hidden="0" customHeight="1">
      <x:c r="A75" s="177" t="s">
        <x:v>33</x:v>
      </x:c>
      <x:c r="B75" s="177" t="s">
        <x:v>164</x:v>
      </x:c>
      <x:c r="C75" s="179"/>
      <x:c r="D75" s="179"/>
      <x:c r="E75" s="179"/>
      <x:c r="F75" s="179"/>
      <x:c r="G75" s="179"/>
      <x:c r="H75" s="179"/>
      <x:c r="I75" s="179"/>
    </x:row>
    <x:row r="76" ht="30" hidden="0" customHeight="1">
      <x:c r="A76" s="174" t="s">
        <x:v>33</x:v>
      </x:c>
      <x:c r="B76" s="174" t="s">
        <x:v>165</x:v>
      </x:c>
      <x:c r="C76" s="175"/>
      <x:c r="D76" s="175"/>
      <x:c r="E76" s="175"/>
      <x:c r="F76" s="175"/>
      <x:c r="G76" s="175"/>
      <x:c r="H76" s="175"/>
      <x:c r="I76" s="175"/>
    </x:row>
    <x:row r="77" ht="30" hidden="0" customHeight="1">
      <x:c r="A77" s="177" t="s">
        <x:v>33</x:v>
      </x:c>
      <x:c r="B77" s="177" t="s">
        <x:v>166</x:v>
      </x:c>
      <x:c r="C77" s="179"/>
      <x:c r="D77" s="179"/>
      <x:c r="E77" s="179"/>
      <x:c r="F77" s="179"/>
      <x:c r="G77" s="179"/>
      <x:c r="H77" s="179"/>
      <x:c r="I77" s="179"/>
    </x:row>
    <x:row r="78" ht="30" hidden="0" customHeight="1">
      <x:c r="A78" s="174" t="s">
        <x:v>33</x:v>
      </x:c>
      <x:c r="B78" s="174" t="s">
        <x:v>167</x:v>
      </x:c>
      <x:c r="C78" s="175"/>
      <x:c r="D78" s="175"/>
      <x:c r="E78" s="175"/>
      <x:c r="F78" s="175"/>
      <x:c r="G78" s="175"/>
      <x:c r="H78" s="175"/>
      <x:c r="I78" s="175"/>
    </x:row>
    <x:row r="79" ht="30" hidden="0" customHeight="1">
      <x:c r="A79" s="177" t="s">
        <x:v>33</x:v>
      </x:c>
      <x:c r="B79" s="177" t="s">
        <x:v>168</x:v>
      </x:c>
      <x:c r="C79" s="179"/>
      <x:c r="D79" s="179"/>
      <x:c r="E79" s="179"/>
      <x:c r="F79" s="179"/>
      <x:c r="G79" s="179"/>
      <x:c r="H79" s="179"/>
      <x:c r="I79" s="179"/>
    </x:row>
    <x:row r="80" ht="30" hidden="0" customHeight="1">
      <x:c r="A80" s="174" t="s">
        <x:v>33</x:v>
      </x:c>
      <x:c r="B80" s="174" t="s">
        <x:v>169</x:v>
      </x:c>
      <x:c r="C80" s="175"/>
      <x:c r="D80" s="175"/>
      <x:c r="E80" s="175"/>
      <x:c r="F80" s="175"/>
      <x:c r="G80" s="175"/>
      <x:c r="H80" s="175"/>
      <x:c r="I80" s="175"/>
    </x:row>
    <x:row r="81" ht="30" hidden="0" customHeight="1">
      <x:c r="A81" s="177" t="s">
        <x:v>33</x:v>
      </x:c>
      <x:c r="B81" s="177" t="s">
        <x:v>170</x:v>
      </x:c>
      <x:c r="C81" s="179"/>
      <x:c r="D81" s="179"/>
      <x:c r="E81" s="179"/>
      <x:c r="F81" s="179"/>
      <x:c r="G81" s="179"/>
      <x:c r="H81" s="179"/>
      <x:c r="I81" s="179"/>
    </x:row>
    <x:row r="82" ht="30" hidden="0" customHeight="1">
      <x:c r="A82" s="174" t="s">
        <x:v>33</x:v>
      </x:c>
      <x:c r="B82" s="174" t="s">
        <x:v>171</x:v>
      </x:c>
      <x:c r="C82" s="175"/>
      <x:c r="D82" s="175"/>
      <x:c r="E82" s="175"/>
      <x:c r="F82" s="175"/>
      <x:c r="G82" s="175"/>
      <x:c r="H82" s="175"/>
      <x:c r="I82" s="175"/>
    </x:row>
    <x:row r="83" ht="30" hidden="0" customHeight="1">
      <x:c r="A83" s="177" t="s">
        <x:v>33</x:v>
      </x:c>
      <x:c r="B83" s="177" t="s">
        <x:v>172</x:v>
      </x:c>
      <x:c r="C83" s="179"/>
      <x:c r="D83" s="179"/>
      <x:c r="E83" s="179"/>
      <x:c r="F83" s="179"/>
      <x:c r="G83" s="179"/>
      <x:c r="H83" s="179"/>
      <x:c r="I83" s="179"/>
    </x:row>
    <x:row r="84" ht="30" hidden="0" customHeight="1">
      <x:c r="A84" s="174" t="s">
        <x:v>33</x:v>
      </x:c>
      <x:c r="B84" s="174" t="s">
        <x:v>173</x:v>
      </x:c>
      <x:c r="C84" s="175"/>
      <x:c r="D84" s="175"/>
      <x:c r="E84" s="175"/>
      <x:c r="F84" s="175"/>
      <x:c r="G84" s="175"/>
      <x:c r="H84" s="175"/>
      <x:c r="I84" s="175"/>
    </x:row>
    <x:row r="85" ht="30" hidden="0" customHeight="1">
      <x:c r="A85" s="177" t="s">
        <x:v>33</x:v>
      </x:c>
      <x:c r="B85" s="177" t="s">
        <x:v>174</x:v>
      </x:c>
      <x:c r="C85" s="179"/>
      <x:c r="D85" s="179"/>
      <x:c r="E85" s="179"/>
      <x:c r="F85" s="179"/>
      <x:c r="G85" s="179"/>
      <x:c r="H85" s="179"/>
      <x:c r="I85" s="179"/>
    </x:row>
    <x:row r="86" ht="30" hidden="0" customHeight="1">
      <x:c r="A86" s="174" t="s">
        <x:v>33</x:v>
      </x:c>
      <x:c r="B86" s="174" t="s">
        <x:v>175</x:v>
      </x:c>
      <x:c r="C86" s="175"/>
      <x:c r="D86" s="175"/>
      <x:c r="E86" s="175"/>
      <x:c r="F86" s="175"/>
      <x:c r="G86" s="175"/>
      <x:c r="H86" s="175"/>
      <x:c r="I86" s="175"/>
    </x:row>
    <x:row r="87" ht="30" hidden="0" customHeight="1">
      <x:c r="A87" s="177" t="s">
        <x:v>33</x:v>
      </x:c>
      <x:c r="B87" s="177" t="s">
        <x:v>176</x:v>
      </x:c>
      <x:c r="C87" s="179"/>
      <x:c r="D87" s="179"/>
      <x:c r="E87" s="179"/>
      <x:c r="F87" s="179"/>
      <x:c r="G87" s="179"/>
      <x:c r="H87" s="179"/>
      <x:c r="I87" s="179"/>
    </x:row>
    <x:row r="88" ht="30" hidden="0" customHeight="1">
      <x:c r="A88" s="174" t="s">
        <x:v>33</x:v>
      </x:c>
      <x:c r="B88" s="174" t="s">
        <x:v>177</x:v>
      </x:c>
      <x:c r="C88" s="175"/>
      <x:c r="D88" s="175"/>
      <x:c r="E88" s="175"/>
      <x:c r="F88" s="175"/>
      <x:c r="G88" s="175"/>
      <x:c r="H88" s="175"/>
      <x:c r="I88" s="175"/>
    </x:row>
    <x:row r="89" ht="30" hidden="0" customHeight="1">
      <x:c r="A89" s="177" t="s">
        <x:v>178</x:v>
      </x:c>
      <x:c r="B89" s="177" t="s">
        <x:v>179</x:v>
      </x:c>
      <x:c r="C89" s="179"/>
      <x:c r="D89" s="179"/>
      <x:c r="E89" s="179"/>
      <x:c r="F89" s="179"/>
      <x:c r="G89" s="179"/>
      <x:c r="H89" s="179"/>
      <x:c r="I89" s="179"/>
    </x:row>
    <x:row r="90" ht="30" hidden="0" customHeight="1">
      <x:c r="A90" s="174" t="s">
        <x:v>178</x:v>
      </x:c>
      <x:c r="B90" s="174" t="s">
        <x:v>180</x:v>
      </x:c>
      <x:c r="C90" s="175"/>
      <x:c r="D90" s="175"/>
      <x:c r="E90" s="175"/>
      <x:c r="F90" s="175"/>
      <x:c r="G90" s="175"/>
      <x:c r="H90" s="175"/>
      <x:c r="I90" s="175"/>
    </x:row>
    <x:row r="91" ht="82" hidden="0" customHeight="1"/>
    <x:row r="92" ht="82" hidden="0" customHeight="1"/>
    <x:row r="93" ht="82" hidden="0" customHeight="1"/>
    <x:row r="94" ht="82" hidden="0" customHeight="1"/>
    <x:row r="95" ht="82" hidden="0" customHeight="1"/>
    <x:row r="96" ht="82" hidden="0" customHeight="1"/>
    <x:row r="97" ht="82" hidden="0" customHeight="1"/>
    <x:row r="98" ht="82" hidden="0" customHeight="1"/>
    <x:row r="99" ht="82" hidden="0" customHeight="1"/>
    <x:row r="100" ht="82" hidden="0" customHeight="1"/>
    <x:row r="101" ht="82" hidden="0" customHeight="1"/>
    <x:row r="102" ht="82" hidden="0" customHeight="1"/>
    <x:row r="103" ht="82" hidden="0" customHeight="1"/>
    <x:row r="1048574" ht="12.800000190734863" hidden="0"/>
    <x:row r="1048575" ht="12.800000190734863" hidden="0"/>
    <x:row r="1048576" ht="12.800000190734863" hidden="0"/>
  </x:sheetData>
  <x:dataValidations count="2">
    <x:dataValidation type="list" errorStyle="stop" operator="between" allowBlank="0" showDropDown="0" showInputMessage="0" showErrorMessage="0" sqref="F7:F10">
      <x:formula1>"milestone,maintenance"</x:formula1>
      <x:formula2>0</x:formula2>
    </x:dataValidation>
    <x:dataValidation type="list" errorStyle="stop" operator="between" allowBlank="0" showDropDown="0" showInputMessage="0" showErrorMessage="0" sqref="F11">
      <x:formula1>"milestone,maintenance"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c07be19a62c493a"/>
  </x:tableParts>
</x:worksheet>
</file>

<file path=xl/worksheets/sheet2.xml><?xml version="1.0" encoding="utf-8"?>
<x:worksheet xmlns:x="http://schemas.openxmlformats.org/spreadsheetml/2006/main">
  <x:sheetPr>
    <x:tabColor rgb="FF33465E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3" width="16" style="1" hidden="0" customWidth="1"/>
    <x:col min="4" max="4" width="12" style="1" hidden="0" customWidth="1"/>
    <x:col min="5" max="6" width="22" style="1" hidden="0" customWidth="1"/>
    <x:col min="7" max="7" width="44" hidden="0" customWidth="1"/>
  </x:cols>
  <x:sheetData>
    <x:row r="1" ht="26" hidden="0" customHeight="1">
      <x:c r="A1" s="181" t="s">
        <x:v>181</x:v>
      </x:c>
      <x:c r="B1" s="181"/>
      <x:c r="C1" s="181"/>
      <x:c r="D1" s="181"/>
      <x:c r="E1" s="181"/>
      <x:c r="F1" s="181"/>
      <x:c r="G1" s="185"/>
    </x:row>
    <x:row r="2" ht="28" hidden="0" customHeight="1">
      <x:c r="A2" s="183" t="s">
        <x:v>182</x:v>
      </x:c>
      <x:c r="B2" s="183" t="s">
        <x:v>183</x:v>
      </x:c>
      <x:c r="C2" s="183" t="s">
        <x:v>184</x:v>
      </x:c>
      <x:c r="D2" s="183" t="s">
        <x:v>75</x:v>
      </x:c>
      <x:c r="E2" s="183" t="s">
        <x:v>185</x:v>
      </x:c>
      <x:c r="F2" s="183" t="s">
        <x:v>186</x:v>
      </x:c>
      <x:c r="G2" s="183" t="s">
        <x:v>187</x:v>
      </x:c>
    </x:row>
    <x:row r="3" ht="26" hidden="0" customHeight="1">
      <x:c r="A3" s="177" t="s">
        <x:v>188</x:v>
      </x:c>
      <x:c r="B3" s="285"/>
      <x:c r="C3" s="285"/>
      <x:c r="D3" s="197" t="str">
        <x:f aca="0">IF(OR(B3="",C3=""),"",ROUND(MOD(C3-B3,1)*1440,6))</x:f>
      </x:c>
      <x:c r="E3" s="278"/>
      <x:c r="F3" s="278"/>
      <x:c r="G3" s="278"/>
    </x:row>
    <x:row r="4" ht="26" hidden="0" customHeight="1">
      <x:c r="A4" s="174" t="s">
        <x:v>188</x:v>
      </x:c>
      <x:c r="B4" s="286"/>
      <x:c r="C4" s="286"/>
      <x:c r="D4" s="195" t="str">
        <x:f aca="0">IF(OR(B4="",C4=""),"",ROUND(MOD(C4-B4,1)*1440,6))</x:f>
      </x:c>
      <x:c r="E4" s="283"/>
      <x:c r="F4" s="283"/>
      <x:c r="G4" s="283"/>
    </x:row>
    <x:row r="5" ht="28" hidden="0" customHeight="1">
      <x:c r="A5" s="177" t="s">
        <x:v>189</x:v>
      </x:c>
      <x:c r="B5" s="285" t="n">
        <x:v>0.833333333333333</x:v>
      </x:c>
      <x:c r="C5" s="285" t="n">
        <x:v>0.875</x:v>
      </x:c>
      <x:c r="D5" s="197" t="n">
        <x:f aca="0">IF(OR(B5="",C5=""),"",ROUND(MOD(C5-B5,1)*1440,6))</x:f>
        <x:v>60</x:v>
      </x:c>
      <x:c r="E5" s="278" t="s">
        <x:v>44</x:v>
      </x:c>
      <x:c r="F5" s="278" t="s">
        <x:v>190</x:v>
      </x:c>
      <x:c r="G5" s="278" t="s">
        <x:v>191</x:v>
      </x:c>
    </x:row>
    <x:row r="6" ht="26" hidden="0" customHeight="1">
      <x:c r="A6" s="174" t="s">
        <x:v>189</x:v>
      </x:c>
      <x:c r="B6" s="286"/>
      <x:c r="C6" s="286"/>
      <x:c r="D6" s="195" t="str">
        <x:f aca="0">IF(OR(B6="",C6=""),"",ROUND(MOD(C6-B6,1)*1440,6))</x:f>
      </x:c>
      <x:c r="E6" s="283"/>
      <x:c r="F6" s="283"/>
      <x:c r="G6" s="283"/>
    </x:row>
    <x:row r="7" ht="26" hidden="0" customHeight="1">
      <x:c r="A7" s="177" t="s">
        <x:v>192</x:v>
      </x:c>
      <x:c r="B7" s="285"/>
      <x:c r="C7" s="285"/>
      <x:c r="D7" s="197" t="str">
        <x:f aca="0">IF(OR(B7="",C7=""),"",ROUND(MOD(C7-B7,1)*1440,6))</x:f>
      </x:c>
      <x:c r="E7" s="278"/>
      <x:c r="F7" s="278"/>
      <x:c r="G7" s="278"/>
    </x:row>
    <x:row r="8" ht="26" hidden="0" customHeight="1">
      <x:c r="A8" s="174" t="s">
        <x:v>192</x:v>
      </x:c>
      <x:c r="B8" s="286"/>
      <x:c r="C8" s="286"/>
      <x:c r="D8" s="195" t="str">
        <x:f aca="0">IF(OR(B8="",C8=""),"",ROUND(MOD(C8-B8,1)*1440,6))</x:f>
      </x:c>
      <x:c r="E8" s="283"/>
      <x:c r="F8" s="283"/>
      <x:c r="G8" s="283"/>
    </x:row>
    <x:row r="9" ht="26" hidden="0" customHeight="1">
      <x:c r="A9" s="177" t="s">
        <x:v>193</x:v>
      </x:c>
      <x:c r="B9" s="285"/>
      <x:c r="C9" s="285"/>
      <x:c r="D9" s="197" t="str">
        <x:f aca="0">IF(OR(B9="",C9=""),"",ROUND(MOD(C9-B9,1)*1440,6))</x:f>
      </x:c>
      <x:c r="E9" s="278"/>
      <x:c r="F9" s="278"/>
      <x:c r="G9" s="278"/>
    </x:row>
    <x:row r="10" ht="26" hidden="0" customHeight="1">
      <x:c r="A10" s="174" t="s">
        <x:v>193</x:v>
      </x:c>
      <x:c r="B10" s="286"/>
      <x:c r="C10" s="286"/>
      <x:c r="D10" s="195" t="str">
        <x:f aca="0">IF(OR(B10="",C10=""),"",ROUND(MOD(C10-B10,1)*1440,6))</x:f>
      </x:c>
      <x:c r="E10" s="283"/>
      <x:c r="F10" s="283"/>
      <x:c r="G10" s="283"/>
    </x:row>
    <x:row r="11" ht="26" hidden="0" customHeight="1">
      <x:c r="A11" s="177" t="s">
        <x:v>194</x:v>
      </x:c>
      <x:c r="B11" s="285"/>
      <x:c r="C11" s="285"/>
      <x:c r="D11" s="197" t="str">
        <x:f aca="0">IF(OR(B11="",C11=""),"",ROUND(MOD(C11-B11,1)*1440,6))</x:f>
      </x:c>
      <x:c r="E11" s="278"/>
      <x:c r="F11" s="278"/>
      <x:c r="G11" s="278"/>
    </x:row>
    <x:row r="12" ht="26" hidden="0" customHeight="1">
      <x:c r="A12" s="174" t="s">
        <x:v>194</x:v>
      </x:c>
      <x:c r="B12" s="286"/>
      <x:c r="C12" s="286"/>
      <x:c r="D12" s="195" t="str">
        <x:f aca="0">IF(OR(B12="",C12=""),"",ROUND(MOD(C12-B12,1)*1440,6))</x:f>
      </x:c>
      <x:c r="E12" s="283"/>
      <x:c r="F12" s="283"/>
      <x:c r="G12" s="283"/>
    </x:row>
    <x:row r="13" ht="26" hidden="0" customHeight="1">
      <x:c r="A13" s="177" t="s">
        <x:v>195</x:v>
      </x:c>
      <x:c r="B13" s="285"/>
      <x:c r="C13" s="285"/>
      <x:c r="D13" s="197" t="str">
        <x:f aca="0">IF(OR(B13="",C13=""),"",ROUND(MOD(C13-B13,1)*1440,6))</x:f>
      </x:c>
      <x:c r="E13" s="278"/>
      <x:c r="F13" s="278"/>
      <x:c r="G13" s="278"/>
    </x:row>
    <x:row r="14" ht="26" hidden="0" customHeight="1">
      <x:c r="A14" s="174" t="s">
        <x:v>195</x:v>
      </x:c>
      <x:c r="B14" s="286"/>
      <x:c r="C14" s="286"/>
      <x:c r="D14" s="195" t="str">
        <x:f aca="0">IF(OR(B14="",C14=""),"",ROUND(MOD(C14-B14,1)*1440,6))</x:f>
      </x:c>
      <x:c r="E14" s="283"/>
      <x:c r="F14" s="283"/>
      <x:c r="G14" s="283"/>
    </x:row>
    <x:row r="15" ht="28" hidden="0" customHeight="1">
      <x:c r="A15" s="177" t="s">
        <x:v>196</x:v>
      </x:c>
      <x:c r="B15" s="285" t="n">
        <x:v>0.4375</x:v>
      </x:c>
      <x:c r="C15" s="285" t="n">
        <x:v>0.479166666666667</x:v>
      </x:c>
      <x:c r="D15" s="197" t="n">
        <x:f aca="0">IF(OR(B15="",C15=""),"",ROUND(MOD(C15-B15,1)*1440,6))</x:f>
        <x:v>60</x:v>
      </x:c>
      <x:c r="E15" s="278" t="s">
        <x:v>38</x:v>
      </x:c>
      <x:c r="F15" s="278" t="s">
        <x:v>190</x:v>
      </x:c>
      <x:c r="G15" s="278" t="s">
        <x:v>197</x:v>
      </x:c>
    </x:row>
    <x:row r="16" ht="26" hidden="0" customHeight="1">
      <x:c r="A16" s="174" t="s">
        <x:v>196</x:v>
      </x:c>
      <x:c r="B16" s="286"/>
      <x:c r="C16" s="286"/>
      <x:c r="D16" s="195" t="str">
        <x:f aca="0">IF(OR(B16="",C16=""),"",ROUND(MOD(C16-B16,1)*1440,6))</x:f>
      </x:c>
      <x:c r="E16" s="283"/>
      <x:c r="F16" s="283"/>
      <x:c r="G16" s="28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465E"/>
  </x:sheetPr>
  <x:sheetViews>
    <x:sheetView showGridLines="0" workbookViewId="0">
      <x:pane xSplit="2" ySplit="2" topLeftCell="C3" activePane="bottomRight" state="frozen"/>
    </x:sheetView>
  </x:sheetViews>
  <x:sheetFormatPr defaultColWidth="8.6796875" defaultRowHeight="15"/>
  <x:cols>
    <x:col min="1" max="2" width="14" style="1" hidden="0" customWidth="1"/>
    <x:col min="3" max="3" width="72" style="1" hidden="0" customWidth="1"/>
    <x:col min="4" max="4" width="29" style="1" hidden="0" customWidth="1"/>
    <x:col min="5" max="7" width="17" style="1" hidden="0" customWidth="1"/>
    <x:col min="8" max="11" width="30" style="1" hidden="0" customWidth="1"/>
    <x:col min="12" max="25" width="12" hidden="0" customWidth="1"/>
    <x:col min="26" max="26" width="9" hidden="0" customWidth="1"/>
    <x:col min="16382" max="16384" width="11.529999732971191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7" max="27" width="9" hidden="0" customWidth="1"/>
    <x:col min="28" max="28" width="32" hidden="0" customWidth="1"/>
    <x:col min="29" max="29" width="27" hidden="0" customWidth="1"/>
    <x:col min="30" max="30" width="27" hidden="0" customWidth="1"/>
    <x:col min="31" max="31" width="27" hidden="0" customWidth="1"/>
  </x:cols>
  <x:sheetData>
    <x:row r="1" ht="26" hidden="0" customHeight="1">
      <x:c r="A1" s="290" t="str">
        <x:v>Daily training</x:v>
      </x:c>
      <x:c r="B1" s="290"/>
      <x:c r="C1" s="290"/>
      <x:c r="D1" s="290"/>
      <x:c r="E1" s="290"/>
      <x:c r="F1" s="290"/>
      <x:c r="G1" s="290"/>
      <x:c r="H1" s="291" t="s">
        <x:v>53</x:v>
      </x:c>
      <x:c r="I1" s="290"/>
      <x:c r="J1" s="290"/>
      <x:c r="K1" s="290"/>
      <x:c r="L1" s="290"/>
      <x:c r="M1" s="290"/>
      <x:c r="N1" s="291" t="s">
        <x:v>57</x:v>
      </x:c>
      <x:c r="O1" s="290"/>
      <x:c r="P1" s="290"/>
      <x:c r="Q1" s="290"/>
      <x:c r="R1" s="290"/>
      <x:c r="S1" s="290"/>
      <x:c r="T1" s="291" t="s">
        <x:v>198</x:v>
      </x:c>
      <x:c r="U1" s="290"/>
      <x:c r="V1" s="290"/>
      <x:c r="W1" s="290"/>
      <x:c r="X1" s="290"/>
      <x:c r="Y1" s="290"/>
      <x:c r="Z1" s="291" t="str">
        <x:v>Core</x:v>
      </x:c>
      <x:c r="AA1" s="290"/>
      <x:c r="AB1" s="291" t="str"/>
      <x:c r="AC1" s="290"/>
      <x:c r="AD1" s="290"/>
      <x:c r="AE1" s="290"/>
    </x:row>
    <x:row r="2" ht="30" hidden="0" customHeight="1">
      <x:c r="A2" s="239" t="s">
        <x:v>199</x:v>
      </x:c>
      <x:c r="B2" s="239" t="s">
        <x:v>200</x:v>
      </x:c>
      <x:c r="C2" s="239" t="s">
        <x:v>0</x:v>
      </x:c>
      <x:c r="D2" s="239" t="s">
        <x:v>201</x:v>
      </x:c>
      <x:c r="E2" s="239" t="s">
        <x:v>202</x:v>
      </x:c>
      <x:c r="F2" s="239" t="s">
        <x:v>203</x:v>
      </x:c>
      <x:c r="G2" s="239" t="s">
        <x:v>204</x:v>
      </x:c>
      <x:c r="H2" s="242" t="s">
        <x:v>205</x:v>
      </x:c>
      <x:c r="I2" s="240" t="n">
        <x:v>1</x:v>
      </x:c>
      <x:c r="J2" s="240" t="n">
        <x:v>2</x:v>
      </x:c>
      <x:c r="K2" s="240" t="n">
        <x:v>3</x:v>
      </x:c>
      <x:c r="L2" s="240" t="n">
        <x:v>4</x:v>
      </x:c>
      <x:c r="M2" s="240" t="n">
        <x:v>5</x:v>
      </x:c>
      <x:c r="N2" s="242" t="s">
        <x:v>205</x:v>
      </x:c>
      <x:c r="O2" s="240" t="n">
        <x:v>1</x:v>
      </x:c>
      <x:c r="P2" s="240" t="n">
        <x:v>2</x:v>
      </x:c>
      <x:c r="Q2" s="240" t="n">
        <x:v>3</x:v>
      </x:c>
      <x:c r="R2" s="240" t="n">
        <x:v>4</x:v>
      </x:c>
      <x:c r="S2" s="240" t="n">
        <x:v>5</x:v>
      </x:c>
      <x:c r="T2" s="242" t="s">
        <x:v>205</x:v>
      </x:c>
      <x:c r="U2" s="240" t="n">
        <x:v>1</x:v>
      </x:c>
      <x:c r="V2" s="240" t="n">
        <x:v>2</x:v>
      </x:c>
      <x:c r="W2" s="240" t="n">
        <x:v>3</x:v>
      </x:c>
      <x:c r="X2" s="240" t="n">
        <x:v>4</x:v>
      </x:c>
      <x:c r="Y2" s="240" t="n">
        <x:v>5</x:v>
      </x:c>
      <x:c r="Z2" s="242" t="str">
        <x:v>Done</x:v>
      </x:c>
      <x:c r="AA2" s="240" t="str">
        <x:v>Rounds</x:v>
      </x:c>
      <x:c r="AB2" s="242" t="str">
        <x:v>Notes</x:v>
      </x:c>
      <x:c r="AC2" s="240" t="str">
        <x:v>Muscle-up result</x:v>
      </x:c>
      <x:c r="AD2" s="240" t="str">
        <x:v>HSPU result</x:v>
      </x:c>
      <x:c r="AE2" s="240" t="str">
        <x:v>Pistol result</x:v>
      </x:c>
    </x:row>
    <x:row r="3" ht="88" hidden="0" customHeight="1">
      <x:c r="A3" s="228" t="n">
        <x:f aca="0">Strategy!$E$3+0</x:f>
        <x:v>46321.5</x:v>
      </x:c>
      <x:c r="B3" s="229" t="s">
        <x:v>53</x:v>
      </x:c>
      <x:c r="C3" s="289" t="str">
        <x:f aca="0">SUBSTITUTE(SUBSTITUTE(SUBSTITUTE("35 min skills"&amp;CHAR(10)&amp;Strategy!H21,", B)",CHAR(10)&amp;"B)"),", C)",CHAR(10)&amp;"C)"),", Core:",CHAR(10)&amp;"Core:")</x:f>
        <x:v>35 min skills
A) Scapular pull-up: 3 x 5
B) High pull (chest-to-bar intent): 3 x 3
C) Box pistol: 3 x 5/leg
Core: 5 rounds</x:v>
      </x:c>
      <x:c r="D3" s="229" t="s">
        <x:v>206</x:v>
      </x:c>
      <x:c r="E3" s="229" t="n">
        <x:v>65</x:v>
      </x:c>
      <x:c r="F3" s="256"/>
      <x:c r="G3" s="256" t="s">
        <x:v>207</x:v>
      </x:c>
      <x:c r="H3" s="258" t="b">
        <x:f aca="0">FALSE()</x:f>
        <x:v>0</x:v>
      </x:c>
      <x:c r="I3" s="259" t="n">
        <x:v>5</x:v>
      </x:c>
      <x:c r="J3" s="259" t="n">
        <x:v>5</x:v>
      </x:c>
      <x:c r="K3" s="259" t="n">
        <x:v>5</x:v>
      </x:c>
      <x:c r="L3" s="260"/>
      <x:c r="M3" s="260"/>
      <x:c r="N3" s="258" t="b">
        <x:f aca="0">FALSE()</x:f>
        <x:v>0</x:v>
      </x:c>
      <x:c r="O3" s="259" t="n">
        <x:v>3</x:v>
      </x:c>
      <x:c r="P3" s="259" t="n">
        <x:v>3</x:v>
      </x:c>
      <x:c r="Q3" s="259" t="n">
        <x:v>3</x:v>
      </x:c>
      <x:c r="R3" s="260"/>
      <x:c r="S3" s="260"/>
      <x:c r="T3" s="258" t="b">
        <x:f aca="0">FALSE()</x:f>
        <x:v>0</x:v>
      </x:c>
      <x:c r="U3" s="259" t="n">
        <x:v>5</x:v>
      </x:c>
      <x:c r="V3" s="259" t="n">
        <x:v>5</x:v>
      </x:c>
      <x:c r="W3" s="259" t="n">
        <x:v>5</x:v>
      </x:c>
      <x:c r="X3" s="260"/>
      <x:c r="Y3" s="260"/>
      <x:c r="Z3" s="261" t="b">
        <x:v>0</x:v>
      </x:c>
      <x:c r="AA3" s="259" t="n">
        <x:v>5</x:v>
      </x:c>
      <x:c r="AB3" s="262"/>
      <x:c r="AC3" s="287"/>
      <x:c r="AD3" s="287"/>
      <x:c r="AE3" s="287"/>
    </x:row>
    <x:row r="4" ht="88" hidden="0" customHeight="1">
      <x:c r="A4" s="223" t="n">
        <x:f aca="0">Strategy!$E$3+1</x:f>
        <x:v>46322.5</x:v>
      </x:c>
      <x:c r="B4" s="224" t="s">
        <x:v>61</x:v>
      </x:c>
      <x:c r="C4" s="224" t="s">
        <x:v>208</x:v>
      </x:c>
      <x:c r="D4" s="224" t="s">
        <x:v>209</x:v>
      </x:c>
      <x:c r="E4" s="224" t="n">
        <x:v>10</x:v>
      </x:c>
      <x:c r="F4" s="257"/>
      <x:c r="G4" s="257" t="s">
        <x:v>207</x:v>
      </x:c>
      <x:c r="H4" s="263" t="b">
        <x:f aca="0">FALSE()</x:f>
        <x:v>0</x:v>
      </x:c>
      <x:c r="I4" s="264" t="n">
        <x:v>0.001388888888888889</x:v>
      </x:c>
      <x:c r="J4" s="265"/>
      <x:c r="K4" s="265"/>
      <x:c r="L4" s="265"/>
      <x:c r="M4" s="265"/>
      <x:c r="N4" s="263" t="b">
        <x:f aca="0">FALSE()</x:f>
        <x:v>0</x:v>
      </x:c>
      <x:c r="O4" s="264" t="n">
        <x:v>0.00017361111111111112</x:v>
      </x:c>
      <x:c r="P4" s="264" t="n">
        <x:v>0.00017361111111111112</x:v>
      </x:c>
      <x:c r="Q4" s="264" t="n">
        <x:v>0.00017361111111111112</x:v>
      </x:c>
      <x:c r="R4" s="265"/>
      <x:c r="S4" s="265"/>
      <x:c r="T4" s="263" t="b">
        <x:f aca="0">FALSE()</x:f>
        <x:v>0</x:v>
      </x:c>
      <x:c r="U4" s="264" t="n">
        <x:v>0.00017361111111111112</x:v>
      </x:c>
      <x:c r="V4" s="264" t="n">
        <x:v>0.00017361111111111112</x:v>
      </x:c>
      <x:c r="W4" s="265"/>
      <x:c r="X4" s="265"/>
      <x:c r="Y4" s="265"/>
      <x:c r="Z4" s="266" t="b">
        <x:v>0</x:v>
      </x:c>
      <x:c r="AA4" s="267"/>
      <x:c r="AB4" s="268"/>
      <x:c r="AC4" s="288"/>
      <x:c r="AD4" s="288"/>
      <x:c r="AE4" s="288"/>
    </x:row>
    <x:row r="5" ht="88" hidden="0" customHeight="1">
      <x:c r="A5" s="228" t="n">
        <x:f aca="0">Strategy!$E$3+3</x:f>
        <x:v>46324.5</x:v>
      </x:c>
      <x:c r="B5" s="229" t="s">
        <x:v>57</x:v>
      </x:c>
      <x:c r="C5" s="289" t="str">
        <x:f aca="0">SUBSTITUTE(SUBSTITUTE(SUBSTITUTE("35 min skills"&amp;CHAR(10)&amp;Strategy!I21,", B)",CHAR(10)&amp;"B)"),", C)",CHAR(10)&amp;"C)"),", Core:",CHAR(10)&amp;"Core:")</x:f>
        <x:v>35 min skills
A) Chest-to-wall handstand: 3 x 20 sec
B) Pike push-up: 3 x 5
C) Box pistol: 3 x 5/leg
Core: 5 rounds</x:v>
      </x:c>
      <x:c r="D5" s="229" t="s">
        <x:v>210</x:v>
      </x:c>
      <x:c r="E5" s="229" t="n">
        <x:v>65</x:v>
      </x:c>
      <x:c r="F5" s="256"/>
      <x:c r="G5" s="256" t="s">
        <x:v>207</x:v>
      </x:c>
      <x:c r="H5" s="258" t="b">
        <x:f aca="0">FALSE()</x:f>
        <x:v>0</x:v>
      </x:c>
      <x:c r="I5" s="269" t="n">
        <x:v>0.0002314814814814815</x:v>
      </x:c>
      <x:c r="J5" s="269" t="n">
        <x:v>0.0002314814814814815</x:v>
      </x:c>
      <x:c r="K5" s="269" t="n">
        <x:v>0.0002314814814814815</x:v>
      </x:c>
      <x:c r="L5" s="260"/>
      <x:c r="M5" s="260"/>
      <x:c r="N5" s="258" t="b">
        <x:f aca="0">FALSE()</x:f>
        <x:v>0</x:v>
      </x:c>
      <x:c r="O5" s="259" t="n">
        <x:v>5</x:v>
      </x:c>
      <x:c r="P5" s="259" t="n">
        <x:v>5</x:v>
      </x:c>
      <x:c r="Q5" s="259" t="n">
        <x:v>5</x:v>
      </x:c>
      <x:c r="R5" s="260"/>
      <x:c r="S5" s="260"/>
      <x:c r="T5" s="258" t="b">
        <x:f aca="0">FALSE()</x:f>
        <x:v>0</x:v>
      </x:c>
      <x:c r="U5" s="259" t="n">
        <x:v>5</x:v>
      </x:c>
      <x:c r="V5" s="259" t="n">
        <x:v>5</x:v>
      </x:c>
      <x:c r="W5" s="259" t="n">
        <x:v>5</x:v>
      </x:c>
      <x:c r="X5" s="260"/>
      <x:c r="Y5" s="260"/>
      <x:c r="Z5" s="261" t="b">
        <x:v>0</x:v>
      </x:c>
      <x:c r="AA5" s="259" t="n">
        <x:v>5</x:v>
      </x:c>
      <x:c r="AB5" s="262"/>
      <x:c r="AC5" s="287"/>
      <x:c r="AD5" s="287"/>
      <x:c r="AE5" s="287"/>
    </x:row>
    <x:row r="6" ht="88" hidden="0" customHeight="1">
      <x:c r="A6" s="223" t="n">
        <x:f aca="0">Strategy!$E$3+5</x:f>
        <x:v>46326.5</x:v>
      </x:c>
      <x:c r="B6" s="224" t="s">
        <x:v>61</x:v>
      </x:c>
      <x:c r="C6" s="224" t="s">
        <x:v>211</x:v>
      </x:c>
      <x:c r="D6" s="224" t="s">
        <x:v>212</x:v>
      </x:c>
      <x:c r="E6" s="224" t="n">
        <x:v>20</x:v>
      </x:c>
      <x:c r="F6" s="257"/>
      <x:c r="G6" s="257" t="s">
        <x:v>207</x:v>
      </x:c>
      <x:c r="H6" s="263" t="b">
        <x:f aca="0">FALSE()</x:f>
        <x:v>0</x:v>
      </x:c>
      <x:c r="I6" s="264" t="n">
        <x:v>0.001388888888888889</x:v>
      </x:c>
      <x:c r="J6" s="265"/>
      <x:c r="K6" s="265"/>
      <x:c r="L6" s="265"/>
      <x:c r="M6" s="265"/>
      <x:c r="N6" s="263" t="b">
        <x:f aca="0">FALSE()</x:f>
        <x:v>0</x:v>
      </x:c>
      <x:c r="O6" s="264" t="n">
        <x:v>0.00017361111111111112</x:v>
      </x:c>
      <x:c r="P6" s="264" t="n">
        <x:v>0.00017361111111111112</x:v>
      </x:c>
      <x:c r="Q6" s="264" t="n">
        <x:v>0.00017361111111111112</x:v>
      </x:c>
      <x:c r="R6" s="265"/>
      <x:c r="S6" s="265"/>
      <x:c r="T6" s="263" t="b">
        <x:f aca="0">FALSE()</x:f>
        <x:v>0</x:v>
      </x:c>
      <x:c r="U6" s="264" t="n">
        <x:v>0.00017361111111111112</x:v>
      </x:c>
      <x:c r="V6" s="264" t="n">
        <x:v>0.00017361111111111112</x:v>
      </x:c>
      <x:c r="W6" s="264" t="n">
        <x:v>0.00017361111111111112</x:v>
      </x:c>
      <x:c r="X6" s="265"/>
      <x:c r="Y6" s="265"/>
      <x:c r="Z6" s="266" t="b">
        <x:v>0</x:v>
      </x:c>
      <x:c r="AA6" s="267"/>
      <x:c r="AB6" s="268"/>
      <x:c r="AC6" s="288"/>
      <x:c r="AD6" s="288"/>
      <x:c r="AE6" s="288"/>
    </x:row>
    <x:row r="7" ht="88" hidden="0" customHeight="1">
      <x:c r="A7" s="228" t="n">
        <x:f aca="0">Strategy!$E$3+7</x:f>
        <x:v>46328.5</x:v>
      </x:c>
      <x:c r="B7" s="229" t="s">
        <x:v>53</x:v>
      </x:c>
      <x:c r="C7" s="289" t="str">
        <x:f aca="0">SUBSTITUTE(SUBSTITUTE(SUBSTITUTE("35 min skills"&amp;CHAR(10)&amp;Strategy!H22,", B)",CHAR(10)&amp;"B)"),", C)",CHAR(10)&amp;"C)"),", Core:",CHAR(10)&amp;"Core:")</x:f>
        <x:v>35 min skills
A) Band transition drill: 3 x 3
B) High pull: 3 x 3
C) Lower-box pistol with counterweight: 3 x 4/leg
Core: 5 rounds</x:v>
      </x:c>
      <x:c r="D7" s="229" t="s">
        <x:v>206</x:v>
      </x:c>
      <x:c r="E7" s="229" t="n">
        <x:v>65</x:v>
      </x:c>
      <x:c r="F7" s="256"/>
      <x:c r="G7" s="256" t="s">
        <x:v>207</x:v>
      </x:c>
      <x:c r="H7" s="258" t="b">
        <x:f aca="0">FALSE()</x:f>
        <x:v>0</x:v>
      </x:c>
      <x:c r="I7" s="259" t="n">
        <x:v>3</x:v>
      </x:c>
      <x:c r="J7" s="259" t="n">
        <x:v>3</x:v>
      </x:c>
      <x:c r="K7" s="259" t="n">
        <x:v>3</x:v>
      </x:c>
      <x:c r="L7" s="260"/>
      <x:c r="M7" s="260"/>
      <x:c r="N7" s="258" t="b">
        <x:f aca="0">FALSE()</x:f>
        <x:v>0</x:v>
      </x:c>
      <x:c r="O7" s="259" t="n">
        <x:v>3</x:v>
      </x:c>
      <x:c r="P7" s="259" t="n">
        <x:v>3</x:v>
      </x:c>
      <x:c r="Q7" s="259" t="n">
        <x:v>3</x:v>
      </x:c>
      <x:c r="R7" s="260"/>
      <x:c r="S7" s="260"/>
      <x:c r="T7" s="258" t="b">
        <x:f aca="0">FALSE()</x:f>
        <x:v>0</x:v>
      </x:c>
      <x:c r="U7" s="259" t="n">
        <x:v>4</x:v>
      </x:c>
      <x:c r="V7" s="259" t="n">
        <x:v>4</x:v>
      </x:c>
      <x:c r="W7" s="259" t="n">
        <x:v>4</x:v>
      </x:c>
      <x:c r="X7" s="260"/>
      <x:c r="Y7" s="260"/>
      <x:c r="Z7" s="261" t="b">
        <x:v>0</x:v>
      </x:c>
      <x:c r="AA7" s="259" t="n">
        <x:v>5</x:v>
      </x:c>
      <x:c r="AB7" s="262"/>
      <x:c r="AC7" s="287"/>
      <x:c r="AD7" s="287"/>
      <x:c r="AE7" s="287"/>
    </x:row>
    <x:row r="8" ht="88" hidden="0" customHeight="1">
      <x:c r="A8" s="223" t="n">
        <x:f aca="0">Strategy!$E$3+8</x:f>
        <x:v>46329.5</x:v>
      </x:c>
      <x:c r="B8" s="224" t="s">
        <x:v>61</x:v>
      </x:c>
      <x:c r="C8" s="224" t="s">
        <x:v>208</x:v>
      </x:c>
      <x:c r="D8" s="224" t="s">
        <x:v>209</x:v>
      </x:c>
      <x:c r="E8" s="224" t="n">
        <x:v>10</x:v>
      </x:c>
      <x:c r="F8" s="257"/>
      <x:c r="G8" s="257" t="s">
        <x:v>207</x:v>
      </x:c>
      <x:c r="H8" s="263" t="b">
        <x:f aca="0">FALSE()</x:f>
        <x:v>0</x:v>
      </x:c>
      <x:c r="I8" s="264" t="n">
        <x:v>0.001388888888888889</x:v>
      </x:c>
      <x:c r="J8" s="265"/>
      <x:c r="K8" s="265"/>
      <x:c r="L8" s="265"/>
      <x:c r="M8" s="265"/>
      <x:c r="N8" s="263" t="b">
        <x:f aca="0">FALSE()</x:f>
        <x:v>0</x:v>
      </x:c>
      <x:c r="O8" s="264" t="n">
        <x:v>0.00017361111111111112</x:v>
      </x:c>
      <x:c r="P8" s="264" t="n">
        <x:v>0.00017361111111111112</x:v>
      </x:c>
      <x:c r="Q8" s="264" t="n">
        <x:v>0.00017361111111111112</x:v>
      </x:c>
      <x:c r="R8" s="265"/>
      <x:c r="S8" s="265"/>
      <x:c r="T8" s="263" t="b">
        <x:f aca="0">FALSE()</x:f>
        <x:v>0</x:v>
      </x:c>
      <x:c r="U8" s="264" t="n">
        <x:v>0.00017361111111111112</x:v>
      </x:c>
      <x:c r="V8" s="264" t="n">
        <x:v>0.00017361111111111112</x:v>
      </x:c>
      <x:c r="W8" s="265"/>
      <x:c r="X8" s="265"/>
      <x:c r="Y8" s="265"/>
      <x:c r="Z8" s="266" t="b">
        <x:v>0</x:v>
      </x:c>
      <x:c r="AA8" s="267"/>
      <x:c r="AB8" s="268"/>
      <x:c r="AC8" s="288"/>
      <x:c r="AD8" s="288"/>
      <x:c r="AE8" s="288"/>
    </x:row>
    <x:row r="9" ht="88" hidden="0" customHeight="1">
      <x:c r="A9" s="228" t="n">
        <x:f aca="0">Strategy!$E$3+10</x:f>
        <x:v>46331.5</x:v>
      </x:c>
      <x:c r="B9" s="229" t="s">
        <x:v>57</x:v>
      </x:c>
      <x:c r="C9" s="289" t="str">
        <x:f aca="0">SUBSTITUTE(SUBSTITUTE(SUBSTITUTE("35 min skills"&amp;CHAR(10)&amp;Strategy!I22,", B)",CHAR(10)&amp;"B)"),", C)",CHAR(10)&amp;"C)"),", Core:",CHAR(10)&amp;"Core:")</x:f>
        <x:v>35 min skills
A) Wall handstand: 3 x 25 sec
B) Elevated pike push-up: 3 x 4
C) Lower-box pistol with counterweight: 3 x 4/leg
Core: 5 rounds</x:v>
      </x:c>
      <x:c r="D9" s="229" t="s">
        <x:v>210</x:v>
      </x:c>
      <x:c r="E9" s="229" t="n">
        <x:v>65</x:v>
      </x:c>
      <x:c r="F9" s="256"/>
      <x:c r="G9" s="256" t="s">
        <x:v>207</x:v>
      </x:c>
      <x:c r="H9" s="258" t="b">
        <x:f aca="0">FALSE()</x:f>
        <x:v>0</x:v>
      </x:c>
      <x:c r="I9" s="269" t="n">
        <x:v>0.00028935185185185184</x:v>
      </x:c>
      <x:c r="J9" s="269" t="n">
        <x:v>0.00028935185185185184</x:v>
      </x:c>
      <x:c r="K9" s="269" t="n">
        <x:v>0.00028935185185185184</x:v>
      </x:c>
      <x:c r="L9" s="260"/>
      <x:c r="M9" s="260"/>
      <x:c r="N9" s="258" t="b">
        <x:f aca="0">FALSE()</x:f>
        <x:v>0</x:v>
      </x:c>
      <x:c r="O9" s="259" t="n">
        <x:v>4</x:v>
      </x:c>
      <x:c r="P9" s="259" t="n">
        <x:v>4</x:v>
      </x:c>
      <x:c r="Q9" s="259" t="n">
        <x:v>4</x:v>
      </x:c>
      <x:c r="R9" s="260"/>
      <x:c r="S9" s="260"/>
      <x:c r="T9" s="258" t="b">
        <x:f aca="0">FALSE()</x:f>
        <x:v>0</x:v>
      </x:c>
      <x:c r="U9" s="259" t="n">
        <x:v>4</x:v>
      </x:c>
      <x:c r="V9" s="259" t="n">
        <x:v>4</x:v>
      </x:c>
      <x:c r="W9" s="259" t="n">
        <x:v>4</x:v>
      </x:c>
      <x:c r="X9" s="260"/>
      <x:c r="Y9" s="260"/>
      <x:c r="Z9" s="261" t="b">
        <x:v>0</x:v>
      </x:c>
      <x:c r="AA9" s="259" t="n">
        <x:v>5</x:v>
      </x:c>
      <x:c r="AB9" s="262"/>
      <x:c r="AC9" s="287"/>
      <x:c r="AD9" s="287"/>
      <x:c r="AE9" s="287"/>
    </x:row>
    <x:row r="10" ht="88" hidden="0" customHeight="1">
      <x:c r="A10" s="223" t="n">
        <x:f aca="0">Strategy!$E$3+12</x:f>
        <x:v>46333.5</x:v>
      </x:c>
      <x:c r="B10" s="224" t="s">
        <x:v>61</x:v>
      </x:c>
      <x:c r="C10" s="224" t="s">
        <x:v>211</x:v>
      </x:c>
      <x:c r="D10" s="224" t="s">
        <x:v>212</x:v>
      </x:c>
      <x:c r="E10" s="224" t="n">
        <x:v>20</x:v>
      </x:c>
      <x:c r="F10" s="257"/>
      <x:c r="G10" s="257" t="s">
        <x:v>207</x:v>
      </x:c>
      <x:c r="H10" s="263" t="b">
        <x:f aca="0">FALSE()</x:f>
        <x:v>0</x:v>
      </x:c>
      <x:c r="I10" s="264" t="n">
        <x:v>0.001388888888888889</x:v>
      </x:c>
      <x:c r="J10" s="265"/>
      <x:c r="K10" s="265"/>
      <x:c r="L10" s="265"/>
      <x:c r="M10" s="265"/>
      <x:c r="N10" s="263" t="b">
        <x:f aca="0">FALSE()</x:f>
        <x:v>0</x:v>
      </x:c>
      <x:c r="O10" s="264" t="n">
        <x:v>0.00017361111111111112</x:v>
      </x:c>
      <x:c r="P10" s="264" t="n">
        <x:v>0.00017361111111111112</x:v>
      </x:c>
      <x:c r="Q10" s="264" t="n">
        <x:v>0.00017361111111111112</x:v>
      </x:c>
      <x:c r="R10" s="265"/>
      <x:c r="S10" s="265"/>
      <x:c r="T10" s="263" t="b">
        <x:f aca="0">FALSE()</x:f>
        <x:v>0</x:v>
      </x:c>
      <x:c r="U10" s="264" t="n">
        <x:v>0.00017361111111111112</x:v>
      </x:c>
      <x:c r="V10" s="264" t="n">
        <x:v>0.00017361111111111112</x:v>
      </x:c>
      <x:c r="W10" s="264" t="n">
        <x:v>0.00017361111111111112</x:v>
      </x:c>
      <x:c r="X10" s="265"/>
      <x:c r="Y10" s="265"/>
      <x:c r="Z10" s="266" t="b">
        <x:v>0</x:v>
      </x:c>
      <x:c r="AA10" s="267"/>
      <x:c r="AB10" s="268"/>
      <x:c r="AC10" s="288"/>
      <x:c r="AD10" s="288"/>
      <x:c r="AE10" s="288"/>
    </x:row>
    <x:row r="11" ht="88" hidden="0" customHeight="1">
      <x:c r="A11" s="228" t="n">
        <x:f aca="0">Strategy!$E$3+14</x:f>
        <x:v>46335.5</x:v>
      </x:c>
      <x:c r="B11" s="229" t="s">
        <x:v>53</x:v>
      </x:c>
      <x:c r="C11" s="289" t="str">
        <x:f aca="0">SUBSTITUTE(SUBSTITUTE(SUBSTITUTE("35 min skills"&amp;CHAR(10)&amp;Strategy!H23,", B)",CHAR(10)&amp;"B)"),", C)",CHAR(10)&amp;"C)"),", Core:",CHAR(10)&amp;"Core:")</x:f>
        <x:v>35 min skills
A) Explosive pull-up: 4 x 2
B) Low-bar transition: 3 x 3
C) Assisted full-depth pistol: 3 x 4/leg
Core: 5 rounds</x:v>
      </x:c>
      <x:c r="D11" s="229" t="s">
        <x:v>206</x:v>
      </x:c>
      <x:c r="E11" s="229" t="n">
        <x:v>65</x:v>
      </x:c>
      <x:c r="F11" s="256"/>
      <x:c r="G11" s="256" t="s">
        <x:v>207</x:v>
      </x:c>
      <x:c r="H11" s="258" t="b">
        <x:f aca="0">FALSE()</x:f>
        <x:v>0</x:v>
      </x:c>
      <x:c r="I11" s="259" t="n">
        <x:v>2</x:v>
      </x:c>
      <x:c r="J11" s="259" t="n">
        <x:v>2</x:v>
      </x:c>
      <x:c r="K11" s="259" t="n">
        <x:v>2</x:v>
      </x:c>
      <x:c r="L11" s="259" t="n">
        <x:v>2</x:v>
      </x:c>
      <x:c r="M11" s="260"/>
      <x:c r="N11" s="258" t="b">
        <x:f aca="0">FALSE()</x:f>
        <x:v>0</x:v>
      </x:c>
      <x:c r="O11" s="259" t="n">
        <x:v>3</x:v>
      </x:c>
      <x:c r="P11" s="259" t="n">
        <x:v>3</x:v>
      </x:c>
      <x:c r="Q11" s="259" t="n">
        <x:v>3</x:v>
      </x:c>
      <x:c r="R11" s="260"/>
      <x:c r="S11" s="260"/>
      <x:c r="T11" s="258" t="b">
        <x:f aca="0">FALSE()</x:f>
        <x:v>0</x:v>
      </x:c>
      <x:c r="U11" s="259" t="n">
        <x:v>4</x:v>
      </x:c>
      <x:c r="V11" s="259" t="n">
        <x:v>4</x:v>
      </x:c>
      <x:c r="W11" s="259" t="n">
        <x:v>4</x:v>
      </x:c>
      <x:c r="X11" s="260"/>
      <x:c r="Y11" s="260"/>
      <x:c r="Z11" s="261" t="b">
        <x:v>0</x:v>
      </x:c>
      <x:c r="AA11" s="259" t="n">
        <x:v>5</x:v>
      </x:c>
      <x:c r="AB11" s="262"/>
      <x:c r="AC11" s="287"/>
      <x:c r="AD11" s="287"/>
      <x:c r="AE11" s="287"/>
    </x:row>
    <x:row r="12" ht="88" hidden="0" customHeight="1">
      <x:c r="A12" s="223" t="n">
        <x:f aca="0">Strategy!$E$3+15</x:f>
        <x:v>46336.5</x:v>
      </x:c>
      <x:c r="B12" s="224" t="s">
        <x:v>61</x:v>
      </x:c>
      <x:c r="C12" s="224" t="s">
        <x:v>208</x:v>
      </x:c>
      <x:c r="D12" s="224" t="s">
        <x:v>209</x:v>
      </x:c>
      <x:c r="E12" s="224" t="n">
        <x:v>10</x:v>
      </x:c>
      <x:c r="F12" s="257"/>
      <x:c r="G12" s="257" t="s">
        <x:v>207</x:v>
      </x:c>
      <x:c r="H12" s="263" t="b">
        <x:f aca="0">FALSE()</x:f>
        <x:v>0</x:v>
      </x:c>
      <x:c r="I12" s="264" t="n">
        <x:v>0.001388888888888889</x:v>
      </x:c>
      <x:c r="J12" s="265"/>
      <x:c r="K12" s="265"/>
      <x:c r="L12" s="265"/>
      <x:c r="M12" s="265"/>
      <x:c r="N12" s="263" t="b">
        <x:f aca="0">FALSE()</x:f>
        <x:v>0</x:v>
      </x:c>
      <x:c r="O12" s="264" t="n">
        <x:v>0.00017361111111111112</x:v>
      </x:c>
      <x:c r="P12" s="264" t="n">
        <x:v>0.00017361111111111112</x:v>
      </x:c>
      <x:c r="Q12" s="264" t="n">
        <x:v>0.00017361111111111112</x:v>
      </x:c>
      <x:c r="R12" s="265"/>
      <x:c r="S12" s="265"/>
      <x:c r="T12" s="263" t="b">
        <x:f aca="0">FALSE()</x:f>
        <x:v>0</x:v>
      </x:c>
      <x:c r="U12" s="264" t="n">
        <x:v>0.00017361111111111112</x:v>
      </x:c>
      <x:c r="V12" s="264" t="n">
        <x:v>0.00017361111111111112</x:v>
      </x:c>
      <x:c r="W12" s="265"/>
      <x:c r="X12" s="265"/>
      <x:c r="Y12" s="265"/>
      <x:c r="Z12" s="266" t="b">
        <x:v>0</x:v>
      </x:c>
      <x:c r="AA12" s="267"/>
      <x:c r="AB12" s="268"/>
      <x:c r="AC12" s="288"/>
      <x:c r="AD12" s="288"/>
      <x:c r="AE12" s="288"/>
    </x:row>
    <x:row r="13" ht="88" hidden="0" customHeight="1">
      <x:c r="A13" s="228" t="n">
        <x:f aca="0">Strategy!$E$3+17</x:f>
        <x:v>46338.5</x:v>
      </x:c>
      <x:c r="B13" s="229" t="s">
        <x:v>57</x:v>
      </x:c>
      <x:c r="C13" s="289" t="str">
        <x:f aca="0">SUBSTITUTE(SUBSTITUTE(SUBSTITUTE("35 min skills"&amp;CHAR(10)&amp;Strategy!I23,", B)",CHAR(10)&amp;"B)"),", C)",CHAR(10)&amp;"C)"),", Core:",CHAR(10)&amp;"Core:")</x:f>
        <x:v>35 min skills
A) Wall HSPU negative: 3 x 2 (lower 3 sec)
B) Pike push-up: 3 x 5
C) Assisted full-depth pistol: 3 x 4/leg
Core: 5 rounds</x:v>
      </x:c>
      <x:c r="D13" s="229" t="s">
        <x:v>210</x:v>
      </x:c>
      <x:c r="E13" s="229" t="n">
        <x:v>65</x:v>
      </x:c>
      <x:c r="F13" s="256"/>
      <x:c r="G13" s="256" t="s">
        <x:v>207</x:v>
      </x:c>
      <x:c r="H13" s="258" t="b">
        <x:f aca="0">FALSE()</x:f>
        <x:v>0</x:v>
      </x:c>
      <x:c r="I13" s="259" t="n">
        <x:v>2</x:v>
      </x:c>
      <x:c r="J13" s="259" t="n">
        <x:v>2</x:v>
      </x:c>
      <x:c r="K13" s="259" t="n">
        <x:v>2</x:v>
      </x:c>
      <x:c r="L13" s="260"/>
      <x:c r="M13" s="260"/>
      <x:c r="N13" s="258" t="b">
        <x:f aca="0">FALSE()</x:f>
        <x:v>0</x:v>
      </x:c>
      <x:c r="O13" s="259" t="n">
        <x:v>5</x:v>
      </x:c>
      <x:c r="P13" s="259" t="n">
        <x:v>5</x:v>
      </x:c>
      <x:c r="Q13" s="259" t="n">
        <x:v>5</x:v>
      </x:c>
      <x:c r="R13" s="260"/>
      <x:c r="S13" s="260"/>
      <x:c r="T13" s="258" t="b">
        <x:f aca="0">FALSE()</x:f>
        <x:v>0</x:v>
      </x:c>
      <x:c r="U13" s="259" t="n">
        <x:v>4</x:v>
      </x:c>
      <x:c r="V13" s="259" t="n">
        <x:v>4</x:v>
      </x:c>
      <x:c r="W13" s="259" t="n">
        <x:v>4</x:v>
      </x:c>
      <x:c r="X13" s="260"/>
      <x:c r="Y13" s="260"/>
      <x:c r="Z13" s="261" t="b">
        <x:v>0</x:v>
      </x:c>
      <x:c r="AA13" s="259" t="n">
        <x:v>5</x:v>
      </x:c>
      <x:c r="AB13" s="262"/>
      <x:c r="AC13" s="287"/>
      <x:c r="AD13" s="287"/>
      <x:c r="AE13" s="287"/>
    </x:row>
    <x:row r="14" ht="88" hidden="0" customHeight="1">
      <x:c r="A14" s="223" t="n">
        <x:f aca="0">Strategy!$E$3+19</x:f>
        <x:v>46340.5</x:v>
      </x:c>
      <x:c r="B14" s="224" t="s">
        <x:v>61</x:v>
      </x:c>
      <x:c r="C14" s="224" t="s">
        <x:v>211</x:v>
      </x:c>
      <x:c r="D14" s="224" t="s">
        <x:v>212</x:v>
      </x:c>
      <x:c r="E14" s="224" t="n">
        <x:v>20</x:v>
      </x:c>
      <x:c r="F14" s="257"/>
      <x:c r="G14" s="257" t="s">
        <x:v>207</x:v>
      </x:c>
      <x:c r="H14" s="263" t="b">
        <x:f aca="0">FALSE()</x:f>
        <x:v>0</x:v>
      </x:c>
      <x:c r="I14" s="264" t="n">
        <x:v>0.001388888888888889</x:v>
      </x:c>
      <x:c r="J14" s="265"/>
      <x:c r="K14" s="265"/>
      <x:c r="L14" s="265"/>
      <x:c r="M14" s="265"/>
      <x:c r="N14" s="263" t="b">
        <x:f aca="0">FALSE()</x:f>
        <x:v>0</x:v>
      </x:c>
      <x:c r="O14" s="264" t="n">
        <x:v>0.00017361111111111112</x:v>
      </x:c>
      <x:c r="P14" s="264" t="n">
        <x:v>0.00017361111111111112</x:v>
      </x:c>
      <x:c r="Q14" s="264" t="n">
        <x:v>0.00017361111111111112</x:v>
      </x:c>
      <x:c r="R14" s="265"/>
      <x:c r="S14" s="265"/>
      <x:c r="T14" s="263" t="b">
        <x:f aca="0">FALSE()</x:f>
        <x:v>0</x:v>
      </x:c>
      <x:c r="U14" s="264" t="n">
        <x:v>0.00017361111111111112</x:v>
      </x:c>
      <x:c r="V14" s="264" t="n">
        <x:v>0.00017361111111111112</x:v>
      </x:c>
      <x:c r="W14" s="264" t="n">
        <x:v>0.00017361111111111112</x:v>
      </x:c>
      <x:c r="X14" s="265"/>
      <x:c r="Y14" s="265"/>
      <x:c r="Z14" s="266" t="b">
        <x:v>0</x:v>
      </x:c>
      <x:c r="AA14" s="267"/>
      <x:c r="AB14" s="268"/>
      <x:c r="AC14" s="288"/>
      <x:c r="AD14" s="288"/>
      <x:c r="AE14" s="288"/>
    </x:row>
    <x:row r="15" ht="88" hidden="0" customHeight="1">
      <x:c r="A15" s="228" t="n">
        <x:f aca="0">Strategy!$E$3+21</x:f>
        <x:v>46342.5</x:v>
      </x:c>
      <x:c r="B15" s="229" t="s">
        <x:v>53</x:v>
      </x:c>
      <x:c r="C15" s="289" t="str">
        <x:f aca="0">SUBSTITUTE(SUBSTITUTE(SUBSTITUTE("10 min skills"&amp;CHAR(10)&amp;Strategy!H24,", B)",CHAR(10)&amp;"B)"),", C)",CHAR(10)&amp;"C)"),", Core:",CHAR(10)&amp;"Core:")</x:f>
        <x:v>10 min skills
A) Easy scapular pull-up: 1 x 5
B) Easy low-bar transition: 1 x 3
C) Assisted pistol: 1 x 3/leg
Core: 3 rounds</x:v>
      </x:c>
      <x:c r="D15" s="229" t="s">
        <x:v>206</x:v>
      </x:c>
      <x:c r="E15" s="229" t="n">
        <x:v>33</x:v>
      </x:c>
      <x:c r="F15" s="256"/>
      <x:c r="G15" s="256" t="s">
        <x:v>207</x:v>
      </x:c>
      <x:c r="H15" s="258" t="b">
        <x:f aca="0">FALSE()</x:f>
        <x:v>0</x:v>
      </x:c>
      <x:c r="I15" s="259" t="n">
        <x:v>5</x:v>
      </x:c>
      <x:c r="J15" s="260"/>
      <x:c r="K15" s="260"/>
      <x:c r="L15" s="260"/>
      <x:c r="M15" s="260"/>
      <x:c r="N15" s="258" t="b">
        <x:f aca="0">FALSE()</x:f>
        <x:v>0</x:v>
      </x:c>
      <x:c r="O15" s="259" t="n">
        <x:v>3</x:v>
      </x:c>
      <x:c r="P15" s="260"/>
      <x:c r="Q15" s="260"/>
      <x:c r="R15" s="260"/>
      <x:c r="S15" s="260"/>
      <x:c r="T15" s="258" t="b">
        <x:f aca="0">FALSE()</x:f>
        <x:v>0</x:v>
      </x:c>
      <x:c r="U15" s="259" t="n">
        <x:v>3</x:v>
      </x:c>
      <x:c r="V15" s="260"/>
      <x:c r="W15" s="260"/>
      <x:c r="X15" s="260"/>
      <x:c r="Y15" s="260"/>
      <x:c r="Z15" s="261" t="b">
        <x:v>0</x:v>
      </x:c>
      <x:c r="AA15" s="259" t="n">
        <x:v>3</x:v>
      </x:c>
      <x:c r="AB15" s="262"/>
      <x:c r="AC15" s="287"/>
      <x:c r="AD15" s="287"/>
      <x:c r="AE15" s="287"/>
    </x:row>
    <x:row r="16" ht="88" hidden="0" customHeight="1">
      <x:c r="A16" s="223" t="n">
        <x:f aca="0">Strategy!$E$3+22</x:f>
        <x:v>46343.5</x:v>
      </x:c>
      <x:c r="B16" s="224" t="s">
        <x:v>61</x:v>
      </x:c>
      <x:c r="C16" s="224" t="s">
        <x:v>213</x:v>
      </x:c>
      <x:c r="D16" s="224" t="s">
        <x:v>209</x:v>
      </x:c>
      <x:c r="E16" s="224" t="n">
        <x:v>5</x:v>
      </x:c>
      <x:c r="F16" s="257"/>
      <x:c r="G16" s="257" t="s">
        <x:v>207</x:v>
      </x:c>
      <x:c r="H16" s="263" t="b">
        <x:f aca="0">FALSE()</x:f>
        <x:v>0</x:v>
      </x:c>
      <x:c r="I16" s="264" t="n">
        <x:v>0.0006944444444444445</x:v>
      </x:c>
      <x:c r="J16" s="265"/>
      <x:c r="K16" s="265"/>
      <x:c r="L16" s="265"/>
      <x:c r="M16" s="265"/>
      <x:c r="N16" s="263" t="b">
        <x:f aca="0">FALSE()</x:f>
        <x:v>0</x:v>
      </x:c>
      <x:c r="O16" s="264" t="n">
        <x:v>0.00011574074074074075</x:v>
      </x:c>
      <x:c r="P16" s="264" t="n">
        <x:v>0.00011574074074074075</x:v>
      </x:c>
      <x:c r="Q16" s="265"/>
      <x:c r="R16" s="265"/>
      <x:c r="S16" s="265"/>
      <x:c r="T16" s="263" t="b">
        <x:f aca="0">FALSE()</x:f>
        <x:v>0</x:v>
      </x:c>
      <x:c r="U16" s="264" t="n">
        <x:v>0.00011574074074074075</x:v>
      </x:c>
      <x:c r="V16" s="265"/>
      <x:c r="W16" s="265"/>
      <x:c r="X16" s="265"/>
      <x:c r="Y16" s="265"/>
      <x:c r="Z16" s="266" t="b">
        <x:v>0</x:v>
      </x:c>
      <x:c r="AA16" s="267"/>
      <x:c r="AB16" s="268"/>
      <x:c r="AC16" s="288"/>
      <x:c r="AD16" s="288"/>
      <x:c r="AE16" s="288"/>
    </x:row>
    <x:row r="17" ht="88" hidden="0" customHeight="1">
      <x:c r="A17" s="228" t="n">
        <x:f aca="0">Strategy!$E$3+24</x:f>
        <x:v>46345.5</x:v>
      </x:c>
      <x:c r="B17" s="229" t="s">
        <x:v>57</x:v>
      </x:c>
      <x:c r="C17" s="289" t="str">
        <x:f aca="0">SUBSTITUTE(SUBSTITUTE(SUBSTITUTE("10 min skills"&amp;CHAR(10)&amp;Strategy!I24,", B)",CHAR(10)&amp;"B)"),", C)",CHAR(10)&amp;"C)"),", Core:",CHAR(10)&amp;"Core:")</x:f>
        <x:v>10 min skills
A) Easy wall handstand: 1 x 15 sec
B) Gentle wrist/shoulder mobility: 2 min
C) Assisted pistol: 1 x 3/leg
Core: 3 rounds</x:v>
      </x:c>
      <x:c r="D17" s="229" t="s">
        <x:v>214</x:v>
      </x:c>
      <x:c r="E17" s="229" t="n">
        <x:v>33</x:v>
      </x:c>
      <x:c r="F17" s="256"/>
      <x:c r="G17" s="256" t="s">
        <x:v>207</x:v>
      </x:c>
      <x:c r="H17" s="258" t="b">
        <x:f aca="0">FALSE()</x:f>
        <x:v>0</x:v>
      </x:c>
      <x:c r="I17" s="269" t="n">
        <x:v>0.00017361111111111112</x:v>
      </x:c>
      <x:c r="J17" s="260"/>
      <x:c r="K17" s="260"/>
      <x:c r="L17" s="260"/>
      <x:c r="M17" s="260"/>
      <x:c r="N17" s="258" t="b">
        <x:f aca="0">FALSE()</x:f>
        <x:v>0</x:v>
      </x:c>
      <x:c r="O17" s="269" t="n">
        <x:v>0.001388888888888889</x:v>
      </x:c>
      <x:c r="P17" s="260"/>
      <x:c r="Q17" s="260"/>
      <x:c r="R17" s="260"/>
      <x:c r="S17" s="260"/>
      <x:c r="T17" s="258" t="b">
        <x:f aca="0">FALSE()</x:f>
        <x:v>0</x:v>
      </x:c>
      <x:c r="U17" s="259" t="n">
        <x:v>3</x:v>
      </x:c>
      <x:c r="V17" s="260"/>
      <x:c r="W17" s="260"/>
      <x:c r="X17" s="260"/>
      <x:c r="Y17" s="260"/>
      <x:c r="Z17" s="261" t="b">
        <x:v>0</x:v>
      </x:c>
      <x:c r="AA17" s="259" t="n">
        <x:v>3</x:v>
      </x:c>
      <x:c r="AB17" s="262"/>
      <x:c r="AC17" s="287"/>
      <x:c r="AD17" s="287"/>
      <x:c r="AE17" s="287"/>
    </x:row>
    <x:row r="18" ht="88" hidden="0" customHeight="1">
      <x:c r="A18" s="223" t="n">
        <x:f aca="0">Strategy!$E$3+26</x:f>
        <x:v>46347.5</x:v>
      </x:c>
      <x:c r="B18" s="224" t="s">
        <x:v>61</x:v>
      </x:c>
      <x:c r="C18" s="224" t="s">
        <x:v>215</x:v>
      </x:c>
      <x:c r="D18" s="224" t="s">
        <x:v>212</x:v>
      </x:c>
      <x:c r="E18" s="224" t="n">
        <x:v>10</x:v>
      </x:c>
      <x:c r="F18" s="257"/>
      <x:c r="G18" s="257" t="s">
        <x:v>207</x:v>
      </x:c>
      <x:c r="H18" s="263" t="b">
        <x:f aca="0">FALSE()</x:f>
        <x:v>0</x:v>
      </x:c>
      <x:c r="I18" s="264" t="n">
        <x:v>0.0006944444444444445</x:v>
      </x:c>
      <x:c r="J18" s="265"/>
      <x:c r="K18" s="265"/>
      <x:c r="L18" s="265"/>
      <x:c r="M18" s="265"/>
      <x:c r="N18" s="263" t="b">
        <x:f aca="0">FALSE()</x:f>
        <x:v>0</x:v>
      </x:c>
      <x:c r="O18" s="264" t="n">
        <x:v>0.00011574074074074075</x:v>
      </x:c>
      <x:c r="P18" s="264" t="n">
        <x:v>0.00011574074074074075</x:v>
      </x:c>
      <x:c r="Q18" s="265"/>
      <x:c r="R18" s="265"/>
      <x:c r="S18" s="265"/>
      <x:c r="T18" s="263" t="b">
        <x:f aca="0">FALSE()</x:f>
        <x:v>0</x:v>
      </x:c>
      <x:c r="U18" s="264" t="n">
        <x:v>0.00011574074074074075</x:v>
      </x:c>
      <x:c r="V18" s="265"/>
      <x:c r="W18" s="265"/>
      <x:c r="X18" s="265"/>
      <x:c r="Y18" s="265"/>
      <x:c r="Z18" s="266" t="b">
        <x:v>0</x:v>
      </x:c>
      <x:c r="AA18" s="267"/>
      <x:c r="AB18" s="268"/>
      <x:c r="AC18" s="288"/>
      <x:c r="AD18" s="288"/>
      <x:c r="AE18" s="288"/>
    </x:row>
    <x:row r="19" ht="88" hidden="0" customHeight="1">
      <x:c r="A19" s="228" t="n">
        <x:f aca="0">Strategy!$E$3+28</x:f>
        <x:v>46349.5</x:v>
      </x:c>
      <x:c r="B19" s="229" t="s">
        <x:v>53</x:v>
      </x:c>
      <x:c r="C19" s="289" t="str">
        <x:f aca="0">SUBSTITUTE(SUBSTITUTE(SUBSTITUTE("35 min skills"&amp;CHAR(10)&amp;Strategy!H25,", B)",CHAR(10)&amp;"B)"),", C)",CHAR(10)&amp;"C)"),", Core:",CHAR(10)&amp;"Core:")</x:f>
        <x:v>35 min skills
A) Chest-to-bar pull-up: 3 x 3
B) Band-assisted muscle-up: 4 x 1
C) Counterweight pistol: 3 x 4/leg
Core: 5 rounds</x:v>
      </x:c>
      <x:c r="D19" s="229" t="s">
        <x:v>206</x:v>
      </x:c>
      <x:c r="E19" s="229" t="n">
        <x:v>65</x:v>
      </x:c>
      <x:c r="F19" s="256"/>
      <x:c r="G19" s="256" t="s">
        <x:v>207</x:v>
      </x:c>
      <x:c r="H19" s="258" t="b">
        <x:f aca="0">FALSE()</x:f>
        <x:v>0</x:v>
      </x:c>
      <x:c r="I19" s="259" t="n">
        <x:v>3</x:v>
      </x:c>
      <x:c r="J19" s="259" t="n">
        <x:v>3</x:v>
      </x:c>
      <x:c r="K19" s="259" t="n">
        <x:v>3</x:v>
      </x:c>
      <x:c r="L19" s="260"/>
      <x:c r="M19" s="260"/>
      <x:c r="N19" s="258" t="b">
        <x:f aca="0">FALSE()</x:f>
        <x:v>0</x:v>
      </x:c>
      <x:c r="O19" s="259" t="n">
        <x:v>1</x:v>
      </x:c>
      <x:c r="P19" s="259" t="n">
        <x:v>1</x:v>
      </x:c>
      <x:c r="Q19" s="259" t="n">
        <x:v>1</x:v>
      </x:c>
      <x:c r="R19" s="259" t="n">
        <x:v>1</x:v>
      </x:c>
      <x:c r="S19" s="260"/>
      <x:c r="T19" s="258" t="b">
        <x:f aca="0">FALSE()</x:f>
        <x:v>0</x:v>
      </x:c>
      <x:c r="U19" s="259" t="n">
        <x:v>4</x:v>
      </x:c>
      <x:c r="V19" s="259" t="n">
        <x:v>4</x:v>
      </x:c>
      <x:c r="W19" s="259" t="n">
        <x:v>4</x:v>
      </x:c>
      <x:c r="X19" s="260"/>
      <x:c r="Y19" s="260"/>
      <x:c r="Z19" s="261" t="b">
        <x:v>0</x:v>
      </x:c>
      <x:c r="AA19" s="259" t="n">
        <x:v>5</x:v>
      </x:c>
      <x:c r="AB19" s="262"/>
      <x:c r="AC19" s="287"/>
      <x:c r="AD19" s="287"/>
      <x:c r="AE19" s="287"/>
    </x:row>
    <x:row r="20" ht="88" hidden="0" customHeight="1">
      <x:c r="A20" s="223" t="n">
        <x:f aca="0">Strategy!$E$3+29</x:f>
        <x:v>46350.5</x:v>
      </x:c>
      <x:c r="B20" s="224" t="s">
        <x:v>61</x:v>
      </x:c>
      <x:c r="C20" s="224" t="s">
        <x:v>208</x:v>
      </x:c>
      <x:c r="D20" s="224" t="s">
        <x:v>209</x:v>
      </x:c>
      <x:c r="E20" s="224" t="n">
        <x:v>10</x:v>
      </x:c>
      <x:c r="F20" s="257"/>
      <x:c r="G20" s="257" t="s">
        <x:v>207</x:v>
      </x:c>
      <x:c r="H20" s="263" t="b">
        <x:f aca="0">FALSE()</x:f>
        <x:v>0</x:v>
      </x:c>
      <x:c r="I20" s="264" t="n">
        <x:v>0.001388888888888889</x:v>
      </x:c>
      <x:c r="J20" s="265"/>
      <x:c r="K20" s="265"/>
      <x:c r="L20" s="265"/>
      <x:c r="M20" s="265"/>
      <x:c r="N20" s="263" t="b">
        <x:f aca="0">FALSE()</x:f>
        <x:v>0</x:v>
      </x:c>
      <x:c r="O20" s="264" t="n">
        <x:v>0.00017361111111111112</x:v>
      </x:c>
      <x:c r="P20" s="264" t="n">
        <x:v>0.00017361111111111112</x:v>
      </x:c>
      <x:c r="Q20" s="264" t="n">
        <x:v>0.00017361111111111112</x:v>
      </x:c>
      <x:c r="R20" s="265"/>
      <x:c r="S20" s="265"/>
      <x:c r="T20" s="263" t="b">
        <x:f aca="0">FALSE()</x:f>
        <x:v>0</x:v>
      </x:c>
      <x:c r="U20" s="264" t="n">
        <x:v>0.00017361111111111112</x:v>
      </x:c>
      <x:c r="V20" s="264" t="n">
        <x:v>0.00017361111111111112</x:v>
      </x:c>
      <x:c r="W20" s="265"/>
      <x:c r="X20" s="265"/>
      <x:c r="Y20" s="265"/>
      <x:c r="Z20" s="266" t="b">
        <x:v>0</x:v>
      </x:c>
      <x:c r="AA20" s="267"/>
      <x:c r="AB20" s="268"/>
      <x:c r="AC20" s="288"/>
      <x:c r="AD20" s="288"/>
      <x:c r="AE20" s="288"/>
    </x:row>
    <x:row r="21" ht="88" hidden="0" customHeight="1">
      <x:c r="A21" s="228" t="n">
        <x:f aca="0">Strategy!$E$3+31</x:f>
        <x:v>46352.5</x:v>
      </x:c>
      <x:c r="B21" s="229" t="s">
        <x:v>57</x:v>
      </x:c>
      <x:c r="C21" s="289" t="str">
        <x:f aca="0">SUBSTITUTE(SUBSTITUTE(SUBSTITUTE("35 min skills"&amp;CHAR(10)&amp;Strategy!I25,", B)",CHAR(10)&amp;"B)"),", C)",CHAR(10)&amp;"C)"),", Core:",CHAR(10)&amp;"Core:")</x:f>
        <x:v>35 min skills
A) Deficit pike push-up: 3 x 4
B) Wall HSPU negative: 3 x 2 (lower 3 sec)
C) Counterweight pistol: 3 x 4/leg
Core: 5 rounds</x:v>
      </x:c>
      <x:c r="D21" s="229" t="s">
        <x:v>210</x:v>
      </x:c>
      <x:c r="E21" s="229" t="n">
        <x:v>65</x:v>
      </x:c>
      <x:c r="F21" s="256"/>
      <x:c r="G21" s="256" t="s">
        <x:v>207</x:v>
      </x:c>
      <x:c r="H21" s="258" t="b">
        <x:f aca="0">FALSE()</x:f>
        <x:v>0</x:v>
      </x:c>
      <x:c r="I21" s="259" t="n">
        <x:v>4</x:v>
      </x:c>
      <x:c r="J21" s="259" t="n">
        <x:v>4</x:v>
      </x:c>
      <x:c r="K21" s="259" t="n">
        <x:v>4</x:v>
      </x:c>
      <x:c r="L21" s="260"/>
      <x:c r="M21" s="260"/>
      <x:c r="N21" s="258" t="b">
        <x:f aca="0">FALSE()</x:f>
        <x:v>0</x:v>
      </x:c>
      <x:c r="O21" s="259" t="n">
        <x:v>2</x:v>
      </x:c>
      <x:c r="P21" s="259" t="n">
        <x:v>2</x:v>
      </x:c>
      <x:c r="Q21" s="259" t="n">
        <x:v>2</x:v>
      </x:c>
      <x:c r="R21" s="260"/>
      <x:c r="S21" s="260"/>
      <x:c r="T21" s="258" t="b">
        <x:f aca="0">FALSE()</x:f>
        <x:v>0</x:v>
      </x:c>
      <x:c r="U21" s="259" t="n">
        <x:v>4</x:v>
      </x:c>
      <x:c r="V21" s="259" t="n">
        <x:v>4</x:v>
      </x:c>
      <x:c r="W21" s="259" t="n">
        <x:v>4</x:v>
      </x:c>
      <x:c r="X21" s="260"/>
      <x:c r="Y21" s="260"/>
      <x:c r="Z21" s="261" t="b">
        <x:v>0</x:v>
      </x:c>
      <x:c r="AA21" s="259" t="n">
        <x:v>5</x:v>
      </x:c>
      <x:c r="AB21" s="262"/>
      <x:c r="AC21" s="287"/>
      <x:c r="AD21" s="287"/>
      <x:c r="AE21" s="287"/>
    </x:row>
    <x:row r="22" ht="88" hidden="0" customHeight="1">
      <x:c r="A22" s="223" t="n">
        <x:f aca="0">Strategy!$E$3+33</x:f>
        <x:v>46354.5</x:v>
      </x:c>
      <x:c r="B22" s="224" t="s">
        <x:v>61</x:v>
      </x:c>
      <x:c r="C22" s="224" t="s">
        <x:v>211</x:v>
      </x:c>
      <x:c r="D22" s="224" t="s">
        <x:v>212</x:v>
      </x:c>
      <x:c r="E22" s="224" t="n">
        <x:v>20</x:v>
      </x:c>
      <x:c r="F22" s="257"/>
      <x:c r="G22" s="257" t="s">
        <x:v>207</x:v>
      </x:c>
      <x:c r="H22" s="263" t="b">
        <x:f aca="0">FALSE()</x:f>
        <x:v>0</x:v>
      </x:c>
      <x:c r="I22" s="264" t="n">
        <x:v>0.001388888888888889</x:v>
      </x:c>
      <x:c r="J22" s="265"/>
      <x:c r="K22" s="265"/>
      <x:c r="L22" s="265"/>
      <x:c r="M22" s="265"/>
      <x:c r="N22" s="263" t="b">
        <x:f aca="0">FALSE()</x:f>
        <x:v>0</x:v>
      </x:c>
      <x:c r="O22" s="264" t="n">
        <x:v>0.00017361111111111112</x:v>
      </x:c>
      <x:c r="P22" s="264" t="n">
        <x:v>0.00017361111111111112</x:v>
      </x:c>
      <x:c r="Q22" s="264" t="n">
        <x:v>0.00017361111111111112</x:v>
      </x:c>
      <x:c r="R22" s="265"/>
      <x:c r="S22" s="265"/>
      <x:c r="T22" s="263" t="b">
        <x:f aca="0">FALSE()</x:f>
        <x:v>0</x:v>
      </x:c>
      <x:c r="U22" s="264" t="n">
        <x:v>0.00017361111111111112</x:v>
      </x:c>
      <x:c r="V22" s="264" t="n">
        <x:v>0.00017361111111111112</x:v>
      </x:c>
      <x:c r="W22" s="264" t="n">
        <x:v>0.00017361111111111112</x:v>
      </x:c>
      <x:c r="X22" s="265"/>
      <x:c r="Y22" s="265"/>
      <x:c r="Z22" s="266" t="b">
        <x:v>0</x:v>
      </x:c>
      <x:c r="AA22" s="267"/>
      <x:c r="AB22" s="268"/>
      <x:c r="AC22" s="288"/>
      <x:c r="AD22" s="288"/>
      <x:c r="AE22" s="288"/>
    </x:row>
    <x:row r="23" ht="88" hidden="0" customHeight="1">
      <x:c r="A23" s="228" t="n">
        <x:f aca="0">Strategy!$E$3+35</x:f>
        <x:v>46356.5</x:v>
      </x:c>
      <x:c r="B23" s="229" t="s">
        <x:v>53</x:v>
      </x:c>
      <x:c r="C23" s="289" t="str">
        <x:f aca="0">SUBSTITUTE(SUBSTITUTE(SUBSTITUTE("35 min skills"&amp;CHAR(10)&amp;Strategy!H26,", B)",CHAR(10)&amp;"B)"),", C)",CHAR(10)&amp;"C)"),", Core:",CHAR(10)&amp;"Core:")</x:f>
        <x:v>35 min skills
A) Jumping muscle-up: 3 x 3
B) Low-bar slow transition: 3 x 3
C) Light-counterweight pistol: 3 x 4/leg
Core: 5 rounds</x:v>
      </x:c>
      <x:c r="D23" s="229" t="s">
        <x:v>206</x:v>
      </x:c>
      <x:c r="E23" s="229" t="n">
        <x:v>65</x:v>
      </x:c>
      <x:c r="F23" s="256"/>
      <x:c r="G23" s="256" t="s">
        <x:v>207</x:v>
      </x:c>
      <x:c r="H23" s="258" t="b">
        <x:f aca="0">FALSE()</x:f>
        <x:v>0</x:v>
      </x:c>
      <x:c r="I23" s="259" t="n">
        <x:v>3</x:v>
      </x:c>
      <x:c r="J23" s="259" t="n">
        <x:v>3</x:v>
      </x:c>
      <x:c r="K23" s="259" t="n">
        <x:v>3</x:v>
      </x:c>
      <x:c r="L23" s="260"/>
      <x:c r="M23" s="260"/>
      <x:c r="N23" s="258" t="b">
        <x:f aca="0">FALSE()</x:f>
        <x:v>0</x:v>
      </x:c>
      <x:c r="O23" s="259" t="n">
        <x:v>3</x:v>
      </x:c>
      <x:c r="P23" s="259" t="n">
        <x:v>3</x:v>
      </x:c>
      <x:c r="Q23" s="259" t="n">
        <x:v>3</x:v>
      </x:c>
      <x:c r="R23" s="260"/>
      <x:c r="S23" s="260"/>
      <x:c r="T23" s="258" t="b">
        <x:f aca="0">FALSE()</x:f>
        <x:v>0</x:v>
      </x:c>
      <x:c r="U23" s="259" t="n">
        <x:v>4</x:v>
      </x:c>
      <x:c r="V23" s="259" t="n">
        <x:v>4</x:v>
      </x:c>
      <x:c r="W23" s="259" t="n">
        <x:v>4</x:v>
      </x:c>
      <x:c r="X23" s="260"/>
      <x:c r="Y23" s="260"/>
      <x:c r="Z23" s="261" t="b">
        <x:v>0</x:v>
      </x:c>
      <x:c r="AA23" s="259" t="n">
        <x:v>5</x:v>
      </x:c>
      <x:c r="AB23" s="262"/>
      <x:c r="AC23" s="287"/>
      <x:c r="AD23" s="287"/>
      <x:c r="AE23" s="287"/>
    </x:row>
    <x:row r="24" ht="88" hidden="0" customHeight="1">
      <x:c r="A24" s="223" t="n">
        <x:f aca="0">Strategy!$E$3+36</x:f>
        <x:v>46357.5</x:v>
      </x:c>
      <x:c r="B24" s="224" t="s">
        <x:v>61</x:v>
      </x:c>
      <x:c r="C24" s="224" t="s">
        <x:v>208</x:v>
      </x:c>
      <x:c r="D24" s="224" t="s">
        <x:v>209</x:v>
      </x:c>
      <x:c r="E24" s="224" t="n">
        <x:v>10</x:v>
      </x:c>
      <x:c r="F24" s="257"/>
      <x:c r="G24" s="257" t="s">
        <x:v>207</x:v>
      </x:c>
      <x:c r="H24" s="263" t="b">
        <x:f aca="0">FALSE()</x:f>
        <x:v>0</x:v>
      </x:c>
      <x:c r="I24" s="264" t="n">
        <x:v>0.001388888888888889</x:v>
      </x:c>
      <x:c r="J24" s="265"/>
      <x:c r="K24" s="265"/>
      <x:c r="L24" s="265"/>
      <x:c r="M24" s="265"/>
      <x:c r="N24" s="263" t="b">
        <x:f aca="0">FALSE()</x:f>
        <x:v>0</x:v>
      </x:c>
      <x:c r="O24" s="264" t="n">
        <x:v>0.00017361111111111112</x:v>
      </x:c>
      <x:c r="P24" s="264" t="n">
        <x:v>0.00017361111111111112</x:v>
      </x:c>
      <x:c r="Q24" s="264" t="n">
        <x:v>0.00017361111111111112</x:v>
      </x:c>
      <x:c r="R24" s="265"/>
      <x:c r="S24" s="265"/>
      <x:c r="T24" s="263" t="b">
        <x:f aca="0">FALSE()</x:f>
        <x:v>0</x:v>
      </x:c>
      <x:c r="U24" s="264" t="n">
        <x:v>0.00017361111111111112</x:v>
      </x:c>
      <x:c r="V24" s="264" t="n">
        <x:v>0.00017361111111111112</x:v>
      </x:c>
      <x:c r="W24" s="265"/>
      <x:c r="X24" s="265"/>
      <x:c r="Y24" s="265"/>
      <x:c r="Z24" s="266" t="b">
        <x:v>0</x:v>
      </x:c>
      <x:c r="AA24" s="267"/>
      <x:c r="AB24" s="268"/>
      <x:c r="AC24" s="288"/>
      <x:c r="AD24" s="288"/>
      <x:c r="AE24" s="288"/>
    </x:row>
    <x:row r="25" ht="88" hidden="0" customHeight="1">
      <x:c r="A25" s="228" t="n">
        <x:f aca="0">Strategy!$E$3+38</x:f>
        <x:v>46359.5</x:v>
      </x:c>
      <x:c r="B25" s="229" t="s">
        <x:v>57</x:v>
      </x:c>
      <x:c r="C25" s="289" t="str">
        <x:f aca="0">SUBSTITUTE(SUBSTITUTE(SUBSTITUTE("35 min skills"&amp;CHAR(10)&amp;Strategy!I26,", B)",CHAR(10)&amp;"B)"),", C)",CHAR(10)&amp;"C)"),", Core:",CHAR(10)&amp;"Core:")</x:f>
        <x:v>35 min skills
A) Partial wall HSPU: 3 x 3
B) Wall HSPU negative: 3 x 2 (lower 3 sec)
C) Light-counterweight pistol: 3 x 4/leg
Core: 5 rounds</x:v>
      </x:c>
      <x:c r="D25" s="229" t="s">
        <x:v>210</x:v>
      </x:c>
      <x:c r="E25" s="229" t="n">
        <x:v>65</x:v>
      </x:c>
      <x:c r="F25" s="256"/>
      <x:c r="G25" s="256" t="s">
        <x:v>207</x:v>
      </x:c>
      <x:c r="H25" s="258" t="b">
        <x:f aca="0">FALSE()</x:f>
        <x:v>0</x:v>
      </x:c>
      <x:c r="I25" s="259" t="n">
        <x:v>3</x:v>
      </x:c>
      <x:c r="J25" s="259" t="n">
        <x:v>3</x:v>
      </x:c>
      <x:c r="K25" s="259" t="n">
        <x:v>3</x:v>
      </x:c>
      <x:c r="L25" s="260"/>
      <x:c r="M25" s="260"/>
      <x:c r="N25" s="258" t="b">
        <x:f aca="0">FALSE()</x:f>
        <x:v>0</x:v>
      </x:c>
      <x:c r="O25" s="259" t="n">
        <x:v>2</x:v>
      </x:c>
      <x:c r="P25" s="259" t="n">
        <x:v>2</x:v>
      </x:c>
      <x:c r="Q25" s="259" t="n">
        <x:v>2</x:v>
      </x:c>
      <x:c r="R25" s="260"/>
      <x:c r="S25" s="260"/>
      <x:c r="T25" s="258" t="b">
        <x:f aca="0">FALSE()</x:f>
        <x:v>0</x:v>
      </x:c>
      <x:c r="U25" s="259" t="n">
        <x:v>4</x:v>
      </x:c>
      <x:c r="V25" s="259" t="n">
        <x:v>4</x:v>
      </x:c>
      <x:c r="W25" s="259" t="n">
        <x:v>4</x:v>
      </x:c>
      <x:c r="X25" s="260"/>
      <x:c r="Y25" s="260"/>
      <x:c r="Z25" s="261" t="b">
        <x:v>0</x:v>
      </x:c>
      <x:c r="AA25" s="259" t="n">
        <x:v>5</x:v>
      </x:c>
      <x:c r="AB25" s="262"/>
      <x:c r="AC25" s="287"/>
      <x:c r="AD25" s="287"/>
      <x:c r="AE25" s="287"/>
    </x:row>
    <x:row r="26" ht="88" hidden="0" customHeight="1">
      <x:c r="A26" s="223" t="n">
        <x:f aca="0">Strategy!$E$3+40</x:f>
        <x:v>46361.5</x:v>
      </x:c>
      <x:c r="B26" s="224" t="s">
        <x:v>61</x:v>
      </x:c>
      <x:c r="C26" s="224" t="s">
        <x:v>211</x:v>
      </x:c>
      <x:c r="D26" s="224" t="s">
        <x:v>212</x:v>
      </x:c>
      <x:c r="E26" s="224" t="n">
        <x:v>20</x:v>
      </x:c>
      <x:c r="F26" s="257"/>
      <x:c r="G26" s="257" t="s">
        <x:v>207</x:v>
      </x:c>
      <x:c r="H26" s="263" t="b">
        <x:f aca="0">FALSE()</x:f>
        <x:v>0</x:v>
      </x:c>
      <x:c r="I26" s="264" t="n">
        <x:v>0.001388888888888889</x:v>
      </x:c>
      <x:c r="J26" s="265"/>
      <x:c r="K26" s="265"/>
      <x:c r="L26" s="265"/>
      <x:c r="M26" s="265"/>
      <x:c r="N26" s="263" t="b">
        <x:f aca="0">FALSE()</x:f>
        <x:v>0</x:v>
      </x:c>
      <x:c r="O26" s="264" t="n">
        <x:v>0.00017361111111111112</x:v>
      </x:c>
      <x:c r="P26" s="264" t="n">
        <x:v>0.00017361111111111112</x:v>
      </x:c>
      <x:c r="Q26" s="264" t="n">
        <x:v>0.00017361111111111112</x:v>
      </x:c>
      <x:c r="R26" s="265"/>
      <x:c r="S26" s="265"/>
      <x:c r="T26" s="263" t="b">
        <x:f aca="0">FALSE()</x:f>
        <x:v>0</x:v>
      </x:c>
      <x:c r="U26" s="264" t="n">
        <x:v>0.00017361111111111112</x:v>
      </x:c>
      <x:c r="V26" s="264" t="n">
        <x:v>0.00017361111111111112</x:v>
      </x:c>
      <x:c r="W26" s="264" t="n">
        <x:v>0.00017361111111111112</x:v>
      </x:c>
      <x:c r="X26" s="265"/>
      <x:c r="Y26" s="265"/>
      <x:c r="Z26" s="266" t="b">
        <x:v>0</x:v>
      </x:c>
      <x:c r="AA26" s="267"/>
      <x:c r="AB26" s="268"/>
      <x:c r="AC26" s="288"/>
      <x:c r="AD26" s="288"/>
      <x:c r="AE26" s="288"/>
    </x:row>
    <x:row r="27" ht="88" hidden="0" customHeight="1">
      <x:c r="A27" s="228" t="n">
        <x:f aca="0">Strategy!$E$3+42</x:f>
        <x:v>46363.5</x:v>
      </x:c>
      <x:c r="B27" s="229" t="s">
        <x:v>53</x:v>
      </x:c>
      <x:c r="C27" s="289" t="str">
        <x:f aca="0">SUBSTITUTE(SUBSTITUTE(SUBSTITUTE("35 min skills"&amp;CHAR(10)&amp;Strategy!H27,", B)",CHAR(10)&amp;"B)"),", C)",CHAR(10)&amp;"C)"),", Core:",CHAR(10)&amp;"Core:")</x:f>
        <x:v>35 min skills
A) Light-band muscle-up: 4 x 1
B) Band-assisted transition: 3 x 2
C) Unassisted pistol to target: 3 x 1/leg
Core: 5 rounds</x:v>
      </x:c>
      <x:c r="D27" s="229" t="s">
        <x:v>206</x:v>
      </x:c>
      <x:c r="E27" s="229" t="n">
        <x:v>65</x:v>
      </x:c>
      <x:c r="F27" s="256"/>
      <x:c r="G27" s="256" t="s">
        <x:v>207</x:v>
      </x:c>
      <x:c r="H27" s="258" t="b">
        <x:f aca="0">FALSE()</x:f>
        <x:v>0</x:v>
      </x:c>
      <x:c r="I27" s="259" t="n">
        <x:v>1</x:v>
      </x:c>
      <x:c r="J27" s="259" t="n">
        <x:v>1</x:v>
      </x:c>
      <x:c r="K27" s="259" t="n">
        <x:v>1</x:v>
      </x:c>
      <x:c r="L27" s="259" t="n">
        <x:v>1</x:v>
      </x:c>
      <x:c r="M27" s="260"/>
      <x:c r="N27" s="258" t="b">
        <x:f aca="0">FALSE()</x:f>
        <x:v>0</x:v>
      </x:c>
      <x:c r="O27" s="259" t="n">
        <x:v>2</x:v>
      </x:c>
      <x:c r="P27" s="259" t="n">
        <x:v>2</x:v>
      </x:c>
      <x:c r="Q27" s="259" t="n">
        <x:v>2</x:v>
      </x:c>
      <x:c r="R27" s="260"/>
      <x:c r="S27" s="260"/>
      <x:c r="T27" s="258" t="b">
        <x:f aca="0">FALSE()</x:f>
        <x:v>0</x:v>
      </x:c>
      <x:c r="U27" s="259" t="n">
        <x:v>1</x:v>
      </x:c>
      <x:c r="V27" s="259" t="n">
        <x:v>1</x:v>
      </x:c>
      <x:c r="W27" s="259" t="n">
        <x:v>1</x:v>
      </x:c>
      <x:c r="X27" s="260"/>
      <x:c r="Y27" s="260"/>
      <x:c r="Z27" s="261" t="b">
        <x:v>0</x:v>
      </x:c>
      <x:c r="AA27" s="259" t="n">
        <x:v>5</x:v>
      </x:c>
      <x:c r="AB27" s="262"/>
      <x:c r="AC27" s="287"/>
      <x:c r="AD27" s="287"/>
      <x:c r="AE27" s="287"/>
    </x:row>
    <x:row r="28" ht="88" hidden="0" customHeight="1">
      <x:c r="A28" s="223" t="n">
        <x:f aca="0">Strategy!$E$3+43</x:f>
        <x:v>46364.5</x:v>
      </x:c>
      <x:c r="B28" s="224" t="s">
        <x:v>61</x:v>
      </x:c>
      <x:c r="C28" s="224" t="s">
        <x:v>208</x:v>
      </x:c>
      <x:c r="D28" s="224" t="s">
        <x:v>209</x:v>
      </x:c>
      <x:c r="E28" s="224" t="n">
        <x:v>10</x:v>
      </x:c>
      <x:c r="F28" s="257"/>
      <x:c r="G28" s="257" t="s">
        <x:v>207</x:v>
      </x:c>
      <x:c r="H28" s="263" t="b">
        <x:f aca="0">FALSE()</x:f>
        <x:v>0</x:v>
      </x:c>
      <x:c r="I28" s="264" t="n">
        <x:v>0.001388888888888889</x:v>
      </x:c>
      <x:c r="J28" s="265"/>
      <x:c r="K28" s="265"/>
      <x:c r="L28" s="265"/>
      <x:c r="M28" s="265"/>
      <x:c r="N28" s="263" t="b">
        <x:f aca="0">FALSE()</x:f>
        <x:v>0</x:v>
      </x:c>
      <x:c r="O28" s="264" t="n">
        <x:v>0.00017361111111111112</x:v>
      </x:c>
      <x:c r="P28" s="264" t="n">
        <x:v>0.00017361111111111112</x:v>
      </x:c>
      <x:c r="Q28" s="264" t="n">
        <x:v>0.00017361111111111112</x:v>
      </x:c>
      <x:c r="R28" s="265"/>
      <x:c r="S28" s="265"/>
      <x:c r="T28" s="263" t="b">
        <x:f aca="0">FALSE()</x:f>
        <x:v>0</x:v>
      </x:c>
      <x:c r="U28" s="264" t="n">
        <x:v>0.00017361111111111112</x:v>
      </x:c>
      <x:c r="V28" s="264" t="n">
        <x:v>0.00017361111111111112</x:v>
      </x:c>
      <x:c r="W28" s="265"/>
      <x:c r="X28" s="265"/>
      <x:c r="Y28" s="265"/>
      <x:c r="Z28" s="266" t="b">
        <x:v>0</x:v>
      </x:c>
      <x:c r="AA28" s="267"/>
      <x:c r="AB28" s="268"/>
      <x:c r="AC28" s="288"/>
      <x:c r="AD28" s="288"/>
      <x:c r="AE28" s="288"/>
    </x:row>
    <x:row r="29" ht="88" hidden="0" customHeight="1">
      <x:c r="A29" s="228" t="n">
        <x:f aca="0">Strategy!$E$3+45</x:f>
        <x:v>46366.5</x:v>
      </x:c>
      <x:c r="B29" s="229" t="s">
        <x:v>57</x:v>
      </x:c>
      <x:c r="C29" s="289" t="str">
        <x:f aca="0">SUBSTITUTE(SUBSTITUTE(SUBSTITUTE("35 min skills"&amp;CHAR(10)&amp;Strategy!I27,", B)",CHAR(10)&amp;"B)"),", C)",CHAR(10)&amp;"C)"),", Core:",CHAR(10)&amp;"Core:")</x:f>
        <x:v>35 min skills
A) Deeper wall HSPU: 3 x 2
B) Easy wall handstand: 2 x 20 sec
C) Unassisted pistol to target: 3 x 1/leg
Core: 5 rounds</x:v>
      </x:c>
      <x:c r="D29" s="229" t="s">
        <x:v>210</x:v>
      </x:c>
      <x:c r="E29" s="229" t="n">
        <x:v>65</x:v>
      </x:c>
      <x:c r="F29" s="256"/>
      <x:c r="G29" s="256" t="s">
        <x:v>207</x:v>
      </x:c>
      <x:c r="H29" s="258" t="b">
        <x:f aca="0">FALSE()</x:f>
        <x:v>0</x:v>
      </x:c>
      <x:c r="I29" s="259" t="n">
        <x:v>2</x:v>
      </x:c>
      <x:c r="J29" s="259" t="n">
        <x:v>2</x:v>
      </x:c>
      <x:c r="K29" s="259" t="n">
        <x:v>2</x:v>
      </x:c>
      <x:c r="L29" s="260"/>
      <x:c r="M29" s="260"/>
      <x:c r="N29" s="258" t="b">
        <x:f aca="0">FALSE()</x:f>
        <x:v>0</x:v>
      </x:c>
      <x:c r="O29" s="269" t="n">
        <x:v>0.0002314814814814815</x:v>
      </x:c>
      <x:c r="P29" s="269" t="n">
        <x:v>0.0002314814814814815</x:v>
      </x:c>
      <x:c r="Q29" s="260"/>
      <x:c r="R29" s="260"/>
      <x:c r="S29" s="260"/>
      <x:c r="T29" s="258" t="b">
        <x:f aca="0">FALSE()</x:f>
        <x:v>0</x:v>
      </x:c>
      <x:c r="U29" s="259" t="n">
        <x:v>1</x:v>
      </x:c>
      <x:c r="V29" s="259" t="n">
        <x:v>1</x:v>
      </x:c>
      <x:c r="W29" s="259" t="n">
        <x:v>1</x:v>
      </x:c>
      <x:c r="X29" s="260"/>
      <x:c r="Y29" s="260"/>
      <x:c r="Z29" s="261" t="b">
        <x:v>0</x:v>
      </x:c>
      <x:c r="AA29" s="259" t="n">
        <x:v>5</x:v>
      </x:c>
      <x:c r="AB29" s="262"/>
      <x:c r="AC29" s="287"/>
      <x:c r="AD29" s="287"/>
      <x:c r="AE29" s="287"/>
    </x:row>
    <x:row r="30" ht="88" hidden="0" customHeight="1">
      <x:c r="A30" s="223" t="n">
        <x:f aca="0">Strategy!$E$3+47</x:f>
        <x:v>46368.5</x:v>
      </x:c>
      <x:c r="B30" s="224" t="s">
        <x:v>61</x:v>
      </x:c>
      <x:c r="C30" s="224" t="s">
        <x:v>211</x:v>
      </x:c>
      <x:c r="D30" s="224" t="s">
        <x:v>212</x:v>
      </x:c>
      <x:c r="E30" s="224" t="n">
        <x:v>20</x:v>
      </x:c>
      <x:c r="F30" s="257"/>
      <x:c r="G30" s="257" t="s">
        <x:v>207</x:v>
      </x:c>
      <x:c r="H30" s="263" t="b">
        <x:f aca="0">FALSE()</x:f>
        <x:v>0</x:v>
      </x:c>
      <x:c r="I30" s="264" t="n">
        <x:v>0.001388888888888889</x:v>
      </x:c>
      <x:c r="J30" s="265"/>
      <x:c r="K30" s="265"/>
      <x:c r="L30" s="265"/>
      <x:c r="M30" s="265"/>
      <x:c r="N30" s="263" t="b">
        <x:f aca="0">FALSE()</x:f>
        <x:v>0</x:v>
      </x:c>
      <x:c r="O30" s="264" t="n">
        <x:v>0.00017361111111111112</x:v>
      </x:c>
      <x:c r="P30" s="264" t="n">
        <x:v>0.00017361111111111112</x:v>
      </x:c>
      <x:c r="Q30" s="264" t="n">
        <x:v>0.00017361111111111112</x:v>
      </x:c>
      <x:c r="R30" s="265"/>
      <x:c r="S30" s="265"/>
      <x:c r="T30" s="263" t="b">
        <x:f aca="0">FALSE()</x:f>
        <x:v>0</x:v>
      </x:c>
      <x:c r="U30" s="264" t="n">
        <x:v>0.00017361111111111112</x:v>
      </x:c>
      <x:c r="V30" s="264" t="n">
        <x:v>0.00017361111111111112</x:v>
      </x:c>
      <x:c r="W30" s="264" t="n">
        <x:v>0.00017361111111111112</x:v>
      </x:c>
      <x:c r="X30" s="265"/>
      <x:c r="Y30" s="265"/>
      <x:c r="Z30" s="266" t="b">
        <x:v>0</x:v>
      </x:c>
      <x:c r="AA30" s="267"/>
      <x:c r="AB30" s="268"/>
      <x:c r="AC30" s="288"/>
      <x:c r="AD30" s="288"/>
      <x:c r="AE30" s="288"/>
    </x:row>
    <x:row r="31" ht="88" hidden="0" customHeight="1">
      <x:c r="A31" s="228" t="n">
        <x:f aca="0">Strategy!$E$3+49</x:f>
        <x:v>46370.5</x:v>
      </x:c>
      <x:c r="B31" s="229" t="s">
        <x:v>53</x:v>
      </x:c>
      <x:c r="C31" s="289" t="str">
        <x:f aca="0">SUBSTITUTE(SUBSTITUTE(SUBSTITUTE("10 min skills"&amp;CHAR(10)&amp;Strategy!H28,", B)",CHAR(10)&amp;"B)"),", C)",CHAR(10)&amp;"C)"),", Core:",CHAR(10)&amp;"Core:")</x:f>
        <x:v>10 min skills
A) Easy high pull: 1 x 3
B) Easy low-bar transition: 1 x 3
C) Assisted smooth pistol: 1 x 3/leg
Core: 3 rounds</x:v>
      </x:c>
      <x:c r="D31" s="229" t="s">
        <x:v>206</x:v>
      </x:c>
      <x:c r="E31" s="229" t="n">
        <x:v>33</x:v>
      </x:c>
      <x:c r="F31" s="256"/>
      <x:c r="G31" s="256" t="s">
        <x:v>207</x:v>
      </x:c>
      <x:c r="H31" s="258" t="b">
        <x:f aca="0">FALSE()</x:f>
        <x:v>0</x:v>
      </x:c>
      <x:c r="I31" s="259" t="n">
        <x:v>3</x:v>
      </x:c>
      <x:c r="J31" s="260"/>
      <x:c r="K31" s="260"/>
      <x:c r="L31" s="260"/>
      <x:c r="M31" s="260"/>
      <x:c r="N31" s="258" t="b">
        <x:f aca="0">FALSE()</x:f>
        <x:v>0</x:v>
      </x:c>
      <x:c r="O31" s="259" t="n">
        <x:v>3</x:v>
      </x:c>
      <x:c r="P31" s="260"/>
      <x:c r="Q31" s="260"/>
      <x:c r="R31" s="260"/>
      <x:c r="S31" s="260"/>
      <x:c r="T31" s="258" t="b">
        <x:f aca="0">FALSE()</x:f>
        <x:v>0</x:v>
      </x:c>
      <x:c r="U31" s="259" t="n">
        <x:v>3</x:v>
      </x:c>
      <x:c r="V31" s="260"/>
      <x:c r="W31" s="260"/>
      <x:c r="X31" s="260"/>
      <x:c r="Y31" s="260"/>
      <x:c r="Z31" s="261" t="b">
        <x:v>0</x:v>
      </x:c>
      <x:c r="AA31" s="259" t="n">
        <x:v>3</x:v>
      </x:c>
      <x:c r="AB31" s="262"/>
      <x:c r="AC31" s="287"/>
      <x:c r="AD31" s="287"/>
      <x:c r="AE31" s="287"/>
    </x:row>
    <x:row r="32" ht="88" hidden="0" customHeight="1">
      <x:c r="A32" s="223" t="n">
        <x:f aca="0">Strategy!$E$3+50</x:f>
        <x:v>46371.5</x:v>
      </x:c>
      <x:c r="B32" s="224" t="s">
        <x:v>61</x:v>
      </x:c>
      <x:c r="C32" s="224" t="s">
        <x:v>213</x:v>
      </x:c>
      <x:c r="D32" s="224" t="s">
        <x:v>209</x:v>
      </x:c>
      <x:c r="E32" s="224" t="n">
        <x:v>5</x:v>
      </x:c>
      <x:c r="F32" s="257"/>
      <x:c r="G32" s="257" t="s">
        <x:v>207</x:v>
      </x:c>
      <x:c r="H32" s="263" t="b">
        <x:f aca="0">FALSE()</x:f>
        <x:v>0</x:v>
      </x:c>
      <x:c r="I32" s="264" t="n">
        <x:v>0.0006944444444444445</x:v>
      </x:c>
      <x:c r="J32" s="265"/>
      <x:c r="K32" s="265"/>
      <x:c r="L32" s="265"/>
      <x:c r="M32" s="265"/>
      <x:c r="N32" s="263" t="b">
        <x:f aca="0">FALSE()</x:f>
        <x:v>0</x:v>
      </x:c>
      <x:c r="O32" s="264" t="n">
        <x:v>0.00011574074074074075</x:v>
      </x:c>
      <x:c r="P32" s="264" t="n">
        <x:v>0.00011574074074074075</x:v>
      </x:c>
      <x:c r="Q32" s="265"/>
      <x:c r="R32" s="265"/>
      <x:c r="S32" s="265"/>
      <x:c r="T32" s="263" t="b">
        <x:f aca="0">FALSE()</x:f>
        <x:v>0</x:v>
      </x:c>
      <x:c r="U32" s="264" t="n">
        <x:v>0.00011574074074074075</x:v>
      </x:c>
      <x:c r="V32" s="265"/>
      <x:c r="W32" s="265"/>
      <x:c r="X32" s="265"/>
      <x:c r="Y32" s="265"/>
      <x:c r="Z32" s="266" t="b">
        <x:v>0</x:v>
      </x:c>
      <x:c r="AA32" s="267"/>
      <x:c r="AB32" s="268"/>
      <x:c r="AC32" s="288"/>
      <x:c r="AD32" s="288"/>
      <x:c r="AE32" s="288"/>
    </x:row>
    <x:row r="33" ht="88" hidden="0" customHeight="1">
      <x:c r="A33" s="228" t="n">
        <x:f aca="0">Strategy!$E$3+52</x:f>
        <x:v>46373.5</x:v>
      </x:c>
      <x:c r="B33" s="229" t="s">
        <x:v>57</x:v>
      </x:c>
      <x:c r="C33" s="289" t="str">
        <x:f aca="0">SUBSTITUTE(SUBSTITUTE(SUBSTITUTE("10 min skills"&amp;CHAR(10)&amp;Strategy!I28,", B)",CHAR(10)&amp;"B)"),", C)",CHAR(10)&amp;"C)"),", Core:",CHAR(10)&amp;"Core:")</x:f>
        <x:v>10 min skills
A) Easy wall handstand: 1 x 15 sec
B) Easy pike push-up: 1 x 4
C) Assisted smooth pistol: 1 x 3/leg
Core: 3 rounds</x:v>
      </x:c>
      <x:c r="D33" s="229" t="s">
        <x:v>214</x:v>
      </x:c>
      <x:c r="E33" s="229" t="n">
        <x:v>33</x:v>
      </x:c>
      <x:c r="F33" s="256"/>
      <x:c r="G33" s="256" t="s">
        <x:v>207</x:v>
      </x:c>
      <x:c r="H33" s="258" t="b">
        <x:f aca="0">FALSE()</x:f>
        <x:v>0</x:v>
      </x:c>
      <x:c r="I33" s="269" t="n">
        <x:v>0.00017361111111111112</x:v>
      </x:c>
      <x:c r="J33" s="260"/>
      <x:c r="K33" s="260"/>
      <x:c r="L33" s="260"/>
      <x:c r="M33" s="260"/>
      <x:c r="N33" s="258" t="b">
        <x:f aca="0">FALSE()</x:f>
        <x:v>0</x:v>
      </x:c>
      <x:c r="O33" s="259" t="n">
        <x:v>4</x:v>
      </x:c>
      <x:c r="P33" s="260"/>
      <x:c r="Q33" s="260"/>
      <x:c r="R33" s="260"/>
      <x:c r="S33" s="260"/>
      <x:c r="T33" s="258" t="b">
        <x:f aca="0">FALSE()</x:f>
        <x:v>0</x:v>
      </x:c>
      <x:c r="U33" s="259" t="n">
        <x:v>3</x:v>
      </x:c>
      <x:c r="V33" s="260"/>
      <x:c r="W33" s="260"/>
      <x:c r="X33" s="260"/>
      <x:c r="Y33" s="260"/>
      <x:c r="Z33" s="261" t="b">
        <x:v>0</x:v>
      </x:c>
      <x:c r="AA33" s="259" t="n">
        <x:v>3</x:v>
      </x:c>
      <x:c r="AB33" s="262"/>
      <x:c r="AC33" s="287"/>
      <x:c r="AD33" s="287"/>
      <x:c r="AE33" s="287"/>
    </x:row>
    <x:row r="34" ht="88" hidden="0" customHeight="1">
      <x:c r="A34" s="223" t="n">
        <x:f aca="0">Strategy!$E$3+54</x:f>
        <x:v>46375.5</x:v>
      </x:c>
      <x:c r="B34" s="224" t="s">
        <x:v>61</x:v>
      </x:c>
      <x:c r="C34" s="224" t="s">
        <x:v>215</x:v>
      </x:c>
      <x:c r="D34" s="224" t="s">
        <x:v>212</x:v>
      </x:c>
      <x:c r="E34" s="224" t="n">
        <x:v>10</x:v>
      </x:c>
      <x:c r="F34" s="257"/>
      <x:c r="G34" s="257" t="s">
        <x:v>207</x:v>
      </x:c>
      <x:c r="H34" s="263" t="b">
        <x:f aca="0">FALSE()</x:f>
        <x:v>0</x:v>
      </x:c>
      <x:c r="I34" s="264" t="n">
        <x:v>0.0006944444444444445</x:v>
      </x:c>
      <x:c r="J34" s="265"/>
      <x:c r="K34" s="265"/>
      <x:c r="L34" s="265"/>
      <x:c r="M34" s="265"/>
      <x:c r="N34" s="263" t="b">
        <x:f aca="0">FALSE()</x:f>
        <x:v>0</x:v>
      </x:c>
      <x:c r="O34" s="264" t="n">
        <x:v>0.00011574074074074075</x:v>
      </x:c>
      <x:c r="P34" s="264" t="n">
        <x:v>0.00011574074074074075</x:v>
      </x:c>
      <x:c r="Q34" s="265"/>
      <x:c r="R34" s="265"/>
      <x:c r="S34" s="265"/>
      <x:c r="T34" s="263" t="b">
        <x:f aca="0">FALSE()</x:f>
        <x:v>0</x:v>
      </x:c>
      <x:c r="U34" s="264" t="n">
        <x:v>0.00011574074074074075</x:v>
      </x:c>
      <x:c r="V34" s="265"/>
      <x:c r="W34" s="265"/>
      <x:c r="X34" s="265"/>
      <x:c r="Y34" s="265"/>
      <x:c r="Z34" s="266" t="b">
        <x:v>0</x:v>
      </x:c>
      <x:c r="AA34" s="267"/>
      <x:c r="AB34" s="268"/>
      <x:c r="AC34" s="288"/>
      <x:c r="AD34" s="288"/>
      <x:c r="AE34" s="288"/>
    </x:row>
    <x:row r="35" ht="88" hidden="0" customHeight="1">
      <x:c r="A35" s="228" t="n">
        <x:f aca="0">Strategy!$E$3+56</x:f>
        <x:v>46377.5</x:v>
      </x:c>
      <x:c r="B35" s="229" t="s">
        <x:v>53</x:v>
      </x:c>
      <x:c r="C35" s="289" t="str">
        <x:f aca="0">SUBSTITUTE(SUBSTITUTE(SUBSTITUTE("35 min skills"&amp;CHAR(10)&amp;Strategy!H29,", B)",CHAR(10)&amp;"B)"),", C)",CHAR(10)&amp;"C)"),", Core:",CHAR(10)&amp;"Core:")</x:f>
        <x:v>35 min skills
A) Light-band or strict muscle-up: 3 x 1
B) Stronger-band back-off muscle-up: 2 x 2
C) Unassisted pistol: 3 x 1/leg
Core: 5 rounds</x:v>
      </x:c>
      <x:c r="D35" s="229" t="s">
        <x:v>206</x:v>
      </x:c>
      <x:c r="E35" s="229" t="n">
        <x:v>65</x:v>
      </x:c>
      <x:c r="F35" s="256"/>
      <x:c r="G35" s="256" t="s">
        <x:v>207</x:v>
      </x:c>
      <x:c r="H35" s="258" t="b">
        <x:f aca="0">FALSE()</x:f>
        <x:v>0</x:v>
      </x:c>
      <x:c r="I35" s="259" t="n">
        <x:v>1</x:v>
      </x:c>
      <x:c r="J35" s="259" t="n">
        <x:v>1</x:v>
      </x:c>
      <x:c r="K35" s="259" t="n">
        <x:v>1</x:v>
      </x:c>
      <x:c r="L35" s="260"/>
      <x:c r="M35" s="260"/>
      <x:c r="N35" s="258" t="b">
        <x:f aca="0">FALSE()</x:f>
        <x:v>0</x:v>
      </x:c>
      <x:c r="O35" s="259" t="n">
        <x:v>2</x:v>
      </x:c>
      <x:c r="P35" s="259" t="n">
        <x:v>2</x:v>
      </x:c>
      <x:c r="Q35" s="260"/>
      <x:c r="R35" s="260"/>
      <x:c r="S35" s="260"/>
      <x:c r="T35" s="258" t="b">
        <x:f aca="0">FALSE()</x:f>
        <x:v>0</x:v>
      </x:c>
      <x:c r="U35" s="259" t="n">
        <x:v>1</x:v>
      </x:c>
      <x:c r="V35" s="259" t="n">
        <x:v>1</x:v>
      </x:c>
      <x:c r="W35" s="259" t="n">
        <x:v>1</x:v>
      </x:c>
      <x:c r="X35" s="260"/>
      <x:c r="Y35" s="260"/>
      <x:c r="Z35" s="261" t="b">
        <x:v>0</x:v>
      </x:c>
      <x:c r="AA35" s="259" t="n">
        <x:v>5</x:v>
      </x:c>
      <x:c r="AB35" s="262"/>
      <x:c r="AC35" s="287"/>
      <x:c r="AD35" s="287"/>
      <x:c r="AE35" s="287"/>
    </x:row>
    <x:row r="36" ht="88" hidden="0" customHeight="1">
      <x:c r="A36" s="223" t="n">
        <x:f aca="0">Strategy!$E$3+57</x:f>
        <x:v>46378.5</x:v>
      </x:c>
      <x:c r="B36" s="224" t="s">
        <x:v>61</x:v>
      </x:c>
      <x:c r="C36" s="224" t="s">
        <x:v>208</x:v>
      </x:c>
      <x:c r="D36" s="224" t="s">
        <x:v>209</x:v>
      </x:c>
      <x:c r="E36" s="224" t="n">
        <x:v>10</x:v>
      </x:c>
      <x:c r="F36" s="257"/>
      <x:c r="G36" s="257" t="s">
        <x:v>207</x:v>
      </x:c>
      <x:c r="H36" s="263" t="b">
        <x:f aca="0">FALSE()</x:f>
        <x:v>0</x:v>
      </x:c>
      <x:c r="I36" s="264" t="n">
        <x:v>0.001388888888888889</x:v>
      </x:c>
      <x:c r="J36" s="265"/>
      <x:c r="K36" s="265"/>
      <x:c r="L36" s="265"/>
      <x:c r="M36" s="265"/>
      <x:c r="N36" s="263" t="b">
        <x:f aca="0">FALSE()</x:f>
        <x:v>0</x:v>
      </x:c>
      <x:c r="O36" s="264" t="n">
        <x:v>0.00017361111111111112</x:v>
      </x:c>
      <x:c r="P36" s="264" t="n">
        <x:v>0.00017361111111111112</x:v>
      </x:c>
      <x:c r="Q36" s="264" t="n">
        <x:v>0.00017361111111111112</x:v>
      </x:c>
      <x:c r="R36" s="265"/>
      <x:c r="S36" s="265"/>
      <x:c r="T36" s="263" t="b">
        <x:f aca="0">FALSE()</x:f>
        <x:v>0</x:v>
      </x:c>
      <x:c r="U36" s="264" t="n">
        <x:v>0.00017361111111111112</x:v>
      </x:c>
      <x:c r="V36" s="264" t="n">
        <x:v>0.00017361111111111112</x:v>
      </x:c>
      <x:c r="W36" s="265"/>
      <x:c r="X36" s="265"/>
      <x:c r="Y36" s="265"/>
      <x:c r="Z36" s="266" t="b">
        <x:v>0</x:v>
      </x:c>
      <x:c r="AA36" s="267"/>
      <x:c r="AB36" s="268"/>
      <x:c r="AC36" s="288"/>
      <x:c r="AD36" s="288"/>
      <x:c r="AE36" s="288"/>
    </x:row>
    <x:row r="37" ht="88" hidden="0" customHeight="1">
      <x:c r="A37" s="228" t="n">
        <x:f aca="0">Strategy!$E$3+59</x:f>
        <x:v>46380.5</x:v>
      </x:c>
      <x:c r="B37" s="229" t="s">
        <x:v>57</x:v>
      </x:c>
      <x:c r="C37" s="289" t="str">
        <x:f aca="0">SUBSTITUTE(SUBSTITUTE(SUBSTITUTE("35 min skills"&amp;CHAR(10)&amp;Strategy!I29,", B)",CHAR(10)&amp;"B)"),", C)",CHAR(10)&amp;"C)"),", Core:",CHAR(10)&amp;"Core:")</x:f>
        <x:v>35 min skills
A) Full-ROM wall HSPU negative: 3 x 1
B) Partial wall HSPU: 3 x 3
C) Unassisted pistol: 3 x 1/leg
Core: 5 rounds</x:v>
      </x:c>
      <x:c r="D37" s="229" t="s">
        <x:v>210</x:v>
      </x:c>
      <x:c r="E37" s="229" t="n">
        <x:v>65</x:v>
      </x:c>
      <x:c r="F37" s="256"/>
      <x:c r="G37" s="256" t="s">
        <x:v>207</x:v>
      </x:c>
      <x:c r="H37" s="258" t="b">
        <x:f aca="0">FALSE()</x:f>
        <x:v>0</x:v>
      </x:c>
      <x:c r="I37" s="259" t="n">
        <x:v>1</x:v>
      </x:c>
      <x:c r="J37" s="259" t="n">
        <x:v>1</x:v>
      </x:c>
      <x:c r="K37" s="259" t="n">
        <x:v>1</x:v>
      </x:c>
      <x:c r="L37" s="260"/>
      <x:c r="M37" s="260"/>
      <x:c r="N37" s="258" t="b">
        <x:f aca="0">FALSE()</x:f>
        <x:v>0</x:v>
      </x:c>
      <x:c r="O37" s="259" t="n">
        <x:v>3</x:v>
      </x:c>
      <x:c r="P37" s="259" t="n">
        <x:v>3</x:v>
      </x:c>
      <x:c r="Q37" s="259" t="n">
        <x:v>3</x:v>
      </x:c>
      <x:c r="R37" s="260"/>
      <x:c r="S37" s="260"/>
      <x:c r="T37" s="258" t="b">
        <x:f aca="0">FALSE()</x:f>
        <x:v>0</x:v>
      </x:c>
      <x:c r="U37" s="259" t="n">
        <x:v>1</x:v>
      </x:c>
      <x:c r="V37" s="259" t="n">
        <x:v>1</x:v>
      </x:c>
      <x:c r="W37" s="259" t="n">
        <x:v>1</x:v>
      </x:c>
      <x:c r="X37" s="260"/>
      <x:c r="Y37" s="260"/>
      <x:c r="Z37" s="261" t="b">
        <x:v>0</x:v>
      </x:c>
      <x:c r="AA37" s="259" t="n">
        <x:v>5</x:v>
      </x:c>
      <x:c r="AB37" s="262"/>
      <x:c r="AC37" s="287"/>
      <x:c r="AD37" s="287"/>
      <x:c r="AE37" s="287"/>
    </x:row>
    <x:row r="38" ht="88" hidden="0" customHeight="1">
      <x:c r="A38" s="223" t="n">
        <x:f aca="0">Strategy!$E$3+61</x:f>
        <x:v>46382.5</x:v>
      </x:c>
      <x:c r="B38" s="224" t="s">
        <x:v>61</x:v>
      </x:c>
      <x:c r="C38" s="224" t="s">
        <x:v>211</x:v>
      </x:c>
      <x:c r="D38" s="224" t="s">
        <x:v>212</x:v>
      </x:c>
      <x:c r="E38" s="224" t="n">
        <x:v>20</x:v>
      </x:c>
      <x:c r="F38" s="257"/>
      <x:c r="G38" s="257" t="s">
        <x:v>207</x:v>
      </x:c>
      <x:c r="H38" s="263" t="b">
        <x:f aca="0">FALSE()</x:f>
        <x:v>0</x:v>
      </x:c>
      <x:c r="I38" s="264" t="n">
        <x:v>0.001388888888888889</x:v>
      </x:c>
      <x:c r="J38" s="265"/>
      <x:c r="K38" s="265"/>
      <x:c r="L38" s="265"/>
      <x:c r="M38" s="265"/>
      <x:c r="N38" s="263" t="b">
        <x:f aca="0">FALSE()</x:f>
        <x:v>0</x:v>
      </x:c>
      <x:c r="O38" s="264" t="n">
        <x:v>0.00017361111111111112</x:v>
      </x:c>
      <x:c r="P38" s="264" t="n">
        <x:v>0.00017361111111111112</x:v>
      </x:c>
      <x:c r="Q38" s="264" t="n">
        <x:v>0.00017361111111111112</x:v>
      </x:c>
      <x:c r="R38" s="265"/>
      <x:c r="S38" s="265"/>
      <x:c r="T38" s="263" t="b">
        <x:f aca="0">FALSE()</x:f>
        <x:v>0</x:v>
      </x:c>
      <x:c r="U38" s="264" t="n">
        <x:v>0.00017361111111111112</x:v>
      </x:c>
      <x:c r="V38" s="264" t="n">
        <x:v>0.00017361111111111112</x:v>
      </x:c>
      <x:c r="W38" s="264" t="n">
        <x:v>0.00017361111111111112</x:v>
      </x:c>
      <x:c r="X38" s="265"/>
      <x:c r="Y38" s="265"/>
      <x:c r="Z38" s="266" t="b">
        <x:v>0</x:v>
      </x:c>
      <x:c r="AA38" s="267"/>
      <x:c r="AB38" s="268"/>
      <x:c r="AC38" s="288"/>
      <x:c r="AD38" s="288"/>
      <x:c r="AE38" s="288"/>
    </x:row>
    <x:row r="39" ht="88" hidden="0" customHeight="1">
      <x:c r="A39" s="228" t="n">
        <x:f aca="0">Strategy!$E$3+63</x:f>
        <x:v>46384.5</x:v>
      </x:c>
      <x:c r="B39" s="229" t="s">
        <x:v>53</x:v>
      </x:c>
      <x:c r="C39" s="289" t="str">
        <x:f aca="0">SUBSTITUTE(SUBSTITUTE(SUBSTITUTE("35 min skills"&amp;CHAR(10)&amp;Strategy!H30,", B)",CHAR(10)&amp;"B)"),", C)",CHAR(10)&amp;"C)"),", Core:",CHAR(10)&amp;"Core:")</x:f>
        <x:v>35 min skills
A) Quality muscle-up attempts: 3-5 singles
B) Band-assisted muscle-up: 2 x 2
C) Pistol clusters: 3 x (1+1)/leg (20 sec between reps)
Core: 5 rounds</x:v>
      </x:c>
      <x:c r="D39" s="229" t="s">
        <x:v>206</x:v>
      </x:c>
      <x:c r="E39" s="229" t="n">
        <x:v>65</x:v>
      </x:c>
      <x:c r="F39" s="256"/>
      <x:c r="G39" s="256" t="s">
        <x:v>207</x:v>
      </x:c>
      <x:c r="H39" s="258" t="b">
        <x:f aca="0">FALSE()</x:f>
        <x:v>0</x:v>
      </x:c>
      <x:c r="I39" s="259" t="n">
        <x:v>1</x:v>
      </x:c>
      <x:c r="J39" s="259" t="n">
        <x:v>1</x:v>
      </x:c>
      <x:c r="K39" s="259" t="n">
        <x:v>1</x:v>
      </x:c>
      <x:c r="L39" s="260"/>
      <x:c r="M39" s="260"/>
      <x:c r="N39" s="258" t="b">
        <x:f aca="0">FALSE()</x:f>
        <x:v>0</x:v>
      </x:c>
      <x:c r="O39" s="259" t="n">
        <x:v>2</x:v>
      </x:c>
      <x:c r="P39" s="259" t="n">
        <x:v>2</x:v>
      </x:c>
      <x:c r="Q39" s="260"/>
      <x:c r="R39" s="260"/>
      <x:c r="S39" s="260"/>
      <x:c r="T39" s="258" t="b">
        <x:f aca="0">FALSE()</x:f>
        <x:v>0</x:v>
      </x:c>
      <x:c r="U39" s="259" t="n">
        <x:v>2</x:v>
      </x:c>
      <x:c r="V39" s="259" t="n">
        <x:v>2</x:v>
      </x:c>
      <x:c r="W39" s="259" t="n">
        <x:v>2</x:v>
      </x:c>
      <x:c r="X39" s="260"/>
      <x:c r="Y39" s="260"/>
      <x:c r="Z39" s="261" t="b">
        <x:v>0</x:v>
      </x:c>
      <x:c r="AA39" s="259" t="n">
        <x:v>5</x:v>
      </x:c>
      <x:c r="AB39" s="262"/>
      <x:c r="AC39" s="287"/>
      <x:c r="AD39" s="287"/>
      <x:c r="AE39" s="287"/>
    </x:row>
    <x:row r="40" ht="88" hidden="0" customHeight="1">
      <x:c r="A40" s="223" t="n">
        <x:f aca="0">Strategy!$E$3+64</x:f>
        <x:v>46385.5</x:v>
      </x:c>
      <x:c r="B40" s="224" t="s">
        <x:v>61</x:v>
      </x:c>
      <x:c r="C40" s="224" t="s">
        <x:v>208</x:v>
      </x:c>
      <x:c r="D40" s="224" t="s">
        <x:v>209</x:v>
      </x:c>
      <x:c r="E40" s="224" t="n">
        <x:v>10</x:v>
      </x:c>
      <x:c r="F40" s="257"/>
      <x:c r="G40" s="257" t="s">
        <x:v>207</x:v>
      </x:c>
      <x:c r="H40" s="263" t="b">
        <x:f aca="0">FALSE()</x:f>
        <x:v>0</x:v>
      </x:c>
      <x:c r="I40" s="264" t="n">
        <x:v>0.001388888888888889</x:v>
      </x:c>
      <x:c r="J40" s="265"/>
      <x:c r="K40" s="265"/>
      <x:c r="L40" s="265"/>
      <x:c r="M40" s="265"/>
      <x:c r="N40" s="263" t="b">
        <x:f aca="0">FALSE()</x:f>
        <x:v>0</x:v>
      </x:c>
      <x:c r="O40" s="264" t="n">
        <x:v>0.00017361111111111112</x:v>
      </x:c>
      <x:c r="P40" s="264" t="n">
        <x:v>0.00017361111111111112</x:v>
      </x:c>
      <x:c r="Q40" s="264" t="n">
        <x:v>0.00017361111111111112</x:v>
      </x:c>
      <x:c r="R40" s="265"/>
      <x:c r="S40" s="265"/>
      <x:c r="T40" s="263" t="b">
        <x:f aca="0">FALSE()</x:f>
        <x:v>0</x:v>
      </x:c>
      <x:c r="U40" s="264" t="n">
        <x:v>0.00017361111111111112</x:v>
      </x:c>
      <x:c r="V40" s="264" t="n">
        <x:v>0.00017361111111111112</x:v>
      </x:c>
      <x:c r="W40" s="265"/>
      <x:c r="X40" s="265"/>
      <x:c r="Y40" s="265"/>
      <x:c r="Z40" s="266" t="b">
        <x:v>0</x:v>
      </x:c>
      <x:c r="AA40" s="267"/>
      <x:c r="AB40" s="268"/>
      <x:c r="AC40" s="288"/>
      <x:c r="AD40" s="288"/>
      <x:c r="AE40" s="288"/>
    </x:row>
    <x:row r="41" ht="88" hidden="0" customHeight="1">
      <x:c r="A41" s="228" t="n">
        <x:f aca="0">Strategy!$E$3+66</x:f>
        <x:v>46387.5</x:v>
      </x:c>
      <x:c r="B41" s="229" t="s">
        <x:v>57</x:v>
      </x:c>
      <x:c r="C41" s="289" t="str">
        <x:f aca="0">SUBSTITUTE(SUBSTITUTE(SUBSTITUTE("35 min skills"&amp;CHAR(10)&amp;Strategy!I30,", B)",CHAR(10)&amp;"B)"),", C)",CHAR(10)&amp;"C)"),", Core:",CHAR(10)&amp;"Core:")</x:f>
        <x:v>35 min skills
A) Wall HSPU clusters: 3 x (1+1) (20 sec between reps)
B) Easy wall handstand: 2 x 20 sec
C) Pistol clusters: 3 x (1+1)/leg (20 sec between reps)
Core: 5 rounds</x:v>
      </x:c>
      <x:c r="D41" s="229" t="s">
        <x:v>210</x:v>
      </x:c>
      <x:c r="E41" s="229" t="n">
        <x:v>65</x:v>
      </x:c>
      <x:c r="F41" s="256"/>
      <x:c r="G41" s="256" t="s">
        <x:v>207</x:v>
      </x:c>
      <x:c r="H41" s="258" t="b">
        <x:f aca="0">FALSE()</x:f>
        <x:v>0</x:v>
      </x:c>
      <x:c r="I41" s="259" t="n">
        <x:v>2</x:v>
      </x:c>
      <x:c r="J41" s="259" t="n">
        <x:v>2</x:v>
      </x:c>
      <x:c r="K41" s="259" t="n">
        <x:v>2</x:v>
      </x:c>
      <x:c r="L41" s="260"/>
      <x:c r="M41" s="260"/>
      <x:c r="N41" s="258" t="b">
        <x:f aca="0">FALSE()</x:f>
        <x:v>0</x:v>
      </x:c>
      <x:c r="O41" s="269" t="n">
        <x:v>0.0002314814814814815</x:v>
      </x:c>
      <x:c r="P41" s="269" t="n">
        <x:v>0.0002314814814814815</x:v>
      </x:c>
      <x:c r="Q41" s="260"/>
      <x:c r="R41" s="260"/>
      <x:c r="S41" s="260"/>
      <x:c r="T41" s="258" t="b">
        <x:f aca="0">FALSE()</x:f>
        <x:v>0</x:v>
      </x:c>
      <x:c r="U41" s="259" t="n">
        <x:v>2</x:v>
      </x:c>
      <x:c r="V41" s="259" t="n">
        <x:v>2</x:v>
      </x:c>
      <x:c r="W41" s="259" t="n">
        <x:v>2</x:v>
      </x:c>
      <x:c r="X41" s="260"/>
      <x:c r="Y41" s="260"/>
      <x:c r="Z41" s="261" t="b">
        <x:v>0</x:v>
      </x:c>
      <x:c r="AA41" s="259" t="n">
        <x:v>5</x:v>
      </x:c>
      <x:c r="AB41" s="262"/>
      <x:c r="AC41" s="287"/>
      <x:c r="AD41" s="287"/>
      <x:c r="AE41" s="287"/>
    </x:row>
    <x:row r="42" ht="88" hidden="0" customHeight="1">
      <x:c r="A42" s="223" t="n">
        <x:f aca="0">Strategy!$E$3+68</x:f>
        <x:v>46389.5</x:v>
      </x:c>
      <x:c r="B42" s="224" t="s">
        <x:v>61</x:v>
      </x:c>
      <x:c r="C42" s="224" t="s">
        <x:v>211</x:v>
      </x:c>
      <x:c r="D42" s="224" t="s">
        <x:v>212</x:v>
      </x:c>
      <x:c r="E42" s="224" t="n">
        <x:v>20</x:v>
      </x:c>
      <x:c r="F42" s="257"/>
      <x:c r="G42" s="257" t="s">
        <x:v>207</x:v>
      </x:c>
      <x:c r="H42" s="263" t="b">
        <x:f aca="0">FALSE()</x:f>
        <x:v>0</x:v>
      </x:c>
      <x:c r="I42" s="264" t="n">
        <x:v>0.001388888888888889</x:v>
      </x:c>
      <x:c r="J42" s="265"/>
      <x:c r="K42" s="265"/>
      <x:c r="L42" s="265"/>
      <x:c r="M42" s="265"/>
      <x:c r="N42" s="263" t="b">
        <x:f aca="0">FALSE()</x:f>
        <x:v>0</x:v>
      </x:c>
      <x:c r="O42" s="264" t="n">
        <x:v>0.00017361111111111112</x:v>
      </x:c>
      <x:c r="P42" s="264" t="n">
        <x:v>0.00017361111111111112</x:v>
      </x:c>
      <x:c r="Q42" s="264" t="n">
        <x:v>0.00017361111111111112</x:v>
      </x:c>
      <x:c r="R42" s="265"/>
      <x:c r="S42" s="265"/>
      <x:c r="T42" s="263" t="b">
        <x:f aca="0">FALSE()</x:f>
        <x:v>0</x:v>
      </x:c>
      <x:c r="U42" s="264" t="n">
        <x:v>0.00017361111111111112</x:v>
      </x:c>
      <x:c r="V42" s="264" t="n">
        <x:v>0.00017361111111111112</x:v>
      </x:c>
      <x:c r="W42" s="264" t="n">
        <x:v>0.00017361111111111112</x:v>
      </x:c>
      <x:c r="X42" s="265"/>
      <x:c r="Y42" s="265"/>
      <x:c r="Z42" s="266" t="b">
        <x:v>0</x:v>
      </x:c>
      <x:c r="AA42" s="267"/>
      <x:c r="AB42" s="268"/>
      <x:c r="AC42" s="288"/>
      <x:c r="AD42" s="288"/>
      <x:c r="AE42" s="288"/>
    </x:row>
    <x:row r="43" ht="88" hidden="0" customHeight="1">
      <x:c r="A43" s="228" t="n">
        <x:f aca="0">Strategy!$E$3+70</x:f>
        <x:v>46391.5</x:v>
      </x:c>
      <x:c r="B43" s="229" t="s">
        <x:v>53</x:v>
      </x:c>
      <x:c r="C43" s="289" t="str">
        <x:f aca="0">SUBSTITUTE(SUBSTITUTE(SUBSTITUTE("35 min skills"&amp;CHAR(10)&amp;Strategy!H31,", B)",CHAR(10)&amp;"B)"),", C)",CHAR(10)&amp;"C)"),", Core:",CHAR(10)&amp;"Core:")</x:f>
        <x:v>35 min skills
A) Quality muscle-up attempts: 3 singles
B) Crisp high pull: 3 x 2
C) Clean pistol: 3 x 2/leg
Core: 5 rounds</x:v>
      </x:c>
      <x:c r="D43" s="229" t="s">
        <x:v>206</x:v>
      </x:c>
      <x:c r="E43" s="229" t="n">
        <x:v>65</x:v>
      </x:c>
      <x:c r="F43" s="256"/>
      <x:c r="G43" s="256" t="s">
        <x:v>207</x:v>
      </x:c>
      <x:c r="H43" s="258" t="b">
        <x:f aca="0">FALSE()</x:f>
        <x:v>0</x:v>
      </x:c>
      <x:c r="I43" s="259" t="n">
        <x:v>1</x:v>
      </x:c>
      <x:c r="J43" s="259" t="n">
        <x:v>1</x:v>
      </x:c>
      <x:c r="K43" s="259" t="n">
        <x:v>1</x:v>
      </x:c>
      <x:c r="L43" s="260"/>
      <x:c r="M43" s="260"/>
      <x:c r="N43" s="258" t="b">
        <x:f aca="0">FALSE()</x:f>
        <x:v>0</x:v>
      </x:c>
      <x:c r="O43" s="259" t="n">
        <x:v>2</x:v>
      </x:c>
      <x:c r="P43" s="259" t="n">
        <x:v>2</x:v>
      </x:c>
      <x:c r="Q43" s="259" t="n">
        <x:v>2</x:v>
      </x:c>
      <x:c r="R43" s="260"/>
      <x:c r="S43" s="260"/>
      <x:c r="T43" s="258" t="b">
        <x:f aca="0">FALSE()</x:f>
        <x:v>0</x:v>
      </x:c>
      <x:c r="U43" s="259" t="n">
        <x:v>2</x:v>
      </x:c>
      <x:c r="V43" s="259" t="n">
        <x:v>2</x:v>
      </x:c>
      <x:c r="W43" s="259" t="n">
        <x:v>2</x:v>
      </x:c>
      <x:c r="X43" s="260"/>
      <x:c r="Y43" s="260"/>
      <x:c r="Z43" s="261" t="b">
        <x:v>0</x:v>
      </x:c>
      <x:c r="AA43" s="259" t="n">
        <x:v>5</x:v>
      </x:c>
      <x:c r="AB43" s="262"/>
      <x:c r="AC43" s="287"/>
      <x:c r="AD43" s="287"/>
      <x:c r="AE43" s="287"/>
    </x:row>
    <x:row r="44" ht="88" hidden="0" customHeight="1">
      <x:c r="A44" s="223" t="n">
        <x:f aca="0">Strategy!$E$3+71</x:f>
        <x:v>46392.5</x:v>
      </x:c>
      <x:c r="B44" s="224" t="s">
        <x:v>61</x:v>
      </x:c>
      <x:c r="C44" s="224" t="s">
        <x:v>208</x:v>
      </x:c>
      <x:c r="D44" s="224" t="s">
        <x:v>209</x:v>
      </x:c>
      <x:c r="E44" s="224" t="n">
        <x:v>10</x:v>
      </x:c>
      <x:c r="F44" s="257"/>
      <x:c r="G44" s="257" t="s">
        <x:v>207</x:v>
      </x:c>
      <x:c r="H44" s="263" t="b">
        <x:f aca="0">FALSE()</x:f>
        <x:v>0</x:v>
      </x:c>
      <x:c r="I44" s="264" t="n">
        <x:v>0.001388888888888889</x:v>
      </x:c>
      <x:c r="J44" s="265"/>
      <x:c r="K44" s="265"/>
      <x:c r="L44" s="265"/>
      <x:c r="M44" s="265"/>
      <x:c r="N44" s="263" t="b">
        <x:f aca="0">FALSE()</x:f>
        <x:v>0</x:v>
      </x:c>
      <x:c r="O44" s="264" t="n">
        <x:v>0.00017361111111111112</x:v>
      </x:c>
      <x:c r="P44" s="264" t="n">
        <x:v>0.00017361111111111112</x:v>
      </x:c>
      <x:c r="Q44" s="264" t="n">
        <x:v>0.00017361111111111112</x:v>
      </x:c>
      <x:c r="R44" s="265"/>
      <x:c r="S44" s="265"/>
      <x:c r="T44" s="263" t="b">
        <x:f aca="0">FALSE()</x:f>
        <x:v>0</x:v>
      </x:c>
      <x:c r="U44" s="264" t="n">
        <x:v>0.00017361111111111112</x:v>
      </x:c>
      <x:c r="V44" s="264" t="n">
        <x:v>0.00017361111111111112</x:v>
      </x:c>
      <x:c r="W44" s="265"/>
      <x:c r="X44" s="265"/>
      <x:c r="Y44" s="265"/>
      <x:c r="Z44" s="266" t="b">
        <x:v>0</x:v>
      </x:c>
      <x:c r="AA44" s="267"/>
      <x:c r="AB44" s="268"/>
      <x:c r="AC44" s="288"/>
      <x:c r="AD44" s="288"/>
      <x:c r="AE44" s="288"/>
    </x:row>
    <x:row r="45" ht="88" hidden="0" customHeight="1">
      <x:c r="A45" s="228" t="n">
        <x:f aca="0">Strategy!$E$3+73</x:f>
        <x:v>46394.5</x:v>
      </x:c>
      <x:c r="B45" s="229" t="s">
        <x:v>57</x:v>
      </x:c>
      <x:c r="C45" s="289" t="str">
        <x:f aca="0">SUBSTITUTE(SUBSTITUTE(SUBSTITUTE("35 min skills"&amp;CHAR(10)&amp;Strategy!I31,", B)",CHAR(10)&amp;"B)"),", C)",CHAR(10)&amp;"C)"),", Core:",CHAR(10)&amp;"Core:")</x:f>
        <x:v>35 min skills
A) Full-ROM wall HSPU: 3 single attempts
B) Pike push-up back-off: 2 x 4
C) Clean pistol: 3 x 2/leg
Core: 5 rounds</x:v>
      </x:c>
      <x:c r="D45" s="229" t="s">
        <x:v>210</x:v>
      </x:c>
      <x:c r="E45" s="229" t="n">
        <x:v>65</x:v>
      </x:c>
      <x:c r="F45" s="256"/>
      <x:c r="G45" s="256" t="s">
        <x:v>207</x:v>
      </x:c>
      <x:c r="H45" s="258" t="b">
        <x:f aca="0">FALSE()</x:f>
        <x:v>0</x:v>
      </x:c>
      <x:c r="I45" s="259" t="n">
        <x:v>1</x:v>
      </x:c>
      <x:c r="J45" s="259" t="n">
        <x:v>1</x:v>
      </x:c>
      <x:c r="K45" s="259" t="n">
        <x:v>1</x:v>
      </x:c>
      <x:c r="L45" s="260"/>
      <x:c r="M45" s="260"/>
      <x:c r="N45" s="258" t="b">
        <x:f aca="0">FALSE()</x:f>
        <x:v>0</x:v>
      </x:c>
      <x:c r="O45" s="259" t="n">
        <x:v>4</x:v>
      </x:c>
      <x:c r="P45" s="259" t="n">
        <x:v>4</x:v>
      </x:c>
      <x:c r="Q45" s="260"/>
      <x:c r="R45" s="260"/>
      <x:c r="S45" s="260"/>
      <x:c r="T45" s="258" t="b">
        <x:f aca="0">FALSE()</x:f>
        <x:v>0</x:v>
      </x:c>
      <x:c r="U45" s="259" t="n">
        <x:v>2</x:v>
      </x:c>
      <x:c r="V45" s="259" t="n">
        <x:v>2</x:v>
      </x:c>
      <x:c r="W45" s="259" t="n">
        <x:v>2</x:v>
      </x:c>
      <x:c r="X45" s="260"/>
      <x:c r="Y45" s="260"/>
      <x:c r="Z45" s="261" t="b">
        <x:v>0</x:v>
      </x:c>
      <x:c r="AA45" s="259" t="n">
        <x:v>5</x:v>
      </x:c>
      <x:c r="AB45" s="262"/>
      <x:c r="AC45" s="287"/>
      <x:c r="AD45" s="287"/>
      <x:c r="AE45" s="287"/>
    </x:row>
    <x:row r="46" ht="88" hidden="0" customHeight="1">
      <x:c r="A46" s="223" t="n">
        <x:f aca="0">Strategy!$E$3+75</x:f>
        <x:v>46396.5</x:v>
      </x:c>
      <x:c r="B46" s="224" t="s">
        <x:v>61</x:v>
      </x:c>
      <x:c r="C46" s="224" t="s">
        <x:v>211</x:v>
      </x:c>
      <x:c r="D46" s="224" t="s">
        <x:v>212</x:v>
      </x:c>
      <x:c r="E46" s="224" t="n">
        <x:v>20</x:v>
      </x:c>
      <x:c r="F46" s="257"/>
      <x:c r="G46" s="257" t="s">
        <x:v>207</x:v>
      </x:c>
      <x:c r="H46" s="263" t="b">
        <x:f aca="0">FALSE()</x:f>
        <x:v>0</x:v>
      </x:c>
      <x:c r="I46" s="264" t="n">
        <x:v>0.001388888888888889</x:v>
      </x:c>
      <x:c r="J46" s="265"/>
      <x:c r="K46" s="265"/>
      <x:c r="L46" s="265"/>
      <x:c r="M46" s="265"/>
      <x:c r="N46" s="263" t="b">
        <x:f aca="0">FALSE()</x:f>
        <x:v>0</x:v>
      </x:c>
      <x:c r="O46" s="264" t="n">
        <x:v>0.00017361111111111112</x:v>
      </x:c>
      <x:c r="P46" s="264" t="n">
        <x:v>0.00017361111111111112</x:v>
      </x:c>
      <x:c r="Q46" s="264" t="n">
        <x:v>0.00017361111111111112</x:v>
      </x:c>
      <x:c r="R46" s="265"/>
      <x:c r="S46" s="265"/>
      <x:c r="T46" s="263" t="b">
        <x:f aca="0">FALSE()</x:f>
        <x:v>0</x:v>
      </x:c>
      <x:c r="U46" s="264" t="n">
        <x:v>0.00017361111111111112</x:v>
      </x:c>
      <x:c r="V46" s="264" t="n">
        <x:v>0.00017361111111111112</x:v>
      </x:c>
      <x:c r="W46" s="264" t="n">
        <x:v>0.00017361111111111112</x:v>
      </x:c>
      <x:c r="X46" s="265"/>
      <x:c r="Y46" s="265"/>
      <x:c r="Z46" s="266" t="b">
        <x:v>0</x:v>
      </x:c>
      <x:c r="AA46" s="267"/>
      <x:c r="AB46" s="268"/>
      <x:c r="AC46" s="288"/>
      <x:c r="AD46" s="288"/>
      <x:c r="AE46" s="288"/>
    </x:row>
    <x:row r="47" ht="88" hidden="0" customHeight="1">
      <x:c r="A47" s="228" t="n">
        <x:f aca="0">Strategy!$E$3+77</x:f>
        <x:v>46398.5</x:v>
      </x:c>
      <x:c r="B47" s="229" t="s">
        <x:v>53</x:v>
      </x:c>
      <x:c r="C47" s="289" t="str">
        <x:f aca="0">SUBSTITUTE(SUBSTITUTE(SUBSTITUTE("10 min skills"&amp;CHAR(10)&amp;Strategy!H32,", B)",CHAR(10)&amp;"B)"),", C)",CHAR(10)&amp;"C)"),", Core:",CHAR(10)&amp;"Core:")</x:f>
        <x:v>10 min skills
A) Muscle-up test: up to 3 rested singles
B) Pistol test: 1 clean set/leg (cap at 5)
C) Easy scapular pull-up: 1 x 5 if time remains
Core: 2 rounds</x:v>
      </x:c>
      <x:c r="D47" s="229" t="s">
        <x:v>206</x:v>
      </x:c>
      <x:c r="E47" s="229" t="n">
        <x:v>30</x:v>
      </x:c>
      <x:c r="F47" s="256"/>
      <x:c r="G47" s="256" t="s">
        <x:v>207</x:v>
      </x:c>
      <x:c r="H47" s="258" t="b">
        <x:f aca="0">FALSE()</x:f>
        <x:v>0</x:v>
      </x:c>
      <x:c r="I47" s="259" t="n">
        <x:v>1</x:v>
      </x:c>
      <x:c r="J47" s="259" t="n">
        <x:v>1</x:v>
      </x:c>
      <x:c r="K47" s="259" t="n">
        <x:v>1</x:v>
      </x:c>
      <x:c r="L47" s="260"/>
      <x:c r="M47" s="260"/>
      <x:c r="N47" s="258" t="b">
        <x:f aca="0">FALSE()</x:f>
        <x:v>0</x:v>
      </x:c>
      <x:c r="O47" s="259" t="n">
        <x:v>5</x:v>
      </x:c>
      <x:c r="P47" s="260"/>
      <x:c r="Q47" s="260"/>
      <x:c r="R47" s="260"/>
      <x:c r="S47" s="260"/>
      <x:c r="T47" s="258" t="b">
        <x:f aca="0">FALSE()</x:f>
        <x:v>0</x:v>
      </x:c>
      <x:c r="U47" s="259" t="n">
        <x:v>5</x:v>
      </x:c>
      <x:c r="V47" s="260"/>
      <x:c r="W47" s="260"/>
      <x:c r="X47" s="260"/>
      <x:c r="Y47" s="260"/>
      <x:c r="Z47" s="261" t="b">
        <x:v>0</x:v>
      </x:c>
      <x:c r="AA47" s="259" t="n">
        <x:v>2</x:v>
      </x:c>
      <x:c r="AB47" s="262"/>
      <x:c r="AC47" s="287"/>
      <x:c r="AD47" s="287"/>
      <x:c r="AE47" s="287"/>
    </x:row>
    <x:row r="48" ht="88" hidden="0" customHeight="1">
      <x:c r="A48" s="223" t="n">
        <x:f aca="0">Strategy!$E$3+78</x:f>
        <x:v>46399.5</x:v>
      </x:c>
      <x:c r="B48" s="224" t="s">
        <x:v>61</x:v>
      </x:c>
      <x:c r="C48" s="224" t="s">
        <x:v>213</x:v>
      </x:c>
      <x:c r="D48" s="224" t="s">
        <x:v>209</x:v>
      </x:c>
      <x:c r="E48" s="224" t="n">
        <x:v>5</x:v>
      </x:c>
      <x:c r="F48" s="257"/>
      <x:c r="G48" s="257" t="s">
        <x:v>207</x:v>
      </x:c>
      <x:c r="H48" s="263" t="b">
        <x:f aca="0">FALSE()</x:f>
        <x:v>0</x:v>
      </x:c>
      <x:c r="I48" s="264" t="n">
        <x:v>0.0006944444444444445</x:v>
      </x:c>
      <x:c r="J48" s="265"/>
      <x:c r="K48" s="265"/>
      <x:c r="L48" s="265"/>
      <x:c r="M48" s="265"/>
      <x:c r="N48" s="263" t="b">
        <x:f aca="0">FALSE()</x:f>
        <x:v>0</x:v>
      </x:c>
      <x:c r="O48" s="264" t="n">
        <x:v>0.00011574074074074075</x:v>
      </x:c>
      <x:c r="P48" s="264" t="n">
        <x:v>0.00011574074074074075</x:v>
      </x:c>
      <x:c r="Q48" s="265"/>
      <x:c r="R48" s="265"/>
      <x:c r="S48" s="265"/>
      <x:c r="T48" s="263" t="b">
        <x:f aca="0">FALSE()</x:f>
        <x:v>0</x:v>
      </x:c>
      <x:c r="U48" s="264" t="n">
        <x:v>0.00011574074074074075</x:v>
      </x:c>
      <x:c r="V48" s="265"/>
      <x:c r="W48" s="265"/>
      <x:c r="X48" s="265"/>
      <x:c r="Y48" s="265"/>
      <x:c r="Z48" s="266" t="b">
        <x:v>0</x:v>
      </x:c>
      <x:c r="AA48" s="267"/>
      <x:c r="AB48" s="268"/>
      <x:c r="AC48" s="288"/>
      <x:c r="AD48" s="288"/>
      <x:c r="AE48" s="288"/>
    </x:row>
    <x:row r="49" ht="88" hidden="0" customHeight="1">
      <x:c r="A49" s="228" t="n">
        <x:f aca="0">Strategy!$E$3+80</x:f>
        <x:v>46401.5</x:v>
      </x:c>
      <x:c r="B49" s="229" t="s">
        <x:v>57</x:v>
      </x:c>
      <x:c r="C49" s="289" t="str">
        <x:f aca="0">SUBSTITUTE(SUBSTITUTE(SUBSTITUTE("10 min skills"&amp;CHAR(10)&amp;Strategy!I32,", B)",CHAR(10)&amp;"B)"),", C)",CHAR(10)&amp;"C)"),", Core:",CHAR(10)&amp;"Core:")</x:f>
        <x:v>10 min skills
A) Wall HSPU test: 1 clean set (cap at 5)
B) Easy wall handstand: 1 x 15 sec
C) Gentle wrist/shoulder mobility: 2 min
Core: 2 rounds</x:v>
      </x:c>
      <x:c r="D49" s="229" t="s">
        <x:v>214</x:v>
      </x:c>
      <x:c r="E49" s="229" t="n">
        <x:v>30</x:v>
      </x:c>
      <x:c r="F49" s="256"/>
      <x:c r="G49" s="256" t="s">
        <x:v>207</x:v>
      </x:c>
      <x:c r="H49" s="258" t="b">
        <x:f aca="0">FALSE()</x:f>
        <x:v>0</x:v>
      </x:c>
      <x:c r="I49" s="259" t="n">
        <x:v>5</x:v>
      </x:c>
      <x:c r="J49" s="260"/>
      <x:c r="K49" s="260"/>
      <x:c r="L49" s="260"/>
      <x:c r="M49" s="260"/>
      <x:c r="N49" s="258" t="b">
        <x:f aca="0">FALSE()</x:f>
        <x:v>0</x:v>
      </x:c>
      <x:c r="O49" s="269" t="n">
        <x:v>0.00017361111111111112</x:v>
      </x:c>
      <x:c r="P49" s="260"/>
      <x:c r="Q49" s="260"/>
      <x:c r="R49" s="260"/>
      <x:c r="S49" s="260"/>
      <x:c r="T49" s="258" t="b">
        <x:f aca="0">FALSE()</x:f>
        <x:v>0</x:v>
      </x:c>
      <x:c r="U49" s="269" t="n">
        <x:v>0.001388888888888889</x:v>
      </x:c>
      <x:c r="V49" s="260"/>
      <x:c r="W49" s="260"/>
      <x:c r="X49" s="260"/>
      <x:c r="Y49" s="260"/>
      <x:c r="Z49" s="261" t="b">
        <x:v>0</x:v>
      </x:c>
      <x:c r="AA49" s="259" t="n">
        <x:v>2</x:v>
      </x:c>
      <x:c r="AB49" s="262"/>
      <x:c r="AC49" s="287"/>
      <x:c r="AD49" s="287"/>
      <x:c r="AE49" s="287"/>
    </x:row>
    <x:row r="50" ht="88" hidden="0" customHeight="1">
      <x:c r="A50" s="223" t="n">
        <x:f aca="0">Strategy!$E$3+82</x:f>
        <x:v>46403.5</x:v>
      </x:c>
      <x:c r="B50" s="224" t="s">
        <x:v>61</x:v>
      </x:c>
      <x:c r="C50" s="224" t="s">
        <x:v>215</x:v>
      </x:c>
      <x:c r="D50" s="224" t="s">
        <x:v>212</x:v>
      </x:c>
      <x:c r="E50" s="224" t="n">
        <x:v>10</x:v>
      </x:c>
      <x:c r="F50" s="257"/>
      <x:c r="G50" s="257" t="s">
        <x:v>207</x:v>
      </x:c>
      <x:c r="H50" s="263" t="b">
        <x:f aca="0">FALSE()</x:f>
        <x:v>0</x:v>
      </x:c>
      <x:c r="I50" s="264" t="n">
        <x:v>0.0006944444444444445</x:v>
      </x:c>
      <x:c r="J50" s="265"/>
      <x:c r="K50" s="265"/>
      <x:c r="L50" s="265"/>
      <x:c r="M50" s="265"/>
      <x:c r="N50" s="263" t="b">
        <x:f aca="0">FALSE()</x:f>
        <x:v>0</x:v>
      </x:c>
      <x:c r="O50" s="264" t="n">
        <x:v>0.00011574074074074075</x:v>
      </x:c>
      <x:c r="P50" s="264" t="n">
        <x:v>0.00011574074074074075</x:v>
      </x:c>
      <x:c r="Q50" s="265"/>
      <x:c r="R50" s="265"/>
      <x:c r="S50" s="265"/>
      <x:c r="T50" s="263" t="b">
        <x:f aca="0">FALSE()</x:f>
        <x:v>0</x:v>
      </x:c>
      <x:c r="U50" s="264" t="n">
        <x:v>0.00011574074074074075</x:v>
      </x:c>
      <x:c r="V50" s="265"/>
      <x:c r="W50" s="265"/>
      <x:c r="X50" s="265"/>
      <x:c r="Y50" s="265"/>
      <x:c r="Z50" s="266" t="b">
        <x:v>0</x:v>
      </x:c>
      <x:c r="AA50" s="267"/>
      <x:c r="AB50" s="268"/>
      <x:c r="AC50" s="288"/>
      <x:c r="AD50" s="288"/>
      <x:c r="AE50" s="288"/>
    </x:row>
  </x:sheetData>
  <x:mergeCells>
    <x:mergeCell ref="H1:M1"/>
    <x:mergeCell ref="N1:S1"/>
    <x:mergeCell ref="T1:Y1"/>
    <x:mergeCell ref="Z1:AA1"/>
    <x:mergeCell ref="A1:G1"/>
    <x:mergeCell ref="AB1:AE1"/>
  </x:mergeCells>
  <x:conditionalFormatting sqref="G2:G49">
    <x:cfRule type="containsText" dxfId="4" priority="2" aboveAverage="0" percent="0" bottom="0" operator="containsText" text="completed" rank="0" equalAverage="0">
      <x:formula>NOT(ISERROR(SEARCH("completed",G2)))</x:formula>
    </x:cfRule>
  </x:conditionalFormatting>
  <x:conditionalFormatting sqref="H3:H50">
    <x:cfRule type="expression" dxfId="5" priority="3">
      <x:formula>OR(H3=TRUE,H3="TRUE")</x:formula>
    </x:cfRule>
  </x:conditionalFormatting>
  <x:conditionalFormatting sqref="N3:N50">
    <x:cfRule type="expression" dxfId="6" priority="4">
      <x:formula>OR(N3=TRUE,N3="TRUE")</x:formula>
    </x:cfRule>
  </x:conditionalFormatting>
  <x:conditionalFormatting sqref="T3:T50">
    <x:cfRule type="expression" dxfId="7" priority="5">
      <x:formula>OR(T3=TRUE,T3="TRUE")</x:formula>
    </x:cfRule>
  </x:conditionalFormatting>
  <x:conditionalFormatting sqref="Z3:Z50">
    <x:cfRule type="expression" dxfId="8" priority="6">
      <x:formula>OR(Z3=TRUE,Z3="TRUE")</x:formula>
    </x:cfRule>
  </x:conditionalFormatting>
  <x:dataValidations count="7">
    <x:dataValidation type="list" errorStyle="stop" operator="between" allowBlank="0" showDropDown="0" showInputMessage="0" showErrorMessage="0" sqref="G3:G49">
      <x:formula1>"planned,in-progress,completed,incomplete,skipped,cancelled"</x:formula1>
      <x:formula2>0</x:formula2>
    </x:dataValidation>
    <x:dataValidation type="list" errorStyle="stop" operator="between" allowBlank="0" showDropDown="0" showInputMessage="0" showErrorMessage="0" sqref="B3:B133">
      <x:formula1>"A,B,Technique,Core,Empty"</x:formula1>
      <x:formula2>0</x:formula2>
    </x:dataValidation>
    <x:dataValidation type="list" sqref="H3:H50">
      <x:formula1>"TRUE,FALSE"</x:formula1>
    </x:dataValidation>
    <x:dataValidation type="list" sqref="N3:N50">
      <x:formula1>"TRUE,FALSE"</x:formula1>
    </x:dataValidation>
    <x:dataValidation type="list" sqref="T3:T50">
      <x:formula1>"TRUE,FALSE"</x:formula1>
    </x:dataValidation>
    <x:dataValidation type="list" sqref="Z3:Z50">
      <x:formula1>"TRUE,FALSE"</x:formula1>
    </x:dataValidation>
    <x:dataValidation type="whole" operator="between" sqref="AA3:AA50">
      <x:formula1>0</x:formula1>
      <x:formula2>100</x:formula2>
    </x:dataValidation>
  </x:dataValidations>
  <x:pageMargins left="0.7" right="0.7" top="0.75" bottom="0.75" header="0.3" footer="0.3"/>
</x:worksheet>
</file>
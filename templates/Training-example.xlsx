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618c7f0bb746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rategy" sheetId="1" r:id="R1c18873c27534bc7"/>
    <x:sheet xmlns:r="http://schemas.openxmlformats.org/officeDocument/2006/relationships" name="Recurring" sheetId="2" r:id="R212d82aa89b845f3"/>
    <x:sheet xmlns:r="http://schemas.openxmlformats.org/officeDocument/2006/relationships" name="Daily" sheetId="3" r:id="Rf5636889fe764ff5"/>
    <x:sheet xmlns:r="http://schemas.openxmlformats.org/officeDocument/2006/relationships" name="Scoring" sheetId="4" r:id="Rafe369d3435a4138"/>
  </x:sheets>
</x:workbook>
</file>

<file path=xl/sharedStrings.xml><?xml version="1.0" encoding="utf-8"?>
<x:sst xmlns:x="http://schemas.openxmlformats.org/spreadsheetml/2006/main">
  <x:si>
    <x:t xml:space="preserve">Plan</x:t>
  </x:si>
  <x:si>
    <x:t xml:space="preserve">schema_version</x:t>
  </x:si>
  <x:si>
    <x:t xml:space="preserve">plan_id</x:t>
  </x:si>
  <x:si>
    <x:t xml:space="preserve">plan_name</x:t>
  </x:si>
  <x:si>
    <x:t xml:space="preserve">timezone</x:t>
  </x:si>
  <x:si>
    <x:t xml:space="preserve">start_date</x:t>
  </x:si>
  <x:si>
    <x:t xml:space="preserve">1</x:t>
  </x:si>
  <x:si>
    <x:t xml:space="preserve">my-training</x:t>
  </x:si>
  <x:si>
    <x:t xml:space="preserve">12-week hybrid plan</x:t>
  </x:si>
  <x:si>
    <x:t xml:space="preserve">Europe/Berlin</x:t>
  </x:si>
  <x:si>
    <x:t xml:space="preserve">Goals</x:t>
  </x:si>
  <x:si>
    <x:t xml:space="preserve">goal_id</x:t>
  </x:si>
  <x:si>
    <x:t xml:space="preserve">title</x:t>
  </x:si>
  <x:si>
    <x:t xml:space="preserve">benchmark</x:t>
  </x:si>
  <x:si>
    <x:t xml:space="preserve">baseline</x:t>
  </x:si>
  <x:si>
    <x:t xml:space="preserve">test</x:t>
  </x:si>
  <x:si>
    <x:t xml:space="preserve">category</x:t>
  </x:si>
  <x:si>
    <x:t xml:space="preserve">result_column</x:t>
  </x:si>
  <x:si>
    <x:t xml:space="preserve">garmin_types</x:t>
  </x:si>
  <x:si>
    <x:t xml:space="preserve">muscle-up</x:t>
  </x:si>
  <x:si>
    <x:t xml:space="preserve">Muscle-up</x:t>
  </x:si>
  <x:si>
    <x:t xml:space="preserve">Band-assisted or first strict rep</x:t>
  </x:si>
  <x:si>
    <x:t xml:space="preserve">7 pull-ups reported; confirm strict form. Muscle-up baseline not established.</x:t>
  </x:si>
  <x:si>
    <x:t xml:space="preserve">Record assistance and controlled full movement</x:t>
  </x:si>
  <x:si>
    <x:t xml:space="preserve">milestone</x:t>
  </x:si>
  <x:si>
    <x:t xml:space="preserve">Muscle-up result</x:t>
  </x:si>
  <x:si>
    <x:t xml:space="preserve">hspu</x:t>
  </x:si>
  <x:si>
    <x:t xml:space="preserve">Handstand push-up</x:t>
  </x:si>
  <x:si>
    <x:t xml:space="preserve">3–5 controlled wall reps or deep negatives</x:t>
  </x:si>
  <x:si>
    <x:t xml:space="preserve">Not established</x:t>
  </x:si>
  <x:si>
    <x:t xml:space="preserve">Chest-to-wall, full lockout</x:t>
  </x:si>
  <x:si>
    <x:t xml:space="preserve">HSPU result</x:t>
  </x:si>
  <x:si>
    <x:t xml:space="preserve">pistol</x:t>
  </x:si>
  <x:si>
    <x:t xml:space="preserve">Pistol squat</x:t>
  </x:si>
  <x:si>
    <x:t xml:space="preserve">3–5 clean reps per leg</x:t>
  </x:si>
  <x:si>
    <x:t xml:space="preserve">Heel down, controlled depth</x:t>
  </x:si>
  <x:si>
    <x:t xml:space="preserve">Pistol result</x:t>
  </x:si>
  <x:si>
    <x:t xml:space="preserve">running</x:t>
  </x:si>
  <x:si>
    <x:t xml:space="preserve">Running</x:t>
  </x:si>
  <x:si>
    <x:t xml:space="preserve">Maintain or improve 12 km pace</x:t>
  </x:si>
  <x:si>
    <x:t xml:space="preserve">12 km at 5:00/km (reported)</x:t>
  </x:si>
  <x:si>
    <x:t xml:space="preserve">12 km steady test in week 12</x:t>
  </x:si>
  <x:si>
    <x:t xml:space="preserve">maintenance</x:t>
  </x:si>
  <x:si>
    <x:t xml:space="preserve">swimming</x:t>
  </x:si>
  <x:si>
    <x:t xml:space="preserve">Swimming</x:t>
  </x:si>
  <x:si>
    <x:t xml:space="preserve">Maintain regular swimming</x:t>
  </x:si>
  <x:si>
    <x:t xml:space="preserve">3 fixed 60 min guided swims/week; optional fourth (reported routine)</x:t>
  </x:si>
  <x:si>
    <x:t xml:space="preserve">Record duration and distance for comparable swims</x:t>
  </x:si>
  <x:si>
    <x:t xml:space="preserve">Parts</x:t>
  </x:si>
  <x:si>
    <x:t xml:space="preserve">part_id</x:t>
  </x:si>
  <x:si>
    <x:t xml:space="preserve">version</x:t>
  </x:si>
  <x:si>
    <x:t xml:space="preserve">prescription</x:t>
  </x:si>
  <x:si>
    <x:t xml:space="preserve">goal_ids</x:t>
  </x:si>
  <x:si>
    <x:t xml:space="preserve">A</x:t>
  </x:si>
  <x:si>
    <x:t xml:space="preserve">Skills A</x:t>
  </x:si>
  <x:si>
    <x:t xml:space="preserve">Follow block A in Week plans, then Core. A/B/C label the three daily exercises.</x:t>
  </x:si>
  <x:si>
    <x:t xml:space="preserve">muscle-up, pistol</x:t>
  </x:si>
  <x:si>
    <x:t xml:space="preserve">B</x:t>
  </x:si>
  <x:si>
    <x:t xml:space="preserve">Skills B</x:t>
  </x:si>
  <x:si>
    <x:t xml:space="preserve">Follow block B in Week plans, then Core. A/B/C label the three daily exercises.</x:t>
  </x:si>
  <x:si>
    <x:t xml:space="preserve">hspu, pistol</x:t>
  </x:si>
  <x:si>
    <x:t xml:space="preserve">Technique</x:t>
  </x:si>
  <x:si>
    <x:t xml:space="preserve">Light technique</x:t>
  </x:si>
  <x:si>
    <x:t xml:space="preserve">Follow the easy technique session in Daily. A/B/C label its three exercises.</x:t>
  </x:si>
  <x:si>
    <x:t xml:space="preserve">Core</x:t>
  </x:si>
  <x:si>
    <x:t xml:space="preserve">Core circuit — 16 min 40 sec</x:t>
  </x:si>
  <x:si>
    <x:t xml:space="preserve">5 rounds: pull-ups, push-ups, weighted squats, upside-down hanging shoulder/ab work. Each exercise: 30 sec work + 20 sec rest.</x:t>
  </x:si>
  <x:si>
    <x:t xml:space="preserve">muscle-up, hspu, pistol</x:t>
  </x:si>
  <x:si>
    <x:t xml:space="preserve">Week plans</x:t>
  </x:si>
  <x:si>
    <x:t xml:space="preserve">Week</x:t>
  </x:si>
  <x:si>
    <x:t xml:space="preserve">Start</x:t>
  </x:si>
  <x:si>
    <x:t xml:space="preserve">Phase</x:t>
  </x:si>
  <x:si>
    <x:t xml:space="preserve">Focus</x:t>
  </x:si>
  <x:si>
    <x:t xml:space="preserve">Targets</x:t>
  </x:si>
  <x:si>
    <x:t xml:space="preserve">Advance when</x:t>
  </x:si>
  <x:si>
    <x:t xml:space="preserve">Minutes</x:t>
  </x:si>
  <x:si>
    <x:t xml:space="preserve">Foundation</x:t>
  </x:si>
  <x:si>
    <x:t xml:space="preserve">35 min skills before each circuit; leave reps in reserve</x:t>
  </x:si>
  <x:si>
    <x:t xml:space="preserve">Muscle-up: Scapular pulls + chest-to-bar intent; HSPU: Chest-to-wall hold + pike push-up; Pistol: Box pistol + ankle mobility</x:t>
  </x:si>
  <x:si>
    <x:t xml:space="preserve">Review recorded results and comfort. Repeat or adjust the week if needed.</x:t>
  </x:si>
  <x:si>
    <x:t xml:space="preserve">A) Scapular pull-up: 3 x 5, B) High pull (chest-to-bar intent): 3 x 3, C) Box pistol: 3 x 5/leg, Core: 5 rounds</x:t>
  </x:si>
  <x:si>
    <x:t xml:space="preserve">A) Chest-to-wall handstand: 3 x 20 sec, B) Pike push-up: 3 x 5, C) Box pistol: 3 x 5/leg, Core: 5 rounds</x:t>
  </x:si>
  <x:si>
    <x:t xml:space="preserve">Muscle-up: Band transition drill + high pull; HSPU: Wall hold + elevated pike push-up; Pistol: Lower box pistol + counterweight</x:t>
  </x:si>
  <x:si>
    <x:t xml:space="preserve">A) Band transition drill: 3 x 3, B) High pull: 3 x 3, C) Lower-box pistol with counterweight: 3 x 4/leg, Core: 5 rounds</x:t>
  </x:si>
  <x:si>
    <x:t xml:space="preserve">A) Wall handstand: 3 x 25 sec, B) Elevated pike push-up: 3 x 4, C) Lower-box pistol with counterweight: 3 x 4/leg, Core: 5 rounds</x:t>
  </x:si>
  <x:si>
    <x:t xml:space="preserve">Muscle-up: Explosive pull + low-bar transition; HSPU: Wall negative + pike push-up; Pistol: Assisted pistol to depth</x:t>
  </x:si>
  <x:si>
    <x:t xml:space="preserve">A) Explosive pull-up: 4 x 2, B) Low-bar transition: 3 x 3, C) Assisted full-depth pistol: 3 x 4/leg, Core: 5 rounds</x:t>
  </x:si>
  <x:si>
    <x:t xml:space="preserve">A) Wall HSPU negative: 3 x 2 (lower 3 sec), B) Pike push-up: 3 x 5, C) Assisted full-depth pistol: 3 x 4/leg, Core: 5 rounds</x:t>
  </x:si>
  <x:si>
    <x:t xml:space="preserve">Deload</x:t>
  </x:si>
  <x:si>
    <x:t xml:space="preserve">3 rounds; skip optional strength</x:t>
  </x:si>
  <x:si>
    <x:t xml:space="preserve">Muscle-up: Easy technique only; HSPU: Easy holds + mobility; Pistol: Easy assisted reps</x:t>
  </x:si>
  <x:si>
    <x:t xml:space="preserve">A) Easy scapular pull-up: 1 x 5, B) Easy low-bar transition: 1 x 3, C) Assisted pistol: 1 x 3/leg, Core: 3 rounds</x:t>
  </x:si>
  <x:si>
    <x:t xml:space="preserve">A) Easy wall handstand: 1 x 15 sec, B) Gentle wrist/shoulder mobility: 2 min, C) Assisted pistol: 1 x 3/leg, Core: 3 rounds</x:t>
  </x:si>
  <x:si>
    <x:t xml:space="preserve">Build</x:t>
  </x:si>
  <x:si>
    <x:t xml:space="preserve">Muscle-up: Chest-to-bar + band muscle-up; HSPU: Deficit pike + wall negative; Pistol: Counterweight pistol</x:t>
  </x:si>
  <x:si>
    <x:t xml:space="preserve">A) Chest-to-bar pull-up: 3 x 3, B) Band-assisted muscle-up: 4 x 1, C) Counterweight pistol: 3 x 4/leg, Core: 5 rounds</x:t>
  </x:si>
  <x:si>
    <x:t xml:space="preserve">A) Deficit pike push-up: 3 x 4, B) Wall HSPU negative: 3 x 2 (lower 3 sec), C) Counterweight pistol: 3 x 4/leg, Core: 5 rounds</x:t>
  </x:si>
  <x:si>
    <x:t xml:space="preserve">Muscle-up: Jumping muscle-up + slow transition; HSPU: Partial wall HSPU + negative; Pistol: Light counterweight pistol</x:t>
  </x:si>
  <x:si>
    <x:t xml:space="preserve">A) Jumping muscle-up: 3 x 3, B) Low-bar slow transition: 3 x 3, C) Light-counterweight pistol: 3 x 4/leg, Core: 5 rounds</x:t>
  </x:si>
  <x:si>
    <x:t xml:space="preserve">A) Partial wall HSPU: 3 x 3, B) Wall HSPU negative: 3 x 2 (lower 3 sec), C) Light-counterweight pistol: 3 x 4/leg, Core: 5 rounds</x:t>
  </x:si>
  <x:si>
    <x:t xml:space="preserve">Muscle-up: Light-band muscle-up singles; HSPU: Deeper wall HSPU; Pistol: Unassisted singles to target</x:t>
  </x:si>
  <x:si>
    <x:t xml:space="preserve">A) Light-band muscle-up: 4 x 1, B) Band-assisted transition: 3 x 2, C) Unassisted pistol to target: 3 x 1/leg, Core: 5 rounds</x:t>
  </x:si>
  <x:si>
    <x:t xml:space="preserve">A) Deeper wall HSPU: 3 x 2, B) Easy wall handstand: 2 x 20 sec, C) Unassisted pistol to target: 3 x 1/leg, Core: 5 rounds</x:t>
  </x:si>
  <x:si>
    <x:t xml:space="preserve">Muscle-up: Easy high pulls + transitions; HSPU: Easy holds + pike reps; Pistol: Assisted smooth reps</x:t>
  </x:si>
  <x:si>
    <x:t xml:space="preserve">A) Easy high pull: 1 x 3, B) Easy low-bar transition: 1 x 3, C) Assisted smooth pistol: 1 x 3/leg, Core: 3 rounds</x:t>
  </x:si>
  <x:si>
    <x:t xml:space="preserve">A) Easy wall handstand: 1 x 15 sec, B) Easy pike push-up: 1 x 4, C) Assisted smooth pistol: 1 x 3/leg, Core: 3 rounds</x:t>
  </x:si>
  <x:si>
    <x:t xml:space="preserve">Specific</x:t>
  </x:si>
  <x:si>
    <x:t xml:space="preserve">Muscle-up: Light-band or strict attempts, then back-off; HSPU: Full-ROM negatives + partial reps; Pistol: Unassisted singles</x:t>
  </x:si>
  <x:si>
    <x:t xml:space="preserve">A) Light-band or strict muscle-up: 3 x 1, B) Stronger-band back-off muscle-up: 2 x 2, C) Unassisted pistol: 3 x 1/leg, Core: 5 rounds</x:t>
  </x:si>
  <x:si>
    <x:t xml:space="preserve">A) Full-ROM wall HSPU negative: 3 x 1, B) Partial wall HSPU: 3 x 3, C) Unassisted pistol: 3 x 1/leg, Core: 5 rounds</x:t>
  </x:si>
  <x:si>
    <x:t xml:space="preserve">Muscle-up: 3-5 quality attempts + band reps; HSPU: Wall HSPU clusters; Pistol: Pistol clusters</x:t>
  </x:si>
  <x:si>
    <x:t xml:space="preserve">A) Quality muscle-up attempts: 3-5 singles, B) Band-assisted muscle-up: 2 x 2, C) Pistol clusters: 3 x (1+1)/leg (20 sec between reps), Core: 5 rounds</x:t>
  </x:si>
  <x:si>
    <x:t xml:space="preserve">A) Wall HSPU clusters: 3 x (1+1) (20 sec between reps), B) Easy wall handstand: 2 x 20 sec, C) Pistol clusters: 3 x (1+1)/leg (20 sec between reps), Core: 5 rounds</x:t>
  </x:si>
  <x:si>
    <x:t xml:space="preserve">Muscle-up: 3 quality attempts + crisp high pulls; HSPU: Full-ROM attempts + back-off; Pistol: Sets of clean pistols</x:t>
  </x:si>
  <x:si>
    <x:t xml:space="preserve">A) Quality muscle-up attempts: 3 singles, B) Crisp high pull: 3 x 2, C) Clean pistol: 3 x 2/leg, Core: 5 rounds</x:t>
  </x:si>
  <x:si>
    <x:t xml:space="preserve">A) Full-ROM wall HSPU: 3 single attempts, B) Pike push-up back-off: 2 x 4, C) Clean pistol: 3 x 2/leg, Core: 5 rounds</x:t>
  </x:si>
  <x:si>
    <x:t xml:space="preserve">Test</x:t>
  </x:si>
  <x:si>
    <x:t xml:space="preserve">2 easy rounds; tests replace extras</x:t>
  </x:si>
  <x:si>
    <x:t xml:space="preserve">Muscle-up: Test after warm-up; HSPU: Test after warm-up; Pistol: Test after warm-up</x:t>
  </x:si>
  <x:si>
    <x:t xml:space="preserve">A) Muscle-up test: up to 3 rested singles, B) Pistol test: 1 clean set/leg (cap at 5), C) Easy scapular pull-up: 1 x 5 if time remains, Core: 2 rounds</x:t>
  </x:si>
  <x:si>
    <x:t xml:space="preserve">A) Wall HSPU test: 1 clean set (cap at 5), B) Easy wall handstand: 1 x 15 sec, C) Gentle wrist/shoulder mobility: 2 min, Core: 2 rounds</x:t>
  </x:si>
  <x:si>
    <x:t xml:space="preserve">Exercise arsenal</x:t>
  </x:si>
  <x:si>
    <x:t xml:space="preserve">Group</x:t>
  </x:si>
  <x:si>
    <x:t xml:space="preserve">Exercise</x:t>
  </x:si>
  <x:si>
    <x:t xml:space="preserve">Easy scapular pull-up</x:t>
  </x:si>
  <x:si>
    <x:t xml:space="preserve">Scapular pull-up</x:t>
  </x:si>
  <x:si>
    <x:t xml:space="preserve">Easy high pull</x:t>
  </x:si>
  <x:si>
    <x:t xml:space="preserve">High pull</x:t>
  </x:si>
  <x:si>
    <x:t xml:space="preserve">High pull (chest-to-bar intent)</x:t>
  </x:si>
  <x:si>
    <x:t xml:space="preserve">Explosive pull-up</x:t>
  </x:si>
  <x:si>
    <x:t xml:space="preserve">Chest-to-bar pull-up</x:t>
  </x:si>
  <x:si>
    <x:t xml:space="preserve">Crisp high pull</x:t>
  </x:si>
  <x:si>
    <x:t xml:space="preserve">Easy low-bar transition</x:t>
  </x:si>
  <x:si>
    <x:t xml:space="preserve">Low-bar transition</x:t>
  </x:si>
  <x:si>
    <x:t xml:space="preserve">Low-bar slow transition</x:t>
  </x:si>
  <x:si>
    <x:t xml:space="preserve">Band transition drill</x:t>
  </x:si>
  <x:si>
    <x:t xml:space="preserve">Band-assisted transition</x:t>
  </x:si>
  <x:si>
    <x:t xml:space="preserve">Jumping muscle-up</x:t>
  </x:si>
  <x:si>
    <x:t xml:space="preserve">Band-assisted muscle-up</x:t>
  </x:si>
  <x:si>
    <x:t xml:space="preserve">Stronger-band back-off muscle-up</x:t>
  </x:si>
  <x:si>
    <x:t xml:space="preserve">Light-band muscle-up</x:t>
  </x:si>
  <x:si>
    <x:t xml:space="preserve">Light-band or strict muscle-up</x:t>
  </x:si>
  <x:si>
    <x:t xml:space="preserve">Quality muscle-up attempts</x:t>
  </x:si>
  <x:si>
    <x:t xml:space="preserve">Muscle-up test</x:t>
  </x:si>
  <x:si>
    <x:t xml:space="preserve">Handstand / HSPU</x:t>
  </x:si>
  <x:si>
    <x:t xml:space="preserve">Easy chest-to-wall hold</x:t>
  </x:si>
  <x:si>
    <x:t xml:space="preserve">Chest-to-wall handstand</x:t>
  </x:si>
  <x:si>
    <x:t xml:space="preserve">Easy wall handstand</x:t>
  </x:si>
  <x:si>
    <x:t xml:space="preserve">Wall handstand</x:t>
  </x:si>
  <x:si>
    <x:t xml:space="preserve">Wall handstand line drill</x:t>
  </x:si>
  <x:si>
    <x:t xml:space="preserve">Easy pike push-up</x:t>
  </x:si>
  <x:si>
    <x:t xml:space="preserve">Pike push-up</x:t>
  </x:si>
  <x:si>
    <x:t xml:space="preserve">Elevated pike push-up</x:t>
  </x:si>
  <x:si>
    <x:t xml:space="preserve">Deficit pike push-up</x:t>
  </x:si>
  <x:si>
    <x:t xml:space="preserve">Wall HSPU negative</x:t>
  </x:si>
  <x:si>
    <x:t xml:space="preserve">Full-ROM wall HSPU negative</x:t>
  </x:si>
  <x:si>
    <x:t xml:space="preserve">Partial wall HSPU</x:t>
  </x:si>
  <x:si>
    <x:t xml:space="preserve">Deeper wall HSPU</x:t>
  </x:si>
  <x:si>
    <x:t xml:space="preserve">Full-ROM wall HSPU</x:t>
  </x:si>
  <x:si>
    <x:t xml:space="preserve">Wall HSPU clusters</x:t>
  </x:si>
  <x:si>
    <x:t xml:space="preserve">Pike push-up back-off</x:t>
  </x:si>
  <x:si>
    <x:t xml:space="preserve">Wall HSPU test</x:t>
  </x:si>
  <x:si>
    <x:t xml:space="preserve">Box pistol</x:t>
  </x:si>
  <x:si>
    <x:t xml:space="preserve">Lower-box pistol with counterweight</x:t>
  </x:si>
  <x:si>
    <x:t xml:space="preserve">Assisted pistol</x:t>
  </x:si>
  <x:si>
    <x:t xml:space="preserve">Assisted smooth pistol</x:t>
  </x:si>
  <x:si>
    <x:t xml:space="preserve">Assisted full-depth pistol</x:t>
  </x:si>
  <x:si>
    <x:t xml:space="preserve">Counterweight pistol</x:t>
  </x:si>
  <x:si>
    <x:t xml:space="preserve">Light-counterweight pistol</x:t>
  </x:si>
  <x:si>
    <x:t xml:space="preserve">Unassisted pistol to target</x:t>
  </x:si>
  <x:si>
    <x:t xml:space="preserve">Unassisted pistol</x:t>
  </x:si>
  <x:si>
    <x:t xml:space="preserve">Pistol clusters</x:t>
  </x:si>
  <x:si>
    <x:t xml:space="preserve">Clean pistol</x:t>
  </x:si>
  <x:si>
    <x:t xml:space="preserve">Pistol test</x:t>
  </x:si>
  <x:si>
    <x:t xml:space="preserve">Pull-up</x:t>
  </x:si>
  <x:si>
    <x:t xml:space="preserve">Push-up</x:t>
  </x:si>
  <x:si>
    <x:t xml:space="preserve">Weighted squat</x:t>
  </x:si>
  <x:si>
    <x:t xml:space="preserve">Upside-down hanging shoulder/ab work</x:t>
  </x:si>
  <x:si>
    <x:t xml:space="preserve">Mobility</x:t>
  </x:si>
  <x:si>
    <x:t xml:space="preserve">Gentle wrist/shoulder mobility</x:t>
  </x:si>
  <x:si>
    <x:t xml:space="preserve">Wrist/shoulder mobility</x:t>
  </x:si>
  <x:si>
    <x:t xml:space="preserve">Weekly schedule</x:t>
  </x:si>
  <x:si>
    <x:t xml:space="preserve">Day</x:t>
  </x:si>
  <x:si>
    <x:t xml:space="preserve">Time Start</x:t>
  </x:si>
  <x:si>
    <x:t xml:space="preserve">Time End</x:t>
  </x:si>
  <x:si>
    <x:t xml:space="preserve">Activity</x:t>
  </x:si>
  <x:si>
    <x:t xml:space="preserve">Recorded by</x:t>
  </x:si>
  <x:si>
    <x:t xml:space="preserve">Notes</x:t>
  </x:si>
  <x:si>
    <x:t xml:space="preserve">Monday</x:t>
  </x:si>
  <x:si>
    <x:t xml:space="preserve">Tuesday</x:t>
  </x:si>
  <x:si>
    <x:t xml:space="preserve">Tracker</x:t>
  </x:si>
  <x:si>
    <x:t xml:space="preserve">Regular weekly swim training</x:t>
  </x:si>
  <x:si>
    <x:t xml:space="preserve">Wednesday</x:t>
  </x:si>
  <x:si>
    <x:t xml:space="preserve">Thursday</x:t>
  </x:si>
  <x:si>
    <x:t xml:space="preserve">Friday</x:t>
  </x:si>
  <x:si>
    <x:t xml:space="preserve">Saturday</x:t>
  </x:si>
  <x:si>
    <x:t xml:space="preserve">Sunday</x:t>
  </x:si>
  <x:si>
    <x:t xml:space="preserve">Regular weekly run</x:t>
  </x:si>
  <x:si>
    <x:t xml:space="preserve">C</x:t>
  </x:si>
  <x:si>
    <x:t xml:space="preserve">Date</x:t>
  </x:si>
  <x:si>
    <x:t xml:space="preserve">Block</x:t>
  </x:si>
  <x:si>
    <x:t xml:space="preserve">Title</x:t>
  </x:si>
  <x:si>
    <x:t xml:space="preserve">Planned minutes</x:t>
  </x:si>
  <x:si>
    <x:t xml:space="preserve">Actual minutes</x:t>
  </x:si>
  <x:si>
    <x:t xml:space="preserve">Status</x:t>
  </x:si>
  <x:si>
    <x:t xml:space="preserve">Done</x:t>
  </x:si>
  <x:si>
    <x:t xml:space="preserve">Skill A + interval circuit</x:t>
  </x:si>
  <x:si>
    <x:t xml:space="preserve">planned</x:t>
  </x:si>
  <x:si>
    <x:t xml:space="preserve">10 min easy technique
A) Wrist/shoulder mobility: 2 min
B) Easy chest-to-wall hold: 3 x 15 sec
C) Wall handstand line drill: 2 x 15 sec</x:t>
  </x:si>
  <x:si>
    <x:t xml:space="preserve">Handstand technique</x:t>
  </x:si>
  <x:si>
    <x:t xml:space="preserve">Skill B + circuit</x:t>
  </x:si>
  <x:si>
    <x:t xml:space="preserve">20 min easy technique
A) Wrist/shoulder mobility: 2 min
B) Easy chest-to-wall hold: 3 x 15 sec
C) Wall handstand line drill: 3 x 15 sec</x:t>
  </x:si>
  <x:si>
    <x:t xml:space="preserve">Skill micro-session</x:t>
  </x:si>
  <x:si>
    <x:t xml:space="preserve">5 min easy technique
A) Wrist/shoulder mobility: 1 min
B) Easy chest-to-wall hold: 2 x 10 sec
C) Wall handstand line drill: 1 x 10 sec</x:t>
  </x:si>
  <x:si>
    <x:t xml:space="preserve">Skill B + interval circuit</x:t>
  </x:si>
  <x:si>
    <x:t xml:space="preserve">10 min easy technique
A) Wrist/shoulder mobility: 1 min
B) Easy chest-to-wall hold: 2 x 10 sec
C) Wall handstand line drill: 1 x 10 sec</x:t>
  </x:si>
</x:sst>
</file>

<file path=xl/styles.xml><?xml version="1.0" encoding="utf-8"?>
<x:styleSheet xmlns:x="http://schemas.openxmlformats.org/spreadsheetml/2006/main">
  <x:numFmts count="17">
    <x:numFmt numFmtId="164" formatCode="General"/>
    <x:numFmt numFmtId="165" formatCode="_-* #,##0.00\ _€_-;\-* #,##0.00\ _€_-;_-* \-??\ _€_-;_-@_-"/>
    <x:numFmt numFmtId="166" formatCode="_-* #,##0.00\ _€_-;\-* #,##0.00\ _€_-;_-* \-??\ _€_-;_-@_-"/>
    <x:numFmt numFmtId="167" formatCode="_-* #,##0\ _€_-;\-* #,##0\ _€_-;_-* &quot;- &quot;_€_-;_-@_-"/>
    <x:numFmt numFmtId="168" formatCode="_-* #,##0\ _€_-;\-* #,##0\ _€_-;_-* &quot;- &quot;_€_-;_-@_-"/>
    <x:numFmt numFmtId="169" formatCode="_-* #,##0.00&quot; €&quot;_-;\-* #,##0.00&quot; €&quot;_-;_-* \-??&quot; €&quot;_-;_-@_-"/>
    <x:numFmt numFmtId="170" formatCode="_-* #,##0.00&quot; €&quot;_-;\-* #,##0.00&quot; €&quot;_-;_-* \-??&quot; €&quot;_-;_-@_-"/>
    <x:numFmt numFmtId="171" formatCode="_-* #,##0&quot; €&quot;_-;\-* #,##0&quot; €&quot;_-;_-* &quot;- €&quot;_-;_-@_-"/>
    <x:numFmt numFmtId="172" formatCode="_-* #,##0&quot; €&quot;_-;\-* #,##0&quot; €&quot;_-;_-* &quot;- €&quot;_-;_-@_-"/>
    <x:numFmt numFmtId="173" formatCode="0\ %"/>
    <x:numFmt numFmtId="174" formatCode="0\ %"/>
    <x:numFmt numFmtId="175" formatCode="yyyy\-mm\-dd"/>
    <x:numFmt numFmtId="176" formatCode="hh:mm"/>
    <x:numFmt numFmtId="177" formatCode="0"/>
    <x:numFmt numFmtId="200" formatCode="mm:ss"/>
    <x:numFmt numFmtId="201" formatCode="yyyy-mm-dd"/>
    <x:numFmt numFmtId="202" formatCode="0.0"/>
  </x:numFmts>
  <x:fonts count="29">
    <x:font>
      <x:sz val="10"/>
      <x:name val="Arial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  <x:family val="2"/>
    </x:font>
    <x:font>
      <x:sz val="11"/>
      <x:name val="Calibri"/>
    </x:font>
    <x:font>
      <x:b/>
      <x:sz val="10"/>
      <x:color rgb="FF243247"/>
      <x:name val="Arial"/>
    </x:font>
    <x:font>
      <x:sz val="10"/>
      <x:color rgb="FF243247"/>
      <x:name val="Arial"/>
    </x:font>
    <x:font>
      <x:sz val="10"/>
      <x:color rgb="FF243247"/>
      <x:name val="Arial"/>
      <x:family val="2"/>
    </x:font>
    <x:font>
      <x:b/>
      <x:sz val="10"/>
      <x:color rgb="FFFFFFFF"/>
      <x:name val="Arial"/>
    </x:font>
    <x:font>
      <x:b/>
      <x:sz val="10"/>
      <x:color rgb="FF243247"/>
      <x:name val="Arial"/>
      <x:family val="2"/>
    </x:font>
    <x:font>
      <x:b/>
      <x:sz val="13"/>
      <x:color rgb="FFFFFFFF"/>
      <x:name val="Arial"/>
      <x:family val="2"/>
    </x:font>
    <x:font>
      <x:b/>
      <x:sz val="10"/>
      <x:color rgb="FFFFFFFF"/>
      <x:name val="Arial"/>
      <x:family val="2"/>
    </x:font>
    <x:font>
      <x:b/>
      <x:sz val="10"/>
      <x:color rgb="FF334155"/>
      <x:name val="Arial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155"/>
      <x:name val="Arial"/>
      <x:family val="2"/>
    </x:font>
    <x:font>
      <x:b/>
      <x:sz val="10"/>
      <x:color rgb="FF475569"/>
      <x:name val="Arial"/>
    </x:font>
    <x:font>
      <x:b/>
      <x:sz val="10"/>
      <x:color rgb="FF355A4B"/>
      <x:name val="Arial"/>
    </x:font>
    <x:font>
      <x:b/>
      <x:sz val="11"/>
      <x:color rgb="FF334155"/>
      <x:name val="Arial"/>
      <x:family val="2"/>
    </x:font>
    <x:font>
      <x:b/>
      <x:sz val="10"/>
      <x:color rgb="FF475569"/>
      <x:name val="Arial"/>
      <x:family val="2"/>
    </x:font>
    <x:font>
      <x:sz val="10"/>
      <x:color rgb="FF64748B"/>
      <x:name val="Arial"/>
      <x:family val="2"/>
    </x:font>
    <x:font>
      <x:sz val="10"/>
      <x:color rgb="FF334155"/>
      <x:name val="Arial"/>
    </x:font>
    <x:font>
      <x:sz val="10"/>
      <x:color rgb="FF334155"/>
      <x:name val="Arial"/>
      <x:family val="2"/>
    </x:font>
    <x:font>
      <x:b/>
      <x:sz val="10"/>
      <x:color rgb="FF334D45"/>
      <x:name val="Arial"/>
    </x:font>
    <x:font>
      <x:b/>
      <x:sz val="10"/>
      <x:color rgb="FF334D45"/>
      <x:name val="Arial"/>
      <x:family val="2"/>
    </x:font>
    <x:font>
      <x:b/>
      <x:sz val="14"/>
      <x:color rgb="FF334155"/>
      <x:name val="Arial"/>
      <x:family val="2"/>
    </x:font>
    <x:font>
      <x:sz val="10"/>
      <x:color rgb="FF475569"/>
      <x:name val="Arial"/>
      <x:family val="2"/>
    </x:font>
  </x:fonts>
  <x:fills count="44">
    <x:fill>
      <x:patternFill patternType="none"/>
    </x:fill>
    <x:fill>
      <x:patternFill patternType="gray125"/>
    </x:fill>
    <x:fill>
      <x:patternFill patternType="solid">
        <x:fgColor rgb="FFD9E3EF"/>
      </x:patternFill>
    </x:fill>
    <x:fill>
      <x:patternFill patternType="solid">
        <x:fgColor rgb="FF33465E"/>
      </x:patternFill>
    </x:fill>
    <x:fill>
      <x:patternFill patternType="solid">
        <x:fgColor rgb="FFE8EFF8"/>
      </x:patternFill>
    </x:fill>
    <x:fill>
      <x:patternFill patternType="solid">
        <x:fgColor rgb="FFFFF4D6"/>
      </x:patternFill>
    </x:fill>
    <x:fill>
      <x:patternFill patternType="solid">
        <x:fgColor rgb="FFF0F2F5"/>
      </x:patternFill>
    </x:fill>
    <x:fill>
      <x:patternFill patternType="solid">
        <x:fgColor rgb="FFE6ECF3"/>
      </x:patternFill>
    </x:fill>
    <x:fill>
      <x:patternFill patternType="solid">
        <x:fgColor rgb="FFE8F3EC"/>
      </x:patternFill>
    </x:fill>
    <x:fill>
      <x:patternFill patternType="solid">
        <x:fgColor rgb="FFFFF4D5"/>
      </x:patternFill>
    </x:fill>
    <x:fill>
      <x:patternFill patternType="solid">
        <x:fgColor rgb="FFFFFFFF"/>
      </x:patternFill>
    </x:fill>
    <x:fill>
      <x:patternFill patternType="solid">
        <x:fgColor rgb="FFF5F7F8"/>
      </x:patternFill>
    </x:fill>
    <x:fill>
      <x:patternFill patternType="solid">
        <x:fgColor rgb="FFE7EDEE"/>
      </x:patternFill>
    </x:fill>
    <x:fill>
      <x:patternFill patternType="solid">
        <x:fgColor rgb="FFF0F3F4"/>
      </x:patternFill>
    </x:fill>
    <x:fill>
      <x:patternFill patternType="solid">
        <x:fgColor rgb="FFEFF5F1"/>
      </x:patternFill>
    </x:fill>
    <x:fill>
      <x:patternFill patternType="solid">
        <x:fgColor rgb="FFDDEBE4"/>
      </x:patternFill>
    </x:fill>
    <x:fill>
      <x:patternFill patternType="solid">
        <x:fgColor rgb="FFE4EAF0"/>
      </x:patternFill>
    </x:fill>
    <x:fill>
      <x:patternFill patternType="solid">
        <x:fgColor rgb="FFFFFFFF"/>
      </x:patternFill>
    </x:fill>
    <x:fill>
      <x:patternFill patternType="solid">
        <x:fgColor rgb="FFF7F9FA"/>
      </x:patternFill>
    </x:fill>
    <x:fill>
      <x:patternFill patternType="solid">
        <x:fgColor rgb="FFE6ECEA"/>
      </x:patternFill>
    </x:fill>
    <x:fill>
      <x:patternFill patternType="solid">
        <x:fgColor rgb="FFF0F3F4"/>
      </x:patternFill>
    </x:fill>
    <x:fill>
      <x:patternFill patternType="solid">
        <x:fgColor rgb="FFDCEAE3"/>
      </x:patternFill>
    </x:fill>
    <x:fill>
      <x:patternFill patternType="solid">
        <x:fgColor rgb="FFE4EAF0"/>
      </x:patternFill>
    </x:fill>
    <x:fill>
      <x:patternFill patternType="solid">
        <x:fgColor rgb="FFEAF3ED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FFFFF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E4EAF0"/>
      </x:patternFill>
    </x:fill>
    <x:fill>
      <x:patternFill patternType="solid">
        <x:fgColor rgb="FFF7F9FA"/>
      </x:patternFill>
    </x:fill>
    <x:fill>
      <x:patternFill patternType="solid">
        <x:fgColor rgb="FFEAF3ED"/>
      </x:patternFill>
    </x:fill>
    <x:fill>
      <x:patternFill patternType="solid">
        <x:fgColor rgb="FFF4F9F5"/>
      </x:patternFill>
    </x:fill>
    <x:fill>
      <x:patternFill patternType="solid">
        <x:fgColor rgb="FFF7F9FA"/>
      </x:patternFill>
    </x:fill>
    <x:fill>
      <x:patternFill patternType="solid">
        <x:fgColor rgb="FFFFFFFF"/>
      </x:patternFill>
    </x:fill>
    <x:fill>
      <x:patternFill patternType="solid">
        <x:fgColor rgb="FFE4EAF0"/>
      </x:patternFill>
    </x:fill>
    <x:fill>
      <x:patternFill patternType="solid">
        <x:fgColor rgb="FFE3EAF0"/>
      </x:patternFill>
    </x:fill>
    <x:fill>
      <x:patternFill patternType="solid">
        <x:fgColor rgb="FFF5F7F9"/>
      </x:patternFill>
    </x:fill>
    <x:fill>
      <x:patternFill patternType="solid">
        <x:fgColor rgb="FFE8F2EC"/>
      </x:patternFill>
    </x:fill>
    <x:fill>
      <x:patternFill patternType="solid">
        <x:fgColor rgb="FFFFFFFF"/>
      </x:patternFill>
    </x:fill>
    <x:fill>
      <x:patternFill patternType="solid">
        <x:fgColor rgb="FFF2F8F4"/>
      </x:patternFill>
    </x:fill>
    <x:fill>
      <x:patternFill patternType="solid">
        <x:fgColor rgb="FFEEF2F5"/>
      </x:patternFill>
    </x:fill>
  </x:fills>
  <x:borders count="11">
    <x:border diagonalUp="0" diagonalDown="0">
      <x:left/>
      <x:right/>
      <x:top/>
      <x:bottom/>
      <x:diagonal/>
    </x:border>
    <x:border diagonalUp="0" diagonalDown="0">
      <x:left style="thin"/>
      <x:right/>
      <x:top style="thin"/>
      <x:bottom style="thin"/>
      <x:diagonal/>
    </x:border>
    <x:border diagonalUp="0" diagonalDown="0">
      <x:left/>
      <x:right style="thin"/>
      <x:top style="thin"/>
      <x:bottom/>
      <x:diagonal/>
    </x:border>
    <x:border diagonalUp="0" diagonalDown="0">
      <x:left/>
      <x:right style="thin"/>
      <x:top/>
      <x:bottom/>
      <x:diagonal/>
    </x:border>
    <x:border diagonalUp="0" diagonalDown="0">
      <x:left/>
      <x:right style="thin"/>
      <x:top/>
      <x:bottom style="thin"/>
      <x:diagonal/>
    </x:border>
    <x:border diagonalUp="0" diagonalDown="0">
      <x:left/>
      <x:right/>
      <x:top style="thin">
        <x:color rgb="FF8297AD"/>
      </x:top>
      <x:bottom style="thin">
        <x:color rgb="FFCCD6E2"/>
      </x:bottom>
      <x:diagonal/>
    </x:border>
    <x:border diagonalUp="0" diagonalDown="0">
      <x:left/>
      <x:right/>
      <x:top style="thin">
        <x:color rgb="FFCCD6E2"/>
      </x:top>
      <x:bottom style="thin">
        <x:color rgb="FF8297AD"/>
      </x:bottom>
      <x:diagonal/>
    </x:border>
    <x:border diagonalUp="0" diagonalDown="0">
      <x:left style="none"/>
      <x:right style="none"/>
      <x:top style="none"/>
      <x:bottom style="none"/>
      <x:diagonal/>
    </x:border>
    <x:border diagonalUp="0" diagonalDown="0">
      <x:left style="thin">
        <x:color rgb="FFCBD5DF"/>
      </x:left>
      <x:right style="none"/>
      <x:top style="none"/>
      <x:bottom style="none"/>
      <x:diagonal/>
    </x:border>
    <x:border diagonalUp="0" diagonalDown="0">
      <x:left style="thin">
        <x:color rgb="FFE5E9ED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  <x:border diagonalUp="0" diagonalDown="0">
      <x:left style="thin">
        <x:color rgb="FFC5D1D5"/>
      </x:left>
      <x:right style="thin">
        <x:color rgb="FFE5E9ED"/>
      </x:right>
      <x:top style="thin">
        <x:color rgb="FFE5E9ED"/>
      </x:top>
      <x:bottom style="thin">
        <x:color rgb="FFE5E9ED"/>
      </x:bottom>
      <x:diagonal/>
    </x:border>
  </x:borders>
  <x:cellStyleXfs count="33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4" fillId="0" borderId="0" applyFont="1" applyBorder="0" applyAlignment="0" applyProtection="0"/>
    <x:xf numFmtId="167" fontId="4" fillId="0" borderId="0" applyFont="1" applyBorder="0" applyAlignment="0" applyProtection="0"/>
    <x:xf numFmtId="168" fontId="4" fillId="0" borderId="0" applyFont="1" applyBorder="0" applyAlignment="0" applyProtection="0"/>
    <x:xf numFmtId="169" fontId="4" fillId="0" borderId="0" applyFont="1" applyBorder="0" applyAlignment="0" applyProtection="0"/>
    <x:xf numFmtId="170" fontId="4" fillId="0" borderId="0" applyFont="1" applyBorder="0" applyAlignment="0" applyProtection="0"/>
    <x:xf numFmtId="171" fontId="4" fillId="0" borderId="0" applyFont="1" applyBorder="0" applyAlignment="0" applyProtection="0"/>
    <x:xf numFmtId="172" fontId="4" fillId="0" borderId="0" applyFont="1" applyBorder="0" applyAlignment="0" applyProtection="0"/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64" fontId="6" fillId="0" borderId="0" applyFont="1" applyBorder="1" applyAlignment="1" applyProtection="1">
      <x:alignment horizontal="general" vertical="bottom" wrapText="0" shrinkToFit="0"/>
      <x:protection locked="1" hidden="0"/>
    </x:xf>
    <x:xf numFmtId="164" fontId="5" fillId="0" borderId="0" applyFont="1" applyBorder="1" applyAlignment="1" applyProtection="1">
      <x:alignment horizontal="general" vertical="bottom" wrapText="0" shrinkToFit="0"/>
      <x:protection locked="1" hidden="0"/>
    </x:xf>
    <x:xf numFmtId="173" fontId="4" fillId="0" borderId="0" applyFont="1" applyBorder="0" applyAlignment="0" applyProtection="0"/>
    <x:xf numFmtId="174" fontId="4" fillId="0" borderId="0" applyFont="1" applyBorder="0" applyAlignment="0" applyProtection="0"/>
  </x:cellStyleXfs>
  <x:cellXfs count="342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5" fillId="0" borderId="0" xfId="30" applyFont="0" applyBorder="0" applyAlignment="1" applyProtection="1">
      <x:alignment horizontal="general" vertical="bottom" wrapText="0" shrinkToFit="0"/>
      <x:protection locked="1" hidden="0"/>
    </x:xf>
    <x:xf numFmtId="164" fontId="7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9" fillId="0" borderId="0" xfId="30" applyFont="1" applyBorder="1" applyAlignment="1" applyProtection="1">
      <x:alignment horizontal="general" vertical="top" wrapText="1" shrinkToFit="0"/>
      <x:protection locked="1" hidden="0"/>
    </x:xf>
    <x:xf numFmtId="164" fontId="10" fillId="3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5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2" borderId="0" xfId="28" applyFont="1" applyBorder="1" applyAlignment="1" applyProtection="0">
      <x:alignment horizontal="general" vertical="top" wrapText="1" shrinkToFit="0"/>
      <x:protection locked="1" hidden="0"/>
    </x:xf>
    <x:xf numFmtId="164" fontId="10" fillId="3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9" fillId="5" borderId="0" xfId="28" applyFont="1" applyBorder="1" applyAlignment="1" applyProtection="0">
      <x:alignment horizontal="general" vertical="top" wrapText="1" shrinkToFit="0"/>
      <x:protection locked="1" hidden="0"/>
    </x:xf>
    <x:xf numFmtId="164" fontId="8" fillId="4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5" borderId="0" xfId="28" applyFont="1" applyBorder="1" applyAlignment="1" applyProtection="1">
      <x:alignment horizontal="general" vertical="top" wrapText="1" shrinkToFit="0"/>
      <x:protection locked="1" hidden="0"/>
    </x:xf>
    <x:xf numFmtId="164" fontId="11" fillId="2" borderId="0" xfId="30" applyFont="1" applyBorder="1" applyAlignment="1" applyProtection="1">
      <x:alignment horizontal="general" vertical="top" wrapText="1" shrinkToFit="0"/>
      <x:protection locked="1" hidden="0"/>
    </x:xf>
    <x:xf numFmtId="175" fontId="8" fillId="6" borderId="0" xfId="30" applyFont="1" applyBorder="1" applyAlignment="1" applyProtection="1">
      <x:alignment horizontal="general" vertical="top" wrapText="1" shrinkToFit="0"/>
      <x:protection locked="1" hidden="0"/>
    </x:xf>
    <x:xf numFmtId="164" fontId="7" fillId="7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1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2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3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4" xfId="30" applyFont="1" applyBorder="1" applyAlignment="1" applyProtection="1">
      <x:alignment horizontal="general" vertical="top" wrapText="1" shrinkToFit="0"/>
      <x:protection locked="1" hidden="0"/>
    </x:xf>
    <x:xf numFmtId="164" fontId="9" fillId="2" borderId="0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5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5" xfId="30" applyFont="1" applyBorder="1" applyAlignment="1" applyProtection="1">
      <x:alignment horizontal="general" vertical="top" wrapText="1" shrinkToFit="0"/>
      <x:protection locked="1" hidden="0"/>
    </x:xf>
    <x:xf numFmtId="164" fontId="8" fillId="4" borderId="6" xfId="30" applyFont="1" applyBorder="1" applyAlignment="1" applyProtection="1">
      <x:alignment horizontal="general" vertical="top" wrapText="1" shrinkToFit="0"/>
      <x:protection locked="1" hidden="0"/>
    </x:xf>
    <x:xf numFmtId="176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77" fontId="8" fillId="6" borderId="6" xfId="30" applyFont="1" applyBorder="1" applyAlignment="1" applyProtection="1">
      <x:alignment horizontal="general" vertical="top" wrapText="1" shrinkToFit="0"/>
      <x:protection locked="1" hidden="0"/>
    </x:xf>
    <x:xf numFmtId="164" fontId="8" fillId="5" borderId="6" xfId="30" applyFont="1" applyBorder="1" applyAlignment="1" applyProtection="1">
      <x:alignment horizontal="general" vertical="top" wrapText="1" shrinkToFit="0"/>
      <x:protection locked="1" hidden="0"/>
    </x:xf>
    <x:xf numFmtId="164" fontId="12" fillId="3" borderId="0" xfId="28" applyFont="1" applyBorder="1" applyAlignment="1" applyProtection="0">
      <x:alignment horizontal="center" vertical="center" wrapText="0" shrinkToFit="0"/>
      <x:protection locked="1" hidden="0"/>
    </x:xf>
    <x:xf numFmtId="164" fontId="10" fillId="3" borderId="0" xfId="28" applyFont="1" applyBorder="1" applyAlignment="1" applyProtection="1">
      <x:alignment horizontal="general" vertical="top" wrapText="1" shrinkToFit="0"/>
      <x:protection locked="1" hidden="0"/>
    </x:xf>
    <x:xf numFmtId="164" fontId="13" fillId="3" borderId="0" xfId="28" applyFont="1" applyBorder="1" applyAlignment="1" applyProtection="0">
      <x:alignment horizontal="center" vertical="bottom" wrapText="1" shrinkToFit="0"/>
      <x:protection locked="1" hidden="0"/>
    </x:xf>
    <x:xf numFmtId="164" fontId="13" fillId="3" borderId="0" xfId="28" applyFont="1" applyBorder="1" applyAlignment="1" applyProtection="0">
      <x:alignment horizontal="general" vertical="bottom" wrapText="1" shrinkToFit="0"/>
      <x:protection locked="1" hidden="0"/>
    </x:xf>
    <x:xf numFmtId="175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6" borderId="0" xfId="28" applyFont="1" applyBorder="1" applyAlignment="1" applyProtection="1">
      <x:alignment horizontal="general" vertical="top" wrapText="1" shrinkToFit="0"/>
      <x:protection locked="1" hidden="0"/>
    </x:xf>
    <x:xf numFmtId="164" fontId="8" fillId="8" borderId="0" xfId="28" applyFont="1" applyBorder="1" applyAlignment="1" applyProtection="1">
      <x:alignment horizontal="general" vertical="top" wrapText="1" shrinkToFit="0"/>
      <x:protection locked="1" hidden="0"/>
    </x:xf>
    <x:xf numFmtId="164" fontId="5" fillId="9" borderId="0" xfId="28" applyFont="1" applyBorder="1" applyAlignment="1" applyProtection="0">
      <x:alignment horizontal="general" vertical="bottom" wrapText="0" shrinkToFit="0"/>
      <x:protection locked="1" hidden="0"/>
    </x:xf>
    <x:xf numFmtId="164" fontId="0" fillId="0" borderId="0" xfId="0" applyFont="0" applyBorder="0" applyAlignment="0" applyProtection="0">
      <x:alignment horizontal="general" vertical="bottom" wrapText="0" shrinkToFit="0"/>
      <x:protection locked="1" hidden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7" fillId="10" borderId="0" xfId="0" applyNumberFormat="1" applyFont="1" applyFill="1" applyBorder="1" applyAlignment="1">
      <x:alignment horizontal="general" vertical="top" wrapText="1"/>
    </x:xf>
    <x:xf numFmtId="164" fontId="8" fillId="10" borderId="0" xfId="0" applyNumberFormat="1" applyFont="1" applyFill="1" applyBorder="1" applyAlignment="1">
      <x:alignment horizontal="general" vertical="top" wrapText="1"/>
    </x:xf>
    <x:xf numFmtId="164" fontId="9" fillId="10" borderId="0" xfId="0" applyNumberFormat="1" applyFont="1" applyFill="1" applyBorder="1" applyAlignment="1">
      <x:alignment horizontal="general" vertical="top" wrapText="1"/>
    </x:xf>
    <x:xf numFmtId="164" fontId="10" fillId="10" borderId="0" xfId="0" applyNumberFormat="1" applyFont="1" applyFill="1" applyBorder="1" applyAlignment="1">
      <x:alignment horizontal="general" vertical="top" wrapText="1"/>
    </x:xf>
    <x:xf numFmtId="175" fontId="8" fillId="10" borderId="0" xfId="0" applyNumberFormat="1" applyFont="1" applyFill="1" applyBorder="1" applyAlignment="1">
      <x:alignment horizontal="general" vertical="top" wrapText="1"/>
    </x:xf>
    <x:xf numFmtId="164" fontId="11" fillId="10" borderId="0" xfId="0" applyNumberFormat="1" applyFont="1" applyFill="1" applyBorder="1" applyAlignment="1">
      <x:alignment horizontal="general" vertical="top" wrapText="1"/>
    </x:xf>
    <x:xf numFmtId="164" fontId="8" fillId="10" borderId="1" xfId="0" applyNumberFormat="1" applyFont="1" applyFill="1" applyBorder="1" applyAlignment="1">
      <x:alignment horizontal="general" vertical="top" wrapText="1"/>
    </x:xf>
    <x:xf numFmtId="164" fontId="8" fillId="10" borderId="2" xfId="0" applyNumberFormat="1" applyFont="1" applyFill="1" applyBorder="1" applyAlignment="1">
      <x:alignment horizontal="general" vertical="top" wrapText="1"/>
    </x:xf>
    <x:xf numFmtId="164" fontId="8" fillId="10" borderId="3" xfId="0" applyNumberFormat="1" applyFont="1" applyFill="1" applyBorder="1" applyAlignment="1">
      <x:alignment horizontal="general" vertical="top" wrapText="1"/>
    </x:xf>
    <x:xf numFmtId="164" fontId="8" fillId="10" borderId="4" xfId="0" applyNumberFormat="1" applyFont="1" applyFill="1" applyBorder="1" applyAlignment="1">
      <x:alignment horizontal="general" vertical="top" wrapText="1"/>
    </x:xf>
    <x:xf numFmtId="164" fontId="14" fillId="10" borderId="0" xfId="0" applyNumberFormat="1" applyFont="1" applyFill="1" applyBorder="1" applyAlignment="1">
      <x:alignment horizontal="general" vertical="top" wrapText="1"/>
    </x:xf>
    <x:xf numFmtId="164" fontId="15" fillId="10" borderId="0" xfId="0" applyNumberFormat="1" applyFont="1" applyFill="1" applyBorder="1" applyAlignment="1">
      <x:alignment horizontal="general" vertical="top" wrapText="1"/>
    </x:xf>
    <x:xf numFmtId="164" fontId="16" fillId="10" borderId="0" xfId="0" applyNumberFormat="1" applyFont="1" applyFill="1" applyBorder="1" applyAlignment="1">
      <x:alignment horizontal="general" vertical="top" wrapText="1"/>
    </x:xf>
    <x:xf numFmtId="175" fontId="15" fillId="10" borderId="0" xfId="0" applyNumberFormat="1" applyFont="1" applyFill="1" applyBorder="1" applyAlignment="1">
      <x:alignment horizontal="general" vertical="top" wrapText="1"/>
    </x:xf>
    <x:xf numFmtId="164" fontId="17" fillId="10" borderId="0" xfId="0" applyNumberFormat="1" applyFont="1" applyFill="1" applyBorder="1" applyAlignment="1">
      <x:alignment horizontal="general" vertical="top" wrapText="1"/>
    </x:xf>
    <x:xf numFmtId="164" fontId="15" fillId="10" borderId="1" xfId="0" applyNumberFormat="1" applyFont="1" applyFill="1" applyBorder="1" applyAlignment="1">
      <x:alignment horizontal="general" vertical="top" wrapText="1"/>
    </x:xf>
    <x:xf numFmtId="164" fontId="15" fillId="10" borderId="2" xfId="0" applyNumberFormat="1" applyFont="1" applyFill="1" applyBorder="1" applyAlignment="1">
      <x:alignment horizontal="general" vertical="top" wrapText="1"/>
    </x:xf>
    <x:xf numFmtId="164" fontId="15" fillId="10" borderId="3" xfId="0" applyNumberFormat="1" applyFont="1" applyFill="1" applyBorder="1" applyAlignment="1">
      <x:alignment horizontal="general" vertical="top" wrapText="1"/>
    </x:xf>
    <x:xf numFmtId="164" fontId="15" fillId="10" borderId="4" xfId="0" applyNumberFormat="1" applyFont="1" applyFill="1" applyBorder="1" applyAlignment="1">
      <x:alignment horizontal="general" vertical="top" wrapText="1"/>
    </x:xf>
    <x:xf numFmtId="164" fontId="14" fillId="10" borderId="7" xfId="0" applyNumberFormat="1" applyFont="1" applyFill="1" applyBorder="1" applyAlignment="1">
      <x:alignment horizontal="general" vertical="top" wrapText="1"/>
    </x:xf>
    <x:xf numFmtId="164" fontId="15" fillId="10" borderId="7" xfId="0" applyNumberFormat="1" applyFont="1" applyFill="1" applyBorder="1" applyAlignment="1">
      <x:alignment horizontal="general" vertical="top" wrapText="1"/>
    </x:xf>
    <x:xf numFmtId="164" fontId="16" fillId="10" borderId="7" xfId="0" applyNumberFormat="1" applyFont="1" applyFill="1" applyBorder="1" applyAlignment="1">
      <x:alignment horizontal="general" vertical="top" wrapText="1"/>
    </x:xf>
    <x:xf numFmtId="175" fontId="15" fillId="10" borderId="7" xfId="0" applyNumberFormat="1" applyFont="1" applyFill="1" applyBorder="1" applyAlignment="1">
      <x:alignment horizontal="general" vertical="top" wrapText="1"/>
    </x:xf>
    <x:xf numFmtId="164" fontId="17" fillId="10" borderId="7" xfId="0" applyNumberFormat="1" applyFont="1" applyFill="1" applyBorder="1" applyAlignment="1">
      <x:alignment horizontal="general" vertical="top" wrapText="1"/>
    </x:xf>
    <x:xf numFmtId="164" fontId="15" fillId="11" borderId="7" xfId="0" applyNumberFormat="1" applyFont="1" applyFill="1" applyBorder="1" applyAlignment="1">
      <x:alignment horizontal="general" vertical="top" wrapText="1"/>
    </x:xf>
    <x:xf numFmtId="175" fontId="15" fillId="11" borderId="7" xfId="0" applyNumberFormat="1" applyFont="1" applyFill="1" applyBorder="1" applyAlignment="1">
      <x:alignment horizontal="general" vertical="top" wrapText="1"/>
    </x:xf>
    <x:xf numFmtId="164" fontId="16" fillId="11" borderId="7" xfId="0" applyNumberFormat="1" applyFont="1" applyFill="1" applyBorder="1" applyAlignment="1">
      <x:alignment horizontal="general" vertical="top" wrapText="1"/>
    </x:xf>
    <x:xf numFmtId="164" fontId="14" fillId="11" borderId="7" xfId="0" applyNumberFormat="1" applyFont="1" applyFill="1" applyBorder="1" applyAlignment="1">
      <x:alignment horizontal="general" vertical="top" wrapText="1"/>
    </x:xf>
    <x:xf numFmtId="164" fontId="17" fillId="11" borderId="7" xfId="0" applyNumberFormat="1" applyFont="1" applyFill="1" applyBorder="1" applyAlignment="1">
      <x:alignment horizontal="general" vertical="top" wrapText="1"/>
    </x:xf>
    <x:xf numFmtId="164" fontId="14" fillId="12" borderId="7" xfId="0" applyNumberFormat="1" applyFont="1" applyFill="1" applyBorder="1" applyAlignment="1">
      <x:alignment horizontal="general" vertical="top" wrapText="1"/>
    </x:xf>
    <x:xf numFmtId="164" fontId="15" fillId="12" borderId="7" xfId="0" applyNumberFormat="1" applyFont="1" applyFill="1" applyBorder="1" applyAlignment="1">
      <x:alignment horizontal="general" vertical="top" wrapText="1"/>
    </x:xf>
    <x:xf numFmtId="164" fontId="14" fillId="13" borderId="7" xfId="0" applyNumberFormat="1" applyFont="1" applyFill="1" applyBorder="1" applyAlignment="1">
      <x:alignment horizontal="general" vertical="top" wrapText="1"/>
    </x:xf>
    <x:xf numFmtId="164" fontId="15" fillId="13" borderId="7" xfId="0" applyNumberFormat="1" applyFont="1" applyFill="1" applyBorder="1" applyAlignment="1">
      <x:alignment horizontal="general" vertical="top" wrapText="1"/>
    </x:xf>
    <x:xf numFmtId="164" fontId="18" fillId="13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top" wrapText="1"/>
    </x:xf>
    <x:xf numFmtId="164" fontId="17" fillId="12" borderId="7" xfId="0" applyNumberFormat="1" applyFont="1" applyFill="1" applyBorder="1" applyAlignment="1">
      <x:alignment horizontal="general" vertical="top" wrapText="1"/>
    </x:xf>
    <x:xf numFmtId="164" fontId="8" fillId="10" borderId="5" xfId="0" applyNumberFormat="1" applyFont="1" applyFill="1" applyBorder="1" applyAlignment="1">
      <x:alignment horizontal="general" vertical="top" wrapText="1"/>
    </x:xf>
    <x:xf numFmtId="176" fontId="8" fillId="10" borderId="5" xfId="0" applyNumberFormat="1" applyFont="1" applyFill="1" applyBorder="1" applyAlignment="1">
      <x:alignment horizontal="general" vertical="top" wrapText="1"/>
    </x:xf>
    <x:xf numFmtId="177" fontId="8" fillId="10" borderId="5" xfId="0" applyNumberFormat="1" applyFont="1" applyFill="1" applyBorder="1" applyAlignment="1">
      <x:alignment horizontal="general" vertical="top" wrapText="1"/>
    </x:xf>
    <x:xf numFmtId="164" fontId="8" fillId="10" borderId="6" xfId="0" applyNumberFormat="1" applyFont="1" applyFill="1" applyBorder="1" applyAlignment="1">
      <x:alignment horizontal="general" vertical="top" wrapText="1"/>
    </x:xf>
    <x:xf numFmtId="176" fontId="8" fillId="10" borderId="6" xfId="0" applyNumberFormat="1" applyFont="1" applyFill="1" applyBorder="1" applyAlignment="1">
      <x:alignment horizontal="general" vertical="top" wrapText="1"/>
    </x:xf>
    <x:xf numFmtId="177" fontId="8" fillId="10" borderId="6" xfId="0" applyNumberFormat="1" applyFont="1" applyFill="1" applyBorder="1" applyAlignment="1">
      <x:alignment horizontal="general" vertical="top" wrapText="1"/>
    </x:xf>
    <x:xf numFmtId="164" fontId="15" fillId="10" borderId="5" xfId="0" applyNumberFormat="1" applyFont="1" applyFill="1" applyBorder="1" applyAlignment="1">
      <x:alignment horizontal="general" vertical="top" wrapText="1"/>
    </x:xf>
    <x:xf numFmtId="176" fontId="15" fillId="10" borderId="5" xfId="0" applyNumberFormat="1" applyFont="1" applyFill="1" applyBorder="1" applyAlignment="1">
      <x:alignment horizontal="general" vertical="top" wrapText="1"/>
    </x:xf>
    <x:xf numFmtId="177" fontId="15" fillId="10" borderId="5" xfId="0" applyNumberFormat="1" applyFont="1" applyFill="1" applyBorder="1" applyAlignment="1">
      <x:alignment horizontal="general" vertical="top" wrapText="1"/>
    </x:xf>
    <x:xf numFmtId="164" fontId="15" fillId="10" borderId="6" xfId="0" applyNumberFormat="1" applyFont="1" applyFill="1" applyBorder="1" applyAlignment="1">
      <x:alignment horizontal="general" vertical="top" wrapText="1"/>
    </x:xf>
    <x:xf numFmtId="176" fontId="15" fillId="10" borderId="6" xfId="0" applyNumberFormat="1" applyFont="1" applyFill="1" applyBorder="1" applyAlignment="1">
      <x:alignment horizontal="general" vertical="top" wrapText="1"/>
    </x:xf>
    <x:xf numFmtId="177" fontId="15" fillId="10" borderId="6" xfId="0" applyNumberFormat="1" applyFont="1" applyFill="1" applyBorder="1" applyAlignment="1">
      <x:alignment horizontal="general" vertical="top" wrapText="1"/>
    </x:xf>
    <x:xf numFmtId="176" fontId="15" fillId="10" borderId="7" xfId="0" applyNumberFormat="1" applyFont="1" applyFill="1" applyBorder="1" applyAlignment="1">
      <x:alignment horizontal="general" vertical="top" wrapText="1"/>
    </x:xf>
    <x:xf numFmtId="177" fontId="15" fillId="10" borderId="7" xfId="0" applyNumberFormat="1" applyFont="1" applyFill="1" applyBorder="1" applyAlignment="1">
      <x:alignment horizontal="general" vertical="top" wrapText="1"/>
    </x:xf>
    <x:xf numFmtId="176" fontId="15" fillId="11" borderId="7" xfId="0" applyNumberFormat="1" applyFont="1" applyFill="1" applyBorder="1" applyAlignment="1">
      <x:alignment horizontal="general" vertical="top" wrapText="1"/>
    </x:xf>
    <x:xf numFmtId="177" fontId="15" fillId="11" borderId="7" xfId="0" applyNumberFormat="1" applyFont="1" applyFill="1" applyBorder="1" applyAlignment="1">
      <x:alignment horizontal="general" vertical="top" wrapText="1"/>
    </x:xf>
    <x:xf numFmtId="164" fontId="18" fillId="12" borderId="7" xfId="0" applyNumberFormat="1" applyFont="1" applyFill="1" applyBorder="1" applyAlignment="1">
      <x:alignment horizontal="general" vertical="top" wrapText="1"/>
    </x:xf>
    <x:xf numFmtId="176" fontId="15" fillId="12" borderId="7" xfId="0" applyNumberFormat="1" applyFont="1" applyFill="1" applyBorder="1" applyAlignment="1">
      <x:alignment horizontal="general" vertical="top" wrapText="1"/>
    </x:xf>
    <x:xf numFmtId="177" fontId="15" fillId="12" borderId="7" xfId="0" applyNumberFormat="1" applyFont="1" applyFill="1" applyBorder="1" applyAlignment="1">
      <x:alignment horizontal="general" vertical="top" wrapText="1"/>
    </x:xf>
    <x:xf numFmtId="176" fontId="14" fillId="12" borderId="7" xfId="0" applyNumberFormat="1" applyFont="1" applyFill="1" applyBorder="1" applyAlignment="1">
      <x:alignment horizontal="general" vertical="top" wrapText="1"/>
    </x:xf>
    <x:xf numFmtId="177" fontId="14" fillId="12" borderId="7" xfId="0" applyNumberFormat="1" applyFont="1" applyFill="1" applyBorder="1" applyAlignment="1">
      <x:alignment horizontal="general" vertical="top" wrapText="1"/>
    </x:xf>
    <x:xf numFmtId="176" fontId="15" fillId="13" borderId="7" xfId="0" applyNumberFormat="1" applyFont="1" applyFill="1" applyBorder="1" applyAlignment="1">
      <x:alignment horizontal="general" vertical="top" wrapText="1"/>
    </x:xf>
    <x:xf numFmtId="177" fontId="15" fillId="13" borderId="7" xfId="0" applyNumberFormat="1" applyFont="1" applyFill="1" applyBorder="1" applyAlignment="1">
      <x:alignment horizontal="general" vertical="top" wrapText="1"/>
    </x:xf>
    <x:xf numFmtId="176" fontId="18" fillId="13" borderId="7" xfId="0" applyNumberFormat="1" applyFont="1" applyFill="1" applyBorder="1" applyAlignment="1">
      <x:alignment horizontal="general" vertical="top" wrapText="1"/>
    </x:xf>
    <x:xf numFmtId="177" fontId="18" fillId="13" borderId="7" xfId="0" applyNumberFormat="1" applyFont="1" applyFill="1" applyBorder="1" applyAlignment="1">
      <x:alignment horizontal="general" vertical="top" wrapText="1"/>
    </x:xf>
    <x:xf numFmtId="164" fontId="0" fillId="10" borderId="0" xfId="0" applyNumberFormat="1" applyFont="1" applyFill="1" applyBorder="1" applyAlignment="1">
      <x:alignment horizontal="general" vertical="bottom" wrapText="0"/>
    </x:xf>
    <x:xf numFmtId="164" fontId="12" fillId="10" borderId="0" xfId="0" applyNumberFormat="1" applyFont="1" applyFill="1" applyBorder="1" applyAlignment="1">
      <x:alignment horizontal="center" vertical="center" wrapText="0"/>
    </x:xf>
    <x:xf numFmtId="164" fontId="13" fillId="10" borderId="0" xfId="0" applyNumberFormat="1" applyFont="1" applyFill="1" applyBorder="1" applyAlignment="1">
      <x:alignment horizontal="center" vertical="bottom" wrapText="1"/>
    </x:xf>
    <x:xf numFmtId="164" fontId="0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0" xfId="0" applyNumberFormat="1" applyFont="1" applyFill="1" applyBorder="1" applyAlignment="1">
      <x:alignment horizontal="general" vertical="bottom" wrapText="0"/>
    </x:xf>
    <x:xf numFmtId="164" fontId="17" fillId="10" borderId="0" xfId="0" applyNumberFormat="1" applyFont="1" applyFill="1" applyBorder="1" applyAlignment="1">
      <x:alignment horizontal="center" vertical="center" wrapText="0"/>
    </x:xf>
    <x:xf numFmtId="164" fontId="17" fillId="10" borderId="0" xfId="0" applyNumberFormat="1" applyFont="1" applyFill="1" applyBorder="1" applyAlignment="1">
      <x:alignment horizontal="center" vertical="bottom" wrapText="1"/>
    </x:xf>
    <x:xf numFmtId="164" fontId="16" fillId="1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general" vertical="bottom" wrapText="0"/>
    </x:xf>
    <x:xf numFmtId="164" fontId="17" fillId="10" borderId="7" xfId="0" applyNumberFormat="1" applyFont="1" applyFill="1" applyBorder="1" applyAlignment="1">
      <x:alignment horizontal="center" vertical="center" wrapText="0"/>
    </x:xf>
    <x:xf numFmtId="164" fontId="17" fillId="10" borderId="7" xfId="0" applyNumberFormat="1" applyFont="1" applyFill="1" applyBorder="1" applyAlignment="1">
      <x:alignment horizontal="center" vertical="bottom" wrapText="1"/>
    </x:xf>
    <x:xf numFmtId="164" fontId="16" fillId="10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general" vertical="bottom" wrapText="0"/>
    </x:xf>
    <x:xf numFmtId="164" fontId="16" fillId="11" borderId="7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5" fillId="14" borderId="7" xfId="0" applyNumberFormat="1" applyFont="1" applyFill="1" applyBorder="1" applyAlignment="1">
      <x:alignment horizontal="general" vertical="top" wrapText="1"/>
    </x:xf>
    <x:xf numFmtId="164" fontId="19" fillId="14" borderId="7" xfId="0" applyNumberFormat="1" applyFont="1" applyFill="1" applyBorder="1" applyAlignment="1">
      <x:alignment horizontal="general" vertical="top" wrapText="1"/>
    </x:xf>
    <x:xf numFmtId="164" fontId="16" fillId="12" borderId="7" xfId="0" applyNumberFormat="1" applyFont="1" applyFill="1" applyBorder="1" applyAlignment="1">
      <x:alignment horizontal="general" vertical="bottom" wrapText="0"/>
    </x:xf>
    <x:xf numFmtId="164" fontId="17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general" vertical="bottom" wrapText="0"/>
    </x:xf>
    <x:xf numFmtId="164" fontId="20" fillId="12" borderId="7" xfId="0" applyNumberFormat="1" applyFont="1" applyFill="1" applyBorder="1" applyAlignment="1">
      <x:alignment horizontal="center" vertical="center" wrapText="0"/>
    </x:xf>
    <x:xf numFmtId="164" fontId="20" fillId="12" borderId="7" xfId="0" applyNumberFormat="1" applyFont="1" applyFill="1" applyBorder="1" applyAlignment="1">
      <x:alignment horizontal="center" vertical="bottom" wrapText="0"/>
    </x:xf>
    <x:xf numFmtId="164" fontId="17" fillId="13" borderId="7" xfId="0" applyNumberFormat="1" applyFont="1" applyFill="1" applyBorder="1" applyAlignment="1">
      <x:alignment horizontal="center" vertical="bottom" wrapText="1"/>
    </x:xf>
    <x:xf numFmtId="164" fontId="16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center" vertical="bottom" wrapText="1"/>
    </x:xf>
    <x:xf numFmtId="164" fontId="21" fillId="13" borderId="7" xfId="0" applyNumberFormat="1" applyFont="1" applyFill="1" applyBorder="1" applyAlignment="1">
      <x:alignment horizontal="general" vertical="bottom" wrapText="0"/>
    </x:xf>
    <x:xf numFmtId="164" fontId="21" fillId="13" borderId="7" xfId="0" applyNumberFormat="1" applyFont="1" applyFill="1" applyBorder="1" applyAlignment="1">
      <x:alignment horizontal="general" vertical="bottom" wrapText="1"/>
    </x:xf>
    <x:xf numFmtId="164" fontId="18" fillId="13" borderId="7" xfId="0" applyNumberFormat="1" applyFont="1" applyFill="1" applyBorder="1" applyAlignment="1">
      <x:alignment horizontal="center" vertical="top" wrapText="1"/>
    </x:xf>
    <x:xf numFmtId="164" fontId="18" fillId="13" borderId="7" xfId="0" applyNumberFormat="1" applyFont="1" applyFill="1" applyBorder="1" applyAlignment="1">
      <x:alignment horizontal="center" vertical="center" wrapText="1"/>
    </x:xf>
    <x:xf numFmtId="164" fontId="21" fillId="13" borderId="7" xfId="0" applyNumberFormat="1" applyFont="1" applyFill="1" applyBorder="1" applyAlignment="1">
      <x:alignment horizontal="center" vertical="center" wrapText="1"/>
    </x:xf>
    <x:xf numFmtId="164" fontId="20" fillId="15" borderId="7" xfId="0" applyNumberFormat="1" applyFont="1" applyFill="1" applyBorder="1" applyAlignment="1">
      <x:alignment horizontal="center" vertical="center" wrapText="0"/>
    </x:xf>
    <x:xf numFmtId="164" fontId="20" fillId="16" borderId="7" xfId="0" applyNumberFormat="1" applyFont="1" applyFill="1" applyBorder="1" applyAlignment="1">
      <x:alignment horizontal="center" vertical="center" wrapText="0"/>
    </x:xf>
    <x:xf numFmtId="175" fontId="15" fillId="11" borderId="7" xfId="0" applyNumberFormat="1" applyFont="1" applyFill="1" applyBorder="1" applyAlignment="1">
      <x:alignment horizontal="general" vertical="center" wrapText="1"/>
    </x:xf>
    <x:xf numFmtId="164" fontId="15" fillId="11" borderId="7" xfId="0" applyNumberFormat="1" applyFont="1" applyFill="1" applyBorder="1" applyAlignment="1">
      <x:alignment horizontal="general" vertical="center" wrapText="1"/>
    </x:xf>
    <x:xf numFmtId="164" fontId="16" fillId="11" borderId="7" xfId="0" applyNumberFormat="1" applyFont="1" applyFill="1" applyBorder="1" applyAlignment="1">
      <x:alignment horizontal="general" vertical="center" wrapText="0"/>
    </x:xf>
    <x:xf numFmtId="164" fontId="16" fillId="11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75" fontId="15" fillId="10" borderId="7" xfId="0" applyNumberFormat="1" applyFont="1" applyFill="1" applyBorder="1" applyAlignment="1">
      <x:alignment horizontal="general" vertical="center" wrapText="1"/>
    </x:xf>
    <x:xf numFmtId="164" fontId="15" fillId="10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0"/>
    </x:xf>
    <x:xf numFmtId="164" fontId="16" fillId="10" borderId="7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0"/>
    </x:xf>
    <x:xf numFmtId="164" fontId="16" fillId="11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0"/>
    </x:xf>
    <x:xf numFmtId="164" fontId="16" fillId="10" borderId="7" xfId="0" applyNumberFormat="1" applyFont="1" applyFill="1" applyBorder="1" applyAlignment="1">
      <x:alignment horizontal="center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1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10" borderId="7" xfId="0" applyNumberFormat="1" applyFont="1" applyFill="1" applyBorder="1" applyAlignment="1">
      <x:alignment horizontal="center" vertical="center" wrapText="1"/>
    </x:xf>
    <x:xf numFmtId="164" fontId="16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7" xfId="0" applyNumberFormat="1" applyFont="1" applyFill="1" applyBorder="1" applyAlignment="1">
      <x:alignment horizontal="center" vertical="center" wrapText="1"/>
    </x:xf>
    <x:xf numFmtId="164" fontId="22" fillId="10" borderId="7" xfId="0" applyNumberFormat="1" applyFont="1" applyFill="1" applyBorder="1" applyAlignment="1">
      <x:alignment horizontal="center" vertical="center" wrapText="1"/>
    </x:xf>
    <x:xf numFmtId="164" fontId="20" fillId="15" borderId="8" xfId="0" applyNumberFormat="1" applyFont="1" applyFill="1" applyBorder="1" applyAlignment="1">
      <x:alignment horizontal="center" vertical="center" wrapText="0"/>
    </x:xf>
    <x:xf numFmtId="164" fontId="21" fillId="13" borderId="8" xfId="0" applyNumberFormat="1" applyFont="1" applyFill="1" applyBorder="1" applyAlignment="1">
      <x:alignment horizontal="center" vertical="center" wrapText="1"/>
    </x:xf>
    <x:xf numFmtId="164" fontId="22" fillId="11" borderId="8" xfId="0" applyNumberFormat="1" applyFont="1" applyFill="1" applyBorder="1" applyAlignment="1">
      <x:alignment horizontal="center" vertical="center" wrapText="1"/>
    </x:xf>
    <x:xf numFmtId="164" fontId="22" fillId="10" borderId="8" xfId="0" applyNumberFormat="1" applyFont="1" applyFill="1" applyBorder="1" applyAlignment="1">
      <x:alignment horizontal="center" vertical="center" wrapText="1"/>
    </x:xf>
    <x:xf numFmtId="164" fontId="20" fillId="16" borderId="8" xfId="0" applyNumberFormat="1" applyFont="1" applyFill="1" applyBorder="1" applyAlignment="1">
      <x:alignment horizontal="center" vertical="center" wrapText="0"/>
    </x:xf>
    <x:xf numFmtId="164" fontId="22" fillId="11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7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1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2" fillId="10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1" borderId="7" xfId="0" applyNumberFormat="1" applyFont="1" applyFill="1" applyBorder="1" applyAlignment="1">
      <x:alignment horizontal="center" vertical="center" wrapText="1"/>
    </x:xf>
    <x:xf numFmtId="177" fontId="16" fillId="10" borderId="7" xfId="0" applyNumberFormat="1" applyFont="1" applyFill="1" applyBorder="1" applyAlignment="1">
      <x:alignment horizontal="center" vertical="center" wrapText="1"/>
    </x:xf>
    <x:xf numFmtId="164" fontId="16" fillId="11" borderId="7" xfId="0" applyNumberFormat="1" applyFont="1" applyFill="1" applyBorder="1" applyAlignment="1">
      <x:alignment horizontal="general" vertical="center" wrapText="1"/>
    </x:xf>
    <x:xf numFmtId="164" fontId="16" fillId="10" borderId="7" xfId="0" applyNumberFormat="1" applyFont="1" applyFill="1" applyBorder="1" applyAlignment="1">
      <x:alignment horizontal="general" vertical="center" wrapText="1"/>
    </x:xf>
    <x:xf numFmtId="164" fontId="14" fillId="17" borderId="7" xfId="0" applyNumberFormat="1" applyFont="1" applyFill="1" applyBorder="1" applyAlignment="1">
      <x:alignment horizontal="general" vertical="top" wrapText="1"/>
    </x:xf>
    <x:xf numFmtId="164" fontId="15" fillId="17" borderId="7" xfId="0" applyNumberFormat="1" applyFont="1" applyFill="1" applyBorder="1" applyAlignment="1">
      <x:alignment horizontal="general" vertical="top" wrapText="1"/>
    </x:xf>
    <x:xf numFmtId="164" fontId="16" fillId="17" borderId="7" xfId="0" applyNumberFormat="1" applyFont="1" applyFill="1" applyBorder="1" applyAlignment="1">
      <x:alignment horizontal="general" vertical="top" wrapText="1"/>
    </x:xf>
    <x:xf numFmtId="164" fontId="18" fillId="17" borderId="7" xfId="0" applyNumberFormat="1" applyFont="1" applyFill="1" applyBorder="1" applyAlignment="1">
      <x:alignment horizontal="general" vertical="top" wrapText="1"/>
    </x:xf>
    <x:xf numFmtId="175" fontId="15" fillId="17" borderId="7" xfId="0" applyNumberFormat="1" applyFont="1" applyFill="1" applyBorder="1" applyAlignment="1">
      <x:alignment horizontal="general" vertical="top" wrapText="1"/>
    </x:xf>
    <x:xf numFmtId="164" fontId="19" fillId="17" borderId="7" xfId="0" applyNumberFormat="1" applyFont="1" applyFill="1" applyBorder="1" applyAlignment="1">
      <x:alignment horizontal="general" vertical="top" wrapText="1"/>
    </x:xf>
    <x:xf numFmtId="164" fontId="17" fillId="17" borderId="7" xfId="0" applyNumberFormat="1" applyFont="1" applyFill="1" applyBorder="1" applyAlignment="1">
      <x:alignment horizontal="general" vertical="top" wrapText="1"/>
    </x:xf>
    <x:xf numFmtId="164" fontId="23" fillId="17" borderId="7" xfId="0" applyNumberFormat="1" applyFont="1" applyFill="1" applyBorder="1" applyAlignment="1">
      <x:alignment horizontal="general" vertical="top" wrapText="1"/>
    </x:xf>
    <x:xf numFmtId="164" fontId="24" fillId="17" borderId="7" xfId="0" applyNumberFormat="1" applyFont="1" applyFill="1" applyBorder="1" applyAlignment="1">
      <x:alignment horizontal="general" vertical="top" wrapText="1"/>
    </x:xf>
    <x:xf numFmtId="175" fontId="23" fillId="17" borderId="7" xfId="0" applyNumberFormat="1" applyFont="1" applyFill="1" applyBorder="1" applyAlignment="1">
      <x:alignment horizontal="general" vertical="top" wrapText="1"/>
    </x:xf>
    <x:xf numFmtId="164" fontId="23" fillId="17" borderId="9" xfId="0" applyNumberFormat="1" applyFont="1" applyFill="1" applyBorder="1" applyAlignment="1">
      <x:alignment horizontal="general" vertical="top" wrapText="1"/>
    </x:xf>
    <x:xf numFmtId="164" fontId="24" fillId="17" borderId="9" xfId="0" applyNumberFormat="1" applyFont="1" applyFill="1" applyBorder="1" applyAlignment="1">
      <x:alignment horizontal="general" vertical="top" wrapText="1"/>
    </x:xf>
    <x:xf numFmtId="175" fontId="23" fillId="17" borderId="9" xfId="0" applyNumberFormat="1" applyFont="1" applyFill="1" applyBorder="1" applyAlignment="1">
      <x:alignment horizontal="general" vertical="top" wrapText="1"/>
    </x:xf>
    <x:xf numFmtId="164" fontId="23" fillId="18" borderId="9" xfId="0" applyNumberFormat="1" applyFont="1" applyFill="1" applyBorder="1" applyAlignment="1">
      <x:alignment horizontal="general" vertical="top" wrapText="1"/>
    </x:xf>
    <x:xf numFmtId="175" fontId="23" fillId="18" borderId="9" xfId="0" applyNumberFormat="1" applyFont="1" applyFill="1" applyBorder="1" applyAlignment="1">
      <x:alignment horizontal="general" vertical="top" wrapText="1"/>
    </x:xf>
    <x:xf numFmtId="164" fontId="24" fillId="18" borderId="9" xfId="0" applyNumberFormat="1" applyFont="1" applyFill="1" applyBorder="1" applyAlignment="1">
      <x:alignment horizontal="general" vertical="top" wrapText="1"/>
    </x:xf>
    <x:xf numFmtId="164" fontId="23" fillId="19" borderId="9" xfId="0" applyNumberFormat="1" applyFont="1" applyFill="1" applyBorder="1" applyAlignment="1">
      <x:alignment horizontal="general" vertical="top" wrapText="1"/>
    </x:xf>
    <x:xf numFmtId="164" fontId="25" fillId="19" borderId="9" xfId="0" applyNumberFormat="1" applyFont="1" applyFill="1" applyBorder="1" applyAlignment="1">
      <x:alignment horizontal="general" vertical="top" wrapText="1"/>
    </x:xf>
    <x:xf numFmtId="164" fontId="23" fillId="20" borderId="9" xfId="0" applyNumberFormat="1" applyFont="1" applyFill="1" applyBorder="1" applyAlignment="1">
      <x:alignment horizontal="general" vertical="top" wrapText="1"/>
    </x:xf>
    <x:xf numFmtId="164" fontId="18" fillId="20" borderId="9" xfId="0" applyNumberFormat="1" applyFont="1" applyFill="1" applyBorder="1" applyAlignment="1">
      <x:alignment horizontal="general" vertical="top" wrapText="1"/>
    </x:xf>
    <x:xf numFmtId="164" fontId="24" fillId="19" borderId="9" xfId="0" applyNumberFormat="1" applyFont="1" applyFill="1" applyBorder="1" applyAlignment="1">
      <x:alignment horizontal="general" vertical="top" wrapText="1"/>
    </x:xf>
    <x:xf numFmtId="164" fontId="26" fillId="19" borderId="9" xfId="0" applyNumberFormat="1" applyFont="1" applyFill="1" applyBorder="1" applyAlignment="1">
      <x:alignment horizontal="general" vertical="top" wrapText="1"/>
    </x:xf>
    <x:xf numFmtId="176" fontId="15" fillId="17" borderId="7" xfId="0" applyNumberFormat="1" applyFont="1" applyFill="1" applyBorder="1" applyAlignment="1">
      <x:alignment horizontal="general" vertical="top" wrapText="1"/>
    </x:xf>
    <x:xf numFmtId="177" fontId="15" fillId="17" borderId="7" xfId="0" applyNumberFormat="1" applyFont="1" applyFill="1" applyBorder="1" applyAlignment="1">
      <x:alignment horizontal="general" vertical="top" wrapText="1"/>
    </x:xf>
    <x:xf numFmtId="176" fontId="14" fillId="17" borderId="7" xfId="0" applyNumberFormat="1" applyFont="1" applyFill="1" applyBorder="1" applyAlignment="1">
      <x:alignment horizontal="general" vertical="top" wrapText="1"/>
    </x:xf>
    <x:xf numFmtId="177" fontId="14" fillId="17" borderId="7" xfId="0" applyNumberFormat="1" applyFont="1" applyFill="1" applyBorder="1" applyAlignment="1">
      <x:alignment horizontal="general" vertical="top" wrapText="1"/>
    </x:xf>
    <x:xf numFmtId="176" fontId="18" fillId="17" borderId="7" xfId="0" applyNumberFormat="1" applyFont="1" applyFill="1" applyBorder="1" applyAlignment="1">
      <x:alignment horizontal="general" vertical="top" wrapText="1"/>
    </x:xf>
    <x:xf numFmtId="177" fontId="18" fillId="17" borderId="7" xfId="0" applyNumberFormat="1" applyFont="1" applyFill="1" applyBorder="1" applyAlignment="1">
      <x:alignment horizontal="general" vertical="top" wrapText="1"/>
    </x:xf>
    <x:xf numFmtId="176" fontId="23" fillId="17" borderId="7" xfId="0" applyNumberFormat="1" applyFont="1" applyFill="1" applyBorder="1" applyAlignment="1">
      <x:alignment horizontal="general" vertical="top" wrapText="1"/>
    </x:xf>
    <x:xf numFmtId="177" fontId="23" fillId="17" borderId="7" xfId="0" applyNumberFormat="1" applyFont="1" applyFill="1" applyBorder="1" applyAlignment="1">
      <x:alignment horizontal="general" vertical="top" wrapText="1"/>
    </x:xf>
    <x:xf numFmtId="176" fontId="23" fillId="17" borderId="9" xfId="0" applyNumberFormat="1" applyFont="1" applyFill="1" applyBorder="1" applyAlignment="1">
      <x:alignment horizontal="general" vertical="top" wrapText="1"/>
    </x:xf>
    <x:xf numFmtId="177" fontId="23" fillId="17" borderId="9" xfId="0" applyNumberFormat="1" applyFont="1" applyFill="1" applyBorder="1" applyAlignment="1">
      <x:alignment horizontal="general" vertical="top" wrapText="1"/>
    </x:xf>
    <x:xf numFmtId="176" fontId="23" fillId="18" borderId="9" xfId="0" applyNumberFormat="1" applyFont="1" applyFill="1" applyBorder="1" applyAlignment="1">
      <x:alignment horizontal="general" vertical="top" wrapText="1"/>
    </x:xf>
    <x:xf numFmtId="177" fontId="23" fillId="18" borderId="9" xfId="0" applyNumberFormat="1" applyFont="1" applyFill="1" applyBorder="1" applyAlignment="1">
      <x:alignment horizontal="general" vertical="top" wrapText="1"/>
    </x:xf>
    <x:xf numFmtId="164" fontId="20" fillId="17" borderId="7" xfId="0" applyNumberFormat="1" applyFont="1" applyFill="1" applyBorder="1" applyAlignment="1">
      <x:alignment horizontal="center" vertical="center" wrapText="0"/>
    </x:xf>
    <x:xf numFmtId="164" fontId="20" fillId="17" borderId="8" xfId="0" applyNumberFormat="1" applyFont="1" applyFill="1" applyBorder="1" applyAlignment="1">
      <x:alignment horizontal="center" vertical="center" wrapText="0"/>
    </x:xf>
    <x:xf numFmtId="164" fontId="18" fillId="17" borderId="7" xfId="0" applyNumberFormat="1" applyFont="1" applyFill="1" applyBorder="1" applyAlignment="1">
      <x:alignment horizontal="center" vertical="center" wrapText="1"/>
    </x:xf>
    <x:xf numFmtId="164" fontId="21" fillId="17" borderId="8" xfId="0" applyNumberFormat="1" applyFont="1" applyFill="1" applyBorder="1" applyAlignment="1">
      <x:alignment horizontal="center" vertical="center" wrapText="1"/>
    </x:xf>
    <x:xf numFmtId="164" fontId="21" fillId="17" borderId="7" xfId="0" applyNumberFormat="1" applyFont="1" applyFill="1" applyBorder="1" applyAlignment="1">
      <x:alignment horizontal="center" vertical="center" wrapText="1"/>
    </x:xf>
    <x:xf numFmtId="175" fontId="15" fillId="17" borderId="7" xfId="0" applyNumberFormat="1" applyFont="1" applyFill="1" applyBorder="1" applyAlignment="1">
      <x:alignment horizontal="general" vertical="center" wrapText="1"/>
    </x:xf>
    <x:xf numFmtId="164" fontId="15" fillId="17" borderId="7" xfId="0" applyNumberFormat="1" applyFont="1" applyFill="1" applyBorder="1" applyAlignment="1">
      <x:alignment horizontal="general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center" vertical="center" wrapText="1"/>
    </x:xf>
    <x:xf numFmtId="164" fontId="22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17" borderId="7" xfId="0" applyNumberFormat="1" applyFont="1" applyFill="1" applyBorder="1" applyAlignment="1">
      <x:alignment horizontal="center" vertical="center" wrapText="1"/>
    </x:xf>
    <x:xf numFmtId="164" fontId="16" fillId="17" borderId="7" xfId="0" applyNumberFormat="1" applyFont="1" applyFill="1" applyBorder="1" applyAlignment="1">
      <x:alignment horizontal="general" vertical="center" wrapText="1"/>
    </x:xf>
    <x:xf numFmtId="164" fontId="24" fillId="17" borderId="7" xfId="0" applyNumberFormat="1" applyFont="1" applyFill="1" applyBorder="1" applyAlignment="1">
      <x:alignment horizontal="center" vertical="center" wrapText="0"/>
    </x:xf>
    <x:xf numFmtId="164" fontId="24" fillId="17" borderId="8" xfId="0" applyNumberFormat="1" applyFont="1" applyFill="1" applyBorder="1" applyAlignment="1">
      <x:alignment horizontal="center" vertical="center" wrapText="0"/>
    </x:xf>
    <x:xf numFmtId="164" fontId="23" fillId="17" borderId="7" xfId="0" applyNumberFormat="1" applyFont="1" applyFill="1" applyBorder="1" applyAlignment="1">
      <x:alignment horizontal="center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center" vertical="center" wrapText="1"/>
    </x:xf>
    <x:xf numFmtId="175" fontId="23" fillId="17" borderId="7" xfId="0" applyNumberFormat="1" applyFont="1" applyFill="1" applyBorder="1" applyAlignment="1">
      <x:alignment horizontal="general" vertical="center" wrapText="1"/>
    </x:xf>
    <x:xf numFmtId="164" fontId="23" fillId="17" borderId="7" xfId="0" applyNumberFormat="1" applyFont="1" applyFill="1" applyBorder="1" applyAlignment="1">
      <x:alignment horizontal="general" vertical="center" wrapText="1"/>
    </x:xf>
    <x:xf numFmtId="164" fontId="24" fillId="17" borderId="8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7" xfId="0" applyNumberFormat="1" applyFont="1" applyFill="1" applyBorder="1" applyAlignment="1">
      <x:alignment horizontal="center" vertical="center" wrapText="1"/>
    </x:xf>
    <x:xf numFmtId="164" fontId="24" fillId="17" borderId="7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0"/>
    </x:xf>
    <x:xf numFmtId="164" fontId="23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</x:xf>
    <x:xf numFmtId="175" fontId="23" fillId="17" borderId="9" xfId="0" applyNumberFormat="1" applyFont="1" applyFill="1" applyBorder="1" applyAlignment="1">
      <x:alignment horizontal="general" vertical="center" wrapText="1"/>
    </x:xf>
    <x:xf numFmtId="164" fontId="23" fillId="17" borderId="9" xfId="0" applyNumberFormat="1" applyFont="1" applyFill="1" applyBorder="1" applyAlignment="1">
      <x:alignment horizontal="general" vertical="center" wrapText="1"/>
    </x:xf>
    <x:xf numFmtId="164" fontId="24" fillId="17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7" borderId="9" xfId="0" applyNumberFormat="1" applyFont="1" applyFill="1" applyBorder="1" applyAlignment="1">
      <x:alignment horizontal="center" vertical="center" wrapText="1"/>
    </x:xf>
    <x:xf numFmtId="164" fontId="24" fillId="17" borderId="9" xfId="0" applyNumberFormat="1" applyFont="1" applyFill="1" applyBorder="1" applyAlignment="1">
      <x:alignment horizontal="general" vertical="center" wrapText="1"/>
    </x:xf>
    <x:xf numFmtId="175" fontId="23" fillId="18" borderId="9" xfId="0" applyNumberFormat="1" applyFont="1" applyFill="1" applyBorder="1" applyAlignment="1">
      <x:alignment horizontal="general" vertical="center" wrapText="1"/>
    </x:xf>
    <x:xf numFmtId="164" fontId="23" fillId="18" borderId="9" xfId="0" applyNumberFormat="1" applyFont="1" applyFill="1" applyBorder="1" applyAlignment="1">
      <x:alignment horizontal="general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24" fillId="18" borderId="9" xfId="0" applyNumberFormat="1" applyFont="1" applyFill="1" applyBorder="1" applyAlignment="1">
      <x:alignment horizontal="center" vertical="center" wrapText="1"/>
    </x:xf>
    <x:xf numFmtId="164" fontId="24" fillId="18" borderId="9" xfId="0" applyNumberFormat="1" applyFont="1" applyFill="1" applyBorder="1" applyAlignment="1">
      <x:alignment horizontal="general" vertical="center" wrapText="1"/>
    </x:xf>
    <x:xf numFmtId="164" fontId="20" fillId="17" borderId="9" xfId="0" applyNumberFormat="1" applyFont="1" applyFill="1" applyBorder="1" applyAlignment="1">
      <x:alignment horizontal="center" vertical="center" wrapText="0"/>
    </x:xf>
    <x:xf numFmtId="164" fontId="20" fillId="21" borderId="9" xfId="0" applyNumberFormat="1" applyFont="1" applyFill="1" applyBorder="1" applyAlignment="1">
      <x:alignment horizontal="center" vertical="center" wrapText="0"/>
    </x:xf>
    <x:xf numFmtId="164" fontId="20" fillId="22" borderId="9" xfId="0" applyNumberFormat="1" applyFont="1" applyFill="1" applyBorder="1" applyAlignment="1">
      <x:alignment horizontal="center" vertical="center" wrapText="0"/>
    </x:xf>
    <x:xf numFmtId="164" fontId="23" fillId="20" borderId="9" xfId="0" applyNumberFormat="1" applyFont="1" applyFill="1" applyBorder="1" applyAlignment="1">
      <x:alignment horizontal="center" vertical="center" wrapText="1"/>
    </x:xf>
    <x:xf numFmtId="164" fontId="24" fillId="20" borderId="9" xfId="0" applyNumberFormat="1" applyFont="1" applyFill="1" applyBorder="1" applyAlignment="1">
      <x:alignment horizontal="center" vertical="center" wrapText="1"/>
    </x:xf>
    <x:xf numFmtId="164" fontId="18" fillId="20" borderId="9" xfId="0" applyNumberFormat="1" applyFont="1" applyFill="1" applyBorder="1" applyAlignment="1">
      <x:alignment horizontal="center" vertical="center" wrapText="1"/>
    </x:xf>
    <x:xf numFmtId="164" fontId="21" fillId="20" borderId="9" xfId="0" applyNumberFormat="1" applyFont="1" applyFill="1" applyBorder="1" applyAlignment="1">
      <x:alignment horizontal="center" vertical="center" wrapText="1"/>
    </x:xf>
    <x:xf numFmtId="164" fontId="20" fillId="21" borderId="10" xfId="0" applyNumberFormat="1" applyFont="1" applyFill="1" applyBorder="1" applyAlignment="1">
      <x:alignment horizontal="center" vertical="center" wrapText="0"/>
    </x:xf>
    <x:xf numFmtId="164" fontId="21" fillId="20" borderId="10" xfId="0" applyNumberFormat="1" applyFont="1" applyFill="1" applyBorder="1" applyAlignment="1">
      <x:alignment horizontal="center" vertical="center" wrapText="1"/>
    </x:xf>
    <x:xf numFmtId="164" fontId="24" fillId="18" borderId="10" xfId="0" applyNumberFormat="1" applyFont="1" applyFill="1" applyBorder="1" applyAlignment="1">
      <x:alignment horizontal="center" vertical="center" wrapText="1"/>
    </x:xf>
    <x:xf numFmtId="164" fontId="24" fillId="17" borderId="10" xfId="0" applyNumberFormat="1" applyFont="1" applyFill="1" applyBorder="1" applyAlignment="1">
      <x:alignment horizontal="center" vertical="center" wrapText="1"/>
    </x:xf>
    <x:xf numFmtId="164" fontId="20" fillId="22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4" fillId="17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0" fillId="17" borderId="10" xfId="0" applyNumberFormat="1" applyFont="1" applyFill="1" applyBorder="1" applyAlignment="1">
      <x:alignment horizontal="center" vertical="center" wrapText="0"/>
    </x:xf>
    <x:xf numFmtId="164" fontId="24" fillId="18" borderId="10" xfId="0" applyNumberFormat="1" applyFont="1" applyFill="1" applyBorder="1" applyAlignment="1">
      <x:alignment horizontal="general" vertical="center" wrapText="1"/>
    </x:xf>
    <x:xf numFmtId="164" fontId="24" fillId="17" borderId="10" xfId="0" applyNumberFormat="1" applyFont="1" applyFill="1" applyBorder="1" applyAlignment="1">
      <x:alignment horizontal="general" vertical="center" wrapText="1"/>
    </x:xf>
    <x:xf numFmtId="164" fontId="23" fillId="23" borderId="9" xfId="0" applyNumberFormat="1" applyFont="1" applyFill="1" applyBorder="1" applyAlignment="1">
      <x:alignment horizontal="general" vertical="top" wrapText="1"/>
    </x:xf>
    <x:xf numFmtId="164" fontId="19" fillId="23" borderId="9" xfId="0" applyNumberFormat="1" applyFont="1" applyFill="1" applyBorder="1" applyAlignment="1">
      <x:alignment horizontal="general" vertical="top" wrapText="1"/>
    </x:xf>
    <x:xf numFmtId="177" fontId="16" fillId="18" borderId="9" xfId="0" applyNumberFormat="1" applyFont="1" applyFill="1" applyBorder="1" applyAlignment="1">
      <x:alignment horizontal="center" vertical="center" wrapText="1"/>
    </x:xf>
    <x:xf numFmtId="200" fontId="16" fillId="10" borderId="9" xfId="0" applyNumberFormat="1" applyFont="1" applyFill="1" applyBorder="1" applyAlignment="1">
      <x:alignment horizontal="center" vertical="center" wrapText="1"/>
    </x:xf>
    <x:xf numFmtId="200" fontId="16" fillId="18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center" wrapText="1"/>
    </x:xf>
    <x:xf numFmtId="164" fontId="15" fillId="25" borderId="9" xfId="0" applyNumberFormat="1" applyFont="1" applyFill="1" applyBorder="1" applyAlignment="1">
      <x:alignment horizontal="general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</x:xf>
    <x:xf numFmtId="177" fontId="16" fillId="24" borderId="9" xfId="0" applyNumberFormat="1" applyFont="1" applyFill="1" applyBorder="1" applyAlignment="1">
      <x:alignment horizontal="center" vertical="center" wrapText="1"/>
    </x:xf>
    <x:xf numFmtId="164" fontId="16" fillId="24" borderId="9" xfId="0" applyNumberFormat="1" applyFont="1" applyFill="1" applyBorder="1" applyAlignment="1">
      <x:alignment horizontal="center" vertical="center" wrapText="1"/>
    </x:xf>
    <x:xf numFmtId="164" fontId="16" fillId="24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16" fillId="24" borderId="10" xfId="0" applyNumberFormat="1" applyFont="1" applyFill="1" applyBorder="1" applyAlignment="1">
      <x:alignment horizontal="general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</x:xf>
    <x:xf numFmtId="200" fontId="16" fillId="25" borderId="9" xfId="0" applyNumberFormat="1" applyFont="1" applyFill="1" applyBorder="1" applyAlignment="1">
      <x:alignment horizontal="center" vertical="center" wrapText="1"/>
    </x:xf>
    <x:xf numFmtId="164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177" fontId="16" fillId="25" borderId="9" xfId="0" applyNumberFormat="1" applyFont="1" applyFill="1" applyBorder="1" applyAlignment="1">
      <x:alignment horizontal="center" vertical="center" wrapText="1"/>
    </x:xf>
    <x:xf numFmtId="164" fontId="16" fillId="25" borderId="10" xfId="0" applyNumberFormat="1" applyFont="1" applyFill="1" applyBorder="1" applyAlignment="1">
      <x:alignment horizontal="general" vertical="center" wrapText="1"/>
    </x:xf>
    <x:xf numFmtId="200" fontId="16" fillId="24" borderId="9" xfId="0" applyNumberFormat="1" applyFont="1" applyFill="1" applyBorder="1" applyAlignment="1">
      <x:alignment horizontal="center" vertical="center" wrapText="1"/>
    </x:xf>
    <x:xf numFmtId="164" fontId="15" fillId="24" borderId="9" xfId="0" applyNumberFormat="1" applyFont="1" applyFill="1" applyBorder="1" applyAlignment="1">
      <x:alignment horizontal="general" vertical="top" wrapText="1"/>
    </x:xf>
    <x:xf numFmtId="175" fontId="15" fillId="24" borderId="9" xfId="0" applyNumberFormat="1" applyFont="1" applyFill="1" applyBorder="1" applyAlignment="1">
      <x:alignment horizontal="general" vertical="top" wrapText="1"/>
    </x:xf>
    <x:xf numFmtId="164" fontId="19" fillId="24" borderId="9" xfId="0" applyNumberFormat="1" applyFont="1" applyFill="1" applyBorder="1" applyAlignment="1">
      <x:alignment horizontal="general" vertical="top" wrapText="1"/>
    </x:xf>
    <x:xf numFmtId="164" fontId="16" fillId="24" borderId="9" xfId="0" applyNumberFormat="1" applyFont="1" applyFill="1" applyBorder="1" applyAlignment="1">
      <x:alignment horizontal="general" vertical="top" wrapText="1"/>
    </x:xf>
    <x:xf numFmtId="164" fontId="15" fillId="25" borderId="9" xfId="0" applyNumberFormat="1" applyFont="1" applyFill="1" applyBorder="1" applyAlignment="1">
      <x:alignment horizontal="general" vertical="top" wrapText="1"/>
    </x:xf>
    <x:xf numFmtId="164" fontId="16" fillId="25" borderId="9" xfId="0" applyNumberFormat="1" applyFont="1" applyFill="1" applyBorder="1" applyAlignment="1">
      <x:alignment horizontal="general" vertical="top" wrapText="1"/>
    </x:xf>
    <x:xf numFmtId="176" fontId="15" fillId="24" borderId="9" xfId="0" applyNumberFormat="1" applyFont="1" applyFill="1" applyBorder="1" applyAlignment="1">
      <x:alignment horizontal="general" vertical="top" wrapText="1"/>
    </x:xf>
    <x:xf numFmtId="176" fontId="15" fillId="25" borderId="9" xfId="0" applyNumberFormat="1" applyFont="1" applyFill="1" applyBorder="1" applyAlignment="1">
      <x:alignment horizontal="general" vertical="top" wrapText="1"/>
    </x:xf>
    <x:xf numFmtId="164" fontId="15" fillId="26" borderId="9" xfId="0" applyNumberFormat="1" applyFont="1" applyFill="1" applyBorder="1" applyAlignment="1">
      <x:alignment horizontal="general" vertical="top" wrapText="1"/>
    </x:xf>
    <x:xf numFmtId="175" fontId="15" fillId="26" borderId="9" xfId="0" applyNumberFormat="1" applyFont="1" applyFill="1" applyBorder="1" applyAlignment="1">
      <x:alignment horizontal="general" vertical="top" wrapText="1"/>
    </x:xf>
    <x:xf numFmtId="164" fontId="19" fillId="26" borderId="9" xfId="0" applyNumberFormat="1" applyFont="1" applyFill="1" applyBorder="1" applyAlignment="1">
      <x:alignment horizontal="general" vertical="top" wrapText="1"/>
    </x:xf>
    <x:xf numFmtId="164" fontId="19" fillId="27" borderId="9" xfId="0" applyNumberFormat="1" applyFont="1" applyFill="1" applyBorder="1" applyAlignment="1">
      <x:alignment horizontal="general" vertical="top" wrapText="1"/>
    </x:xf>
    <x:xf numFmtId="164" fontId="16" fillId="26" borderId="9" xfId="0" applyNumberFormat="1" applyFont="1" applyFill="1" applyBorder="1" applyAlignment="1">
      <x:alignment horizontal="general" vertical="top" wrapText="1"/>
    </x:xf>
    <x:xf numFmtId="164" fontId="15" fillId="28" borderId="9" xfId="0" applyNumberFormat="1" applyFont="1" applyFill="1" applyBorder="1" applyAlignment="1">
      <x:alignment horizontal="general" vertical="top" wrapText="1"/>
    </x:xf>
    <x:xf numFmtId="164" fontId="16" fillId="28" borderId="9" xfId="0" applyNumberFormat="1" applyFont="1" applyFill="1" applyBorder="1" applyAlignment="1">
      <x:alignment horizontal="general" vertical="top" wrapText="1"/>
    </x:xf>
    <x:xf numFmtId="176" fontId="15" fillId="26" borderId="9" xfId="0" applyNumberFormat="1" applyFont="1" applyFill="1" applyBorder="1" applyAlignment="1">
      <x:alignment horizontal="general" vertical="top" wrapText="1"/>
    </x:xf>
    <x:xf numFmtId="176" fontId="15" fillId="28" borderId="9" xfId="0" applyNumberFormat="1" applyFont="1" applyFill="1" applyBorder="1" applyAlignment="1">
      <x:alignment horizontal="general" vertical="top" wrapText="1"/>
    </x:xf>
    <x:xf numFmtId="164" fontId="16" fillId="29" borderId="9" xfId="0" applyNumberFormat="1" applyFont="1" applyFill="1" applyBorder="1" applyAlignment="1">
      <x:alignment horizontal="general" vertical="center" wrapText="1"/>
    </x:xf>
    <x:xf numFmtId="164" fontId="16" fillId="30" borderId="9" xfId="0" applyNumberFormat="1" applyFont="1" applyFill="1" applyBorder="1" applyAlignment="1">
      <x:alignment horizontal="general" vertical="center" wrapText="1"/>
    </x:xf>
    <x:xf numFmtId="164" fontId="15" fillId="18" borderId="9" xfId="0" applyNumberFormat="1" applyFont="1" applyFill="1" applyBorder="1" applyAlignment="1">
      <x:alignment horizontal="general" vertical="center" wrapText="1"/>
    </x:xf>
    <x:xf numFmtId="164" fontId="20" fillId="31" borderId="9" xfId="0" applyNumberFormat="1" applyFont="1" applyFill="1" applyBorder="1" applyAlignment="1">
      <x:alignment horizontal="center" vertical="center" wrapText="0"/>
    </x:xf>
    <x:xf numFmtId="164" fontId="20" fillId="31" borderId="10" xfId="0" applyNumberFormat="1" applyFont="1" applyFill="1" applyBorder="1" applyAlignment="1">
      <x:alignment horizontal="center" vertical="center" wrapText="0"/>
    </x:xf>
    <x:xf numFmtId="164" fontId="18" fillId="13" borderId="9" xfId="0" applyNumberFormat="1" applyFont="1" applyFill="1" applyBorder="1" applyAlignment="1">
      <x:alignment horizontal="general" vertical="top" wrapText="1"/>
    </x:xf>
    <x:xf numFmtId="177" fontId="19" fillId="23" borderId="9" xfId="0" applyNumberFormat="1" applyFont="1" applyFill="1" applyBorder="1" applyAlignment="1">
      <x:alignment horizontal="general" vertical="top" wrapText="1"/>
    </x:xf>
    <x:xf numFmtId="177" fontId="19" fillId="32" borderId="9" xfId="0" applyNumberFormat="1" applyFont="1" applyFill="1" applyBorder="1" applyAlignment="1">
      <x:alignment horizontal="general" vertical="top" wrapText="1"/>
    </x:xf>
    <x:xf numFmtId="177" fontId="14" fillId="32" borderId="9" xfId="0" applyNumberFormat="1" applyFont="1" applyFill="1" applyBorder="1" applyAlignment="1">
      <x:alignment horizontal="general" vertical="top" wrapText="1"/>
    </x:xf>
    <x:xf numFmtId="176" fontId="15" fillId="33" borderId="9" xfId="0" applyNumberFormat="1" applyFont="1" applyFill="1" applyBorder="1" applyAlignment="1">
      <x:alignment horizontal="general" vertical="top" wrapText="1"/>
    </x:xf>
    <x:xf numFmtId="177" fontId="15" fillId="33" borderId="9" xfId="0" applyNumberFormat="1" applyFont="1" applyFill="1" applyBorder="1" applyAlignment="1">
      <x:alignment horizontal="general" vertical="top" wrapText="1"/>
    </x:xf>
    <x:xf numFmtId="164" fontId="15" fillId="33" borderId="9" xfId="0" applyNumberFormat="1" applyFont="1" applyFill="1" applyBorder="1" applyAlignment="1">
      <x:alignment horizontal="general" vertical="top" wrapText="1"/>
    </x:xf>
    <x:xf numFmtId="176" fontId="15" fillId="34" borderId="9" xfId="0" applyNumberFormat="1" applyFont="1" applyFill="1" applyBorder="1" applyAlignment="1">
      <x:alignment horizontal="general" vertical="top" wrapText="1"/>
    </x:xf>
    <x:xf numFmtId="177" fontId="15" fillId="34" borderId="9" xfId="0" applyNumberFormat="1" applyFont="1" applyFill="1" applyBorder="1" applyAlignment="1">
      <x:alignment horizontal="general" vertical="top" wrapText="1"/>
    </x:xf>
    <x:xf numFmtId="164" fontId="15" fillId="34" borderId="9" xfId="0" applyNumberFormat="1" applyFont="1" applyFill="1" applyBorder="1" applyAlignment="1">
      <x:alignment horizontal="general" vertical="top" wrapText="1"/>
    </x:xf>
    <x:xf numFmtId="177" fontId="15" fillId="35" borderId="9" xfId="0" applyNumberFormat="1" applyFont="1" applyFill="1" applyBorder="1" applyAlignment="1">
      <x:alignment horizontal="general" vertical="top" wrapText="1"/>
    </x:xf>
    <x:xf numFmtId="177" fontId="15" fillId="36" borderId="9" xfId="0" applyNumberFormat="1" applyFont="1" applyFill="1" applyBorder="1" applyAlignment="1">
      <x:alignment horizontal="general" vertical="top" wrapText="1"/>
    </x:xf>
    <x:xf numFmtId="164" fontId="25" fillId="37" borderId="9" xfId="0" applyNumberFormat="1" applyFont="1" applyFill="1" applyBorder="1" applyAlignment="1">
      <x:alignment horizontal="general" vertical="top" wrapText="1"/>
    </x:xf>
    <x:xf numFmtId="164" fontId="26" fillId="37" borderId="9" xfId="0" applyNumberFormat="1" applyFont="1" applyFill="1" applyBorder="1" applyAlignment="1">
      <x:alignment horizontal="general" vertical="top" wrapText="1"/>
    </x:xf>
    <x:xf numFmtId="164" fontId="14" fillId="37" borderId="9" xfId="0" applyNumberFormat="1" applyFont="1" applyFill="1" applyBorder="1" applyAlignment="1">
      <x:alignment horizontal="general" vertical="top" wrapText="1"/>
    </x:xf>
    <x:xf numFmtId="164" fontId="17" fillId="37" borderId="9" xfId="0" applyNumberFormat="1" applyFont="1" applyFill="1" applyBorder="1" applyAlignment="1">
      <x:alignment horizontal="general" vertical="top" wrapText="1"/>
    </x:xf>
    <x:xf numFmtId="164" fontId="27" fillId="0" borderId="0" xfId="0" applyNumberFormat="1" applyFont="1" applyFill="1" applyBorder="1" applyAlignment="1">
      <x:alignment horizontal="general" vertical="bottom" wrapText="0"/>
    </x:xf>
    <x:xf numFmtId="164" fontId="28" fillId="0" borderId="0" xfId="0" applyNumberFormat="1" applyFont="1" applyFill="1" applyBorder="1" applyAlignment="1">
      <x:alignment horizontal="general" vertical="bottom" wrapText="0"/>
    </x:xf>
    <x:xf numFmtId="164" fontId="21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0"/>
    </x:xf>
    <x:xf numFmtId="164" fontId="17" fillId="38" borderId="0" xfId="0" applyNumberFormat="1" applyFont="1" applyFill="1" applyBorder="1" applyAlignment="1">
      <x:alignment horizontal="general" vertical="center" wrapText="1"/>
    </x:xf>
    <x:xf numFmtId="164" fontId="0" fillId="39" borderId="0" xfId="0" applyNumberFormat="1" applyFont="1" applyFill="1" applyBorder="1" applyAlignment="1">
      <x:alignment horizontal="general" vertical="center" wrapText="0"/>
    </x:xf>
    <x:xf numFmtId="164" fontId="0" fillId="39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0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</x:xf>
    <x:xf numFmtId="164" fontId="0" fillId="41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0" fillId="42" borderId="0" xfId="0" applyNumberFormat="1" applyFont="1" applyFill="1" applyBorder="1" applyAlignment="1">
      <x:alignment horizontal="general" vertical="center" wrapText="0"/>
    </x:xf>
    <x:xf numFmtId="201" fontId="0" fillId="39" borderId="0" xfId="0" applyNumberFormat="1" applyFont="1" applyFill="1" applyBorder="1" applyAlignment="1">
      <x:alignment horizontal="general" vertical="center" wrapText="0"/>
    </x:xf>
    <x:xf numFmtId="201" fontId="0" fillId="41" borderId="0" xfId="0" applyNumberFormat="1" applyFont="1" applyFill="1" applyBorder="1" applyAlignment="1">
      <x:alignment horizontal="general" vertical="center" wrapText="0"/>
    </x:xf>
    <x:xf numFmtId="202" fontId="0" fillId="40" borderId="0" xfId="0" applyNumberFormat="1" applyFont="1" applyFill="1" applyBorder="1" applyAlignment="1">
      <x:alignment horizontal="general" vertical="center" wrapText="0"/>
    </x:xf>
    <x:xf numFmtId="202" fontId="0" fillId="39" borderId="0" xfId="0" applyNumberFormat="1" applyFont="1" applyFill="1" applyBorder="1" applyAlignment="1">
      <x:alignment horizontal="general" vertical="center" wrapText="0"/>
    </x:xf>
    <x:xf numFmtId="202" fontId="0" fillId="42" borderId="0" xfId="0" applyNumberFormat="1" applyFont="1" applyFill="1" applyBorder="1" applyAlignment="1">
      <x:alignment horizontal="general" vertical="center" wrapText="0"/>
    </x:xf>
    <x:xf numFmtId="202" fontId="0" fillId="41" borderId="0" xfId="0" applyNumberFormat="1" applyFont="1" applyFill="1" applyBorder="1" applyAlignment="1">
      <x:alignment horizontal="general" vertical="center" wrapText="0"/>
    </x:xf>
    <x:xf numFmtId="164" fontId="0" fillId="38" borderId="0" xfId="0" applyNumberFormat="1" applyFont="1" applyFill="1" applyBorder="1" applyAlignment="1">
      <x:alignment horizontal="general" vertical="bottom" wrapText="0"/>
    </x:xf>
    <x:xf numFmtId="164" fontId="17" fillId="38" borderId="0" xfId="0" applyNumberFormat="1" applyFont="1" applyFill="1" applyBorder="1" applyAlignment="1">
      <x:alignment horizontal="general" vertical="bottom" wrapText="0"/>
    </x:xf>
    <x:xf numFmtId="164" fontId="0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0"/>
    </x:xf>
    <x:xf numFmtId="164" fontId="17" fillId="43" borderId="0" xfId="0" applyNumberFormat="1" applyFont="1" applyFill="1" applyBorder="1" applyAlignment="1">
      <x:alignment horizontal="general" vertical="bottom" wrapText="1"/>
    </x:xf>
    <x:xf numFmtId="164" fontId="17" fillId="43" borderId="0" xfId="0" applyNumberFormat="1" applyFont="1" applyFill="1" applyBorder="1" applyAlignment="1">
      <x:alignment horizontal="general" vertical="center" wrapText="1"/>
    </x:xf>
    <x:xf numFmtId="202" fontId="0" fillId="0" borderId="0" xfId="0" applyNumberFormat="1" applyFont="1" applyFill="1" applyBorder="1" applyAlignment="1">
      <x:alignment horizontal="general" vertical="center" wrapText="0"/>
    </x:xf>
    <x:xf numFmtId="177" fontId="0" fillId="0" borderId="0" xfId="0" applyNumberFormat="1" applyFont="1" applyFill="1" applyBorder="1" applyAlignment="1">
      <x:alignment horizontal="general" vertical="center" wrapText="0"/>
    </x:xf>
    <x:xf numFmtId="177" fontId="0" fillId="39" borderId="0" xfId="0" applyNumberFormat="1" applyFont="1" applyFill="1" applyBorder="1" applyAlignment="1">
      <x:alignment horizontal="general" vertical="center" wrapText="0"/>
    </x:xf>
    <x:xf numFmtId="177" fontId="0" fillId="41" borderId="0" xfId="0" applyNumberFormat="1" applyFont="1" applyFill="1" applyBorder="1" applyAlignment="1">
      <x:alignment horizontal="general" vertical="center" wrapText="0"/>
    </x:xf>
  </x:cellXfs>
  <x:cellStyles count="19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Comma" xfId="20"/>
    <x:cellStyle name="Comma 1" xfId="21"/>
    <x:cellStyle name="Comma [0]" xfId="22"/>
    <x:cellStyle name="Comma [0] 2" xfId="23"/>
    <x:cellStyle name="Currency" xfId="24"/>
    <x:cellStyle name="Currency 3" xfId="25"/>
    <x:cellStyle name="Currency [0]" xfId="26"/>
    <x:cellStyle name="Currency [0] 4" xfId="27"/>
    <x:cellStyle name="Normal" xfId="28"/>
    <x:cellStyle name="Normal 1" xfId="29"/>
    <x:cellStyle name="Normal 5" xfId="30"/>
    <x:cellStyle name="Percent" xfId="31"/>
    <x:cellStyle name="Percent 6" xfId="32"/>
  </x:cellStyles>
  <x:dxfs count="9">
    <x:dxf>
      <x:fill>
        <x:patternFill>
          <x:bgColor rgb="FF33465E"/>
        </x:patternFill>
      </x:fill>
    </x:dxf>
    <x:dxf>
      <x:fill>
        <x:patternFill>
          <x:bgColor rgb="FFFFF4D6"/>
        </x:patternFill>
      </x:fill>
    </x:dxf>
    <x:dxf>
      <x:fill>
        <x:patternFill>
          <x:bgColor rgb="FF243247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DFEEE2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  <x:dxf>
      <x:font>
        <x:b/>
        <x:color rgb="FF2D6543"/>
      </x:font>
      <x:fill>
        <x:patternFill>
          <x:bgColor rgb="FFDFEEE3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D9E3EF"/>
      <x:rgbColor rgb="FF808080"/>
      <x:rgbColor rgb="FF9999FF"/>
      <x:rgbColor rgb="FF993366"/>
      <x:rgbColor rgb="FFFFF4D5"/>
      <x:rgbColor rgb="FFE8F3EC"/>
      <x:rgbColor rgb="FF660066"/>
      <x:rgbColor rgb="FFFF8080"/>
      <x:rgbColor rgb="FF0066CC"/>
      <x:rgbColor rgb="FFCCD6E2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E8EFF8"/>
      <x:rgbColor rgb="FFDFEEE2"/>
      <x:rgbColor rgb="FFFFF4D6"/>
      <x:rgbColor rgb="FFF0F2F5"/>
      <x:rgbColor rgb="FFFF99CC"/>
      <x:rgbColor rgb="FFCC99FF"/>
      <x:rgbColor rgb="FFE6ECF3"/>
      <x:rgbColor rgb="FF3366FF"/>
      <x:rgbColor rgb="FF33CCCC"/>
      <x:rgbColor rgb="FF99CC00"/>
      <x:rgbColor rgb="FFFFCC00"/>
      <x:rgbColor rgb="FFFF9900"/>
      <x:rgbColor rgb="FFFF6600"/>
      <x:rgbColor rgb="FF666699"/>
      <x:rgbColor rgb="FF8297AD"/>
      <x:rgbColor rgb="FF003366"/>
      <x:rgbColor rgb="FF339966"/>
      <x:rgbColor rgb="FF003300"/>
      <x:rgbColor rgb="FF333300"/>
      <x:rgbColor rgb="FF993300"/>
      <x:rgbColor rgb="FF993366"/>
      <x:rgbColor rgb="FF33465E"/>
      <x:rgbColor rgb="FF243247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a1ec118daf427a" /><Relationship Type="http://schemas.openxmlformats.org/officeDocument/2006/relationships/theme" Target="/xl/theme/theme1.xml" Id="Rb63d935e6e5c461e" /><Relationship Type="http://schemas.microsoft.com/office/2022/11/relationships/FeaturePropertyBag" Target="/xl/featurePropertyBag/featurePropertyBag.xml" Id="R0ca59a76843f46d8" /><Relationship Type="http://schemas.openxmlformats.org/officeDocument/2006/relationships/sharedStrings" Target="/xl/sharedStrings.xml" Id="R400f709b032b4c8f" /><Relationship Type="http://schemas.openxmlformats.org/officeDocument/2006/relationships/worksheet" Target="/xl/worksheets/sheet1.xml" Id="R1c18873c27534bc7" /><Relationship Type="http://schemas.openxmlformats.org/officeDocument/2006/relationships/worksheet" Target="/xl/worksheets/sheet2.xml" Id="R212d82aa89b845f3" /><Relationship Type="http://schemas.openxmlformats.org/officeDocument/2006/relationships/worksheet" Target="/xl/worksheets/sheet3.xml" Id="Rf5636889fe764ff5" /><Relationship Type="http://schemas.openxmlformats.org/officeDocument/2006/relationships/worksheet" Target="/xl/worksheets/sheet4.xml" Id="Rafe369d3435a413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erciseArsenal" displayName="ExerciseArsenal" ref="A35:B90" headerRowCount="1" totalsRowCount="0" totalsRowShown="0">
  <x:tableColumns count="2">
    <x:tableColumn id="1" name="Group"/>
    <x:tableColumn id="2" name="Exercise"/>
  </x:tableColumns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1427f07e8694e7c" /></Relationships>
</file>

<file path=xl/worksheets/sheet1.xml><?xml version="1.0" encoding="utf-8"?>
<x:worksheet xmlns:x="http://schemas.openxmlformats.org/spreadsheetml/2006/main">
  <x:sheetPr>
    <x:tabColor rgb="FF33465E"/>
  </x:sheetPr>
  <x:sheetViews>
    <x:sheetView showGridLines="0" workbookViewId="0"/>
  </x:sheetViews>
  <x:sheetFormatPr defaultColWidth="8.6796875" defaultRowHeight="15"/>
  <x:cols>
    <x:col min="1" max="2" width="15" style="1" hidden="0" customWidth="1"/>
    <x:col min="3" max="3" width="28" style="1" hidden="0" customWidth="1"/>
    <x:col min="4" max="6" width="55" style="1" hidden="0" customWidth="1"/>
    <x:col min="7" max="7" width="16" style="1" hidden="0" customWidth="1"/>
    <x:col min="8" max="9" width="62" style="1" hidden="0" customWidth="1"/>
  </x:cols>
  <x:sheetData>
    <x:row r="1" ht="26" hidden="0" customHeight="1">
      <x:c r="A1" s="181" t="s">
        <x:v>0</x:v>
      </x:c>
      <x:c r="B1" s="181"/>
      <x:c r="C1" s="181"/>
      <x:c r="D1" s="181"/>
      <x:c r="E1" s="181"/>
      <x:c r="F1" s="181"/>
      <x:c r="G1" s="181"/>
      <x:c r="H1" s="175"/>
      <x:c r="I1" s="175"/>
    </x:row>
    <x:row r="2" ht="28" hidden="0" customHeight="1">
      <x:c r="A2" s="183" t="s">
        <x:v>1</x:v>
      </x:c>
      <x:c r="B2" s="183" t="s">
        <x:v>2</x:v>
      </x:c>
      <x:c r="C2" s="183" t="s">
        <x:v>3</x:v>
      </x:c>
      <x:c r="D2" s="183" t="s">
        <x:v>4</x:v>
      </x:c>
      <x:c r="E2" s="183" t="s">
        <x:v>5</x:v>
      </x:c>
      <x:c r="F2" s="183" t="str">
        <x:v>max_sets</x:v>
      </x:c>
      <x:c r="G2" s="292" t="str">
        <x:v>max_reps</x:v>
      </x:c>
      <x:c r="H2" s="175"/>
      <x:c r="I2" s="175"/>
    </x:row>
    <x:row r="3" ht="54" hidden="0" customHeight="1">
      <x:c r="A3" s="177" t="s">
        <x:v>6</x:v>
      </x:c>
      <x:c r="B3" s="177" t="s">
        <x:v>7</x:v>
      </x:c>
      <x:c r="C3" s="278" t="s">
        <x:v>8</x:v>
      </x:c>
      <x:c r="D3" s="278" t="s">
        <x:v>9</x:v>
      </x:c>
      <x:c r="E3" s="279" t="n">
        <x:v>46321.5</x:v>
      </x:c>
      <x:c r="F3" s="295" t="n">
        <x:v>3</x:v>
      </x:c>
      <x:c r="G3" s="295" t="n">
        <x:v>5</x:v>
      </x:c>
      <x:c r="H3" s="179"/>
      <x:c r="I3" s="179"/>
    </x:row>
    <x:row r="4" ht="18" hidden="0" customHeight="1">
      <x:c r="A4" s="174"/>
      <x:c r="B4" s="174"/>
      <x:c r="C4" s="174"/>
      <x:c r="D4" s="174"/>
      <x:c r="E4" s="174"/>
      <x:c r="F4" s="174"/>
      <x:c r="G4" s="174"/>
      <x:c r="H4" s="175"/>
      <x:c r="I4" s="175"/>
    </x:row>
    <x:row r="5" ht="26" hidden="0" customHeight="1">
      <x:c r="A5" s="181" t="s">
        <x:v>10</x:v>
      </x:c>
      <x:c r="B5" s="181"/>
      <x:c r="C5" s="181"/>
      <x:c r="D5" s="181"/>
      <x:c r="E5" s="181"/>
      <x:c r="F5" s="181"/>
      <x:c r="G5" s="181"/>
      <x:c r="H5" s="185"/>
      <x:c r="I5" s="179"/>
    </x:row>
    <x:row r="6" ht="28" hidden="0" customHeight="1">
      <x:c r="A6" s="183" t="s">
        <x:v>11</x:v>
      </x:c>
      <x:c r="B6" s="183" t="s">
        <x:v>12</x:v>
      </x:c>
      <x:c r="C6" s="183" t="s">
        <x:v>13</x:v>
      </x:c>
      <x:c r="D6" s="183" t="s">
        <x:v>14</x:v>
      </x:c>
      <x:c r="E6" s="183" t="s">
        <x:v>15</x:v>
      </x:c>
      <x:c r="F6" s="183" t="s">
        <x:v>16</x:v>
      </x:c>
      <x:c r="G6" s="183" t="s">
        <x:v>17</x:v>
      </x:c>
      <x:c r="H6" s="183" t="s">
        <x:v>18</x:v>
      </x:c>
      <x:c r="I6" s="175"/>
    </x:row>
    <x:row r="7" ht="76" hidden="0" customHeight="1">
      <x:c r="A7" s="177" t="s">
        <x:v>19</x:v>
      </x:c>
      <x:c r="B7" s="278" t="s">
        <x:v>20</x:v>
      </x:c>
      <x:c r="C7" s="278" t="s">
        <x:v>21</x:v>
      </x:c>
      <x:c r="D7" s="278" t="s">
        <x:v>22</x:v>
      </x:c>
      <x:c r="E7" s="278" t="s">
        <x:v>23</x:v>
      </x:c>
      <x:c r="F7" s="278" t="s">
        <x:v>24</x:v>
      </x:c>
      <x:c r="G7" s="278" t="s">
        <x:v>25</x:v>
      </x:c>
      <x:c r="H7" s="282"/>
      <x:c r="I7" s="179"/>
    </x:row>
    <x:row r="8" ht="76" hidden="0" customHeight="1">
      <x:c r="A8" s="174" t="s">
        <x:v>26</x:v>
      </x:c>
      <x:c r="B8" s="283" t="s">
        <x:v>27</x:v>
      </x:c>
      <x:c r="C8" s="283" t="s">
        <x:v>28</x:v>
      </x:c>
      <x:c r="D8" s="283" t="s">
        <x:v>29</x:v>
      </x:c>
      <x:c r="E8" s="283" t="s">
        <x:v>30</x:v>
      </x:c>
      <x:c r="F8" s="283" t="s">
        <x:v>24</x:v>
      </x:c>
      <x:c r="G8" s="283" t="s">
        <x:v>31</x:v>
      </x:c>
      <x:c r="H8" s="284"/>
      <x:c r="I8" s="175"/>
    </x:row>
    <x:row r="9" ht="76" hidden="0" customHeight="1">
      <x:c r="A9" s="177" t="s">
        <x:v>32</x:v>
      </x:c>
      <x:c r="B9" s="278" t="s">
        <x:v>33</x:v>
      </x:c>
      <x:c r="C9" s="278" t="s">
        <x:v>34</x:v>
      </x:c>
      <x:c r="D9" s="278" t="s">
        <x:v>29</x:v>
      </x:c>
      <x:c r="E9" s="278" t="s">
        <x:v>35</x:v>
      </x:c>
      <x:c r="F9" s="278" t="s">
        <x:v>24</x:v>
      </x:c>
      <x:c r="G9" s="278" t="s">
        <x:v>36</x:v>
      </x:c>
      <x:c r="H9" s="282"/>
      <x:c r="I9" s="179"/>
    </x:row>
    <x:row r="10" ht="76" hidden="0" customHeight="1">
      <x:c r="A10" s="174" t="s">
        <x:v>37</x:v>
      </x:c>
      <x:c r="B10" s="283" t="s">
        <x:v>38</x:v>
      </x:c>
      <x:c r="C10" s="283" t="s">
        <x:v>39</x:v>
      </x:c>
      <x:c r="D10" s="283" t="s">
        <x:v>40</x:v>
      </x:c>
      <x:c r="E10" s="283" t="s">
        <x:v>41</x:v>
      </x:c>
      <x:c r="F10" s="283" t="s">
        <x:v>42</x:v>
      </x:c>
      <x:c r="G10" s="283"/>
      <x:c r="H10" s="284" t="s">
        <x:v>37</x:v>
      </x:c>
      <x:c r="I10" s="175"/>
    </x:row>
    <x:row r="11" ht="84" hidden="0" customHeight="1">
      <x:c r="A11" s="177" t="s">
        <x:v>43</x:v>
      </x:c>
      <x:c r="B11" s="278" t="s">
        <x:v>44</x:v>
      </x:c>
      <x:c r="C11" s="278" t="s">
        <x:v>45</x:v>
      </x:c>
      <x:c r="D11" s="278" t="s">
        <x:v>46</x:v>
      </x:c>
      <x:c r="E11" s="278" t="s">
        <x:v>47</x:v>
      </x:c>
      <x:c r="F11" s="278" t="s">
        <x:v>42</x:v>
      </x:c>
      <x:c r="G11" s="278"/>
      <x:c r="H11" s="282" t="s">
        <x:v>43</x:v>
      </x:c>
      <x:c r="I11" s="179"/>
    </x:row>
    <x:row r="12" ht="26" hidden="0" customHeight="1">
      <x:c r="A12" s="181" t="s">
        <x:v>48</x:v>
      </x:c>
      <x:c r="B12" s="181"/>
      <x:c r="C12" s="181"/>
      <x:c r="D12" s="181"/>
      <x:c r="E12" s="181"/>
      <x:c r="F12" s="174"/>
      <x:c r="G12" s="174"/>
      <x:c r="H12" s="175"/>
      <x:c r="I12" s="175"/>
    </x:row>
    <x:row r="13" ht="28" hidden="0" customHeight="1">
      <x:c r="A13" s="183" t="s">
        <x:v>49</x:v>
      </x:c>
      <x:c r="B13" s="183" t="s">
        <x:v>50</x:v>
      </x:c>
      <x:c r="C13" s="183" t="s">
        <x:v>12</x:v>
      </x:c>
      <x:c r="D13" s="183" t="s">
        <x:v>51</x:v>
      </x:c>
      <x:c r="E13" s="183" t="s">
        <x:v>52</x:v>
      </x:c>
      <x:c r="F13" s="177"/>
      <x:c r="G13" s="177"/>
      <x:c r="H13" s="179"/>
      <x:c r="I13" s="179"/>
    </x:row>
    <x:row r="14" ht="110" hidden="0" customHeight="1">
      <x:c r="A14" s="174" t="s">
        <x:v>53</x:v>
      </x:c>
      <x:c r="B14" s="174" t="s">
        <x:v>6</x:v>
      </x:c>
      <x:c r="C14" s="174" t="s">
        <x:v>54</x:v>
      </x:c>
      <x:c r="D14" s="283" t="s">
        <x:v>55</x:v>
      </x:c>
      <x:c r="E14" s="283" t="s">
        <x:v>56</x:v>
      </x:c>
      <x:c r="F14" s="174"/>
      <x:c r="G14" s="174"/>
      <x:c r="H14" s="175"/>
      <x:c r="I14" s="175"/>
    </x:row>
    <x:row r="15" ht="110" hidden="0" customHeight="1">
      <x:c r="A15" s="177" t="s">
        <x:v>57</x:v>
      </x:c>
      <x:c r="B15" s="177" t="s">
        <x:v>6</x:v>
      </x:c>
      <x:c r="C15" s="177" t="s">
        <x:v>58</x:v>
      </x:c>
      <x:c r="D15" s="278" t="s">
        <x:v>59</x:v>
      </x:c>
      <x:c r="E15" s="278" t="s">
        <x:v>60</x:v>
      </x:c>
      <x:c r="F15" s="177"/>
      <x:c r="G15" s="177"/>
      <x:c r="H15" s="179"/>
      <x:c r="I15" s="179"/>
    </x:row>
    <x:row r="16" ht="110" hidden="0" customHeight="1">
      <x:c r="A16" s="174" t="s">
        <x:v>61</x:v>
      </x:c>
      <x:c r="B16" s="174" t="s">
        <x:v>6</x:v>
      </x:c>
      <x:c r="C16" s="174" t="s">
        <x:v>62</x:v>
      </x:c>
      <x:c r="D16" s="283" t="s">
        <x:v>63</x:v>
      </x:c>
      <x:c r="E16" s="283" t="s">
        <x:v>26</x:v>
      </x:c>
      <x:c r="F16" s="174"/>
      <x:c r="G16" s="174"/>
      <x:c r="H16" s="175"/>
      <x:c r="I16" s="175"/>
    </x:row>
    <x:row r="17" ht="110" hidden="0" customHeight="1">
      <x:c r="A17" s="177" t="s">
        <x:v>64</x:v>
      </x:c>
      <x:c r="B17" s="177" t="s">
        <x:v>6</x:v>
      </x:c>
      <x:c r="C17" s="177" t="s">
        <x:v>65</x:v>
      </x:c>
      <x:c r="D17" s="278" t="s">
        <x:v>66</x:v>
      </x:c>
      <x:c r="E17" s="278" t="s">
        <x:v>67</x:v>
      </x:c>
      <x:c r="F17" s="177"/>
      <x:c r="G17" s="177"/>
      <x:c r="H17" s="179"/>
      <x:c r="I17" s="179"/>
    </x:row>
    <x:row r="18" ht="18" hidden="0" customHeight="1">
      <x:c r="A18" s="175"/>
      <x:c r="B18" s="175"/>
      <x:c r="C18" s="175"/>
      <x:c r="D18" s="175"/>
      <x:c r="E18" s="175"/>
      <x:c r="F18" s="175"/>
      <x:c r="G18" s="175"/>
      <x:c r="H18" s="175"/>
      <x:c r="I18" s="175"/>
    </x:row>
    <x:row r="19" ht="26" hidden="0" customHeight="1">
      <x:c r="A19" s="181" t="s">
        <x:v>68</x:v>
      </x:c>
      <x:c r="B19" s="181"/>
      <x:c r="C19" s="181"/>
      <x:c r="D19" s="181"/>
      <x:c r="E19" s="181"/>
      <x:c r="F19" s="181"/>
      <x:c r="G19" s="181"/>
      <x:c r="H19" s="185"/>
      <x:c r="I19" s="185"/>
    </x:row>
    <x:row r="20" ht="28" hidden="0" customHeight="1">
      <x:c r="A20" s="183" t="s">
        <x:v>69</x:v>
      </x:c>
      <x:c r="B20" s="183" t="s">
        <x:v>70</x:v>
      </x:c>
      <x:c r="C20" s="183" t="s">
        <x:v>71</x:v>
      </x:c>
      <x:c r="D20" s="183" t="s">
        <x:v>72</x:v>
      </x:c>
      <x:c r="E20" s="183" t="s">
        <x:v>73</x:v>
      </x:c>
      <x:c r="F20" s="183" t="s">
        <x:v>74</x:v>
      </x:c>
      <x:c r="G20" s="183" t="s">
        <x:v>75</x:v>
      </x:c>
      <x:c r="H20" s="183" t="s">
        <x:v>53</x:v>
      </x:c>
      <x:c r="I20" s="183" t="s">
        <x:v>57</x:v>
      </x:c>
    </x:row>
    <x:row r="21" ht="95" hidden="0" customHeight="1">
      <x:c r="A21" s="177" t="n">
        <x:v>1</x:v>
      </x:c>
      <x:c r="B21" s="178" t="n">
        <x:f aca="0">$E$3+7*(A21-1)</x:f>
        <x:v>46321.5</x:v>
      </x:c>
      <x:c r="C21" s="278" t="s">
        <x:v>76</x:v>
      </x:c>
      <x:c r="D21" s="278" t="s">
        <x:v>77</x:v>
      </x:c>
      <x:c r="E21" s="278" t="s">
        <x:v>78</x:v>
      </x:c>
      <x:c r="F21" s="278" t="s">
        <x:v>79</x:v>
      </x:c>
      <x:c r="G21" s="278" t="n">
        <x:v>160</x:v>
      </x:c>
      <x:c r="H21" s="278" t="s">
        <x:v>80</x:v>
      </x:c>
      <x:c r="I21" s="278" t="s">
        <x:v>81</x:v>
      </x:c>
    </x:row>
    <x:row r="22" ht="95" hidden="0" customHeight="1">
      <x:c r="A22" s="174" t="n">
        <x:v>2</x:v>
      </x:c>
      <x:c r="B22" s="176" t="n">
        <x:f aca="0">$E$3+7*(A22-1)</x:f>
        <x:v>46328.5</x:v>
      </x:c>
      <x:c r="C22" s="283" t="s">
        <x:v>76</x:v>
      </x:c>
      <x:c r="D22" s="283" t="s">
        <x:v>77</x:v>
      </x:c>
      <x:c r="E22" s="283" t="s">
        <x:v>82</x:v>
      </x:c>
      <x:c r="F22" s="283" t="s">
        <x:v>79</x:v>
      </x:c>
      <x:c r="G22" s="283" t="n">
        <x:v>160</x:v>
      </x:c>
      <x:c r="H22" s="283" t="s">
        <x:v>83</x:v>
      </x:c>
      <x:c r="I22" s="283" t="s">
        <x:v>84</x:v>
      </x:c>
    </x:row>
    <x:row r="23" ht="95" hidden="0" customHeight="1">
      <x:c r="A23" s="177" t="n">
        <x:v>3</x:v>
      </x:c>
      <x:c r="B23" s="178" t="n">
        <x:f aca="0">$E$3+7*(A23-1)</x:f>
        <x:v>46335.5</x:v>
      </x:c>
      <x:c r="C23" s="278" t="s">
        <x:v>76</x:v>
      </x:c>
      <x:c r="D23" s="278" t="s">
        <x:v>77</x:v>
      </x:c>
      <x:c r="E23" s="278" t="s">
        <x:v>85</x:v>
      </x:c>
      <x:c r="F23" s="278" t="s">
        <x:v>79</x:v>
      </x:c>
      <x:c r="G23" s="278" t="n">
        <x:v>160</x:v>
      </x:c>
      <x:c r="H23" s="278" t="s">
        <x:v>86</x:v>
      </x:c>
      <x:c r="I23" s="278" t="s">
        <x:v>87</x:v>
      </x:c>
    </x:row>
    <x:row r="24" ht="95" hidden="0" customHeight="1">
      <x:c r="A24" s="174" t="n">
        <x:v>4</x:v>
      </x:c>
      <x:c r="B24" s="176" t="n">
        <x:f aca="0">$E$3+7*(A24-1)</x:f>
        <x:v>46342.5</x:v>
      </x:c>
      <x:c r="C24" s="283" t="s">
        <x:v>88</x:v>
      </x:c>
      <x:c r="D24" s="283" t="s">
        <x:v>89</x:v>
      </x:c>
      <x:c r="E24" s="283" t="s">
        <x:v>90</x:v>
      </x:c>
      <x:c r="F24" s="283" t="s">
        <x:v>79</x:v>
      </x:c>
      <x:c r="G24" s="283" t="n">
        <x:v>81</x:v>
      </x:c>
      <x:c r="H24" s="283" t="s">
        <x:v>91</x:v>
      </x:c>
      <x:c r="I24" s="283" t="s">
        <x:v>92</x:v>
      </x:c>
    </x:row>
    <x:row r="25" ht="95" hidden="0" customHeight="1">
      <x:c r="A25" s="177" t="n">
        <x:v>5</x:v>
      </x:c>
      <x:c r="B25" s="178" t="n">
        <x:f aca="0">$E$3+7*(A25-1)</x:f>
        <x:v>46349.5</x:v>
      </x:c>
      <x:c r="C25" s="278" t="s">
        <x:v>93</x:v>
      </x:c>
      <x:c r="D25" s="278" t="s">
        <x:v>77</x:v>
      </x:c>
      <x:c r="E25" s="278" t="s">
        <x:v>94</x:v>
      </x:c>
      <x:c r="F25" s="278" t="s">
        <x:v>79</x:v>
      </x:c>
      <x:c r="G25" s="278" t="n">
        <x:v>160</x:v>
      </x:c>
      <x:c r="H25" s="278" t="s">
        <x:v>95</x:v>
      </x:c>
      <x:c r="I25" s="278" t="s">
        <x:v>96</x:v>
      </x:c>
    </x:row>
    <x:row r="26" ht="95" hidden="0" customHeight="1">
      <x:c r="A26" s="174" t="n">
        <x:v>6</x:v>
      </x:c>
      <x:c r="B26" s="176" t="n">
        <x:f aca="0">$E$3+7*(A26-1)</x:f>
        <x:v>46356.5</x:v>
      </x:c>
      <x:c r="C26" s="283" t="s">
        <x:v>93</x:v>
      </x:c>
      <x:c r="D26" s="283" t="s">
        <x:v>77</x:v>
      </x:c>
      <x:c r="E26" s="283" t="s">
        <x:v>97</x:v>
      </x:c>
      <x:c r="F26" s="283" t="s">
        <x:v>79</x:v>
      </x:c>
      <x:c r="G26" s="283" t="n">
        <x:v>160</x:v>
      </x:c>
      <x:c r="H26" s="283" t="s">
        <x:v>98</x:v>
      </x:c>
      <x:c r="I26" s="283" t="s">
        <x:v>99</x:v>
      </x:c>
    </x:row>
    <x:row r="27" ht="95" hidden="0" customHeight="1">
      <x:c r="A27" s="177" t="n">
        <x:v>7</x:v>
      </x:c>
      <x:c r="B27" s="178" t="n">
        <x:f aca="0">$E$3+7*(A27-1)</x:f>
        <x:v>46363.5</x:v>
      </x:c>
      <x:c r="C27" s="278" t="s">
        <x:v>93</x:v>
      </x:c>
      <x:c r="D27" s="278" t="s">
        <x:v>77</x:v>
      </x:c>
      <x:c r="E27" s="278" t="s">
        <x:v>100</x:v>
      </x:c>
      <x:c r="F27" s="278" t="s">
        <x:v>79</x:v>
      </x:c>
      <x:c r="G27" s="278" t="n">
        <x:v>160</x:v>
      </x:c>
      <x:c r="H27" s="278" t="s">
        <x:v>101</x:v>
      </x:c>
      <x:c r="I27" s="278" t="s">
        <x:v>102</x:v>
      </x:c>
    </x:row>
    <x:row r="28" ht="95" hidden="0" customHeight="1">
      <x:c r="A28" s="174" t="n">
        <x:v>8</x:v>
      </x:c>
      <x:c r="B28" s="176" t="n">
        <x:f aca="0">$E$3+7*(A28-1)</x:f>
        <x:v>46370.5</x:v>
      </x:c>
      <x:c r="C28" s="283" t="s">
        <x:v>88</x:v>
      </x:c>
      <x:c r="D28" s="283" t="s">
        <x:v>89</x:v>
      </x:c>
      <x:c r="E28" s="283" t="s">
        <x:v>103</x:v>
      </x:c>
      <x:c r="F28" s="283" t="s">
        <x:v>79</x:v>
      </x:c>
      <x:c r="G28" s="283" t="n">
        <x:v>81</x:v>
      </x:c>
      <x:c r="H28" s="283" t="s">
        <x:v>104</x:v>
      </x:c>
      <x:c r="I28" s="283" t="s">
        <x:v>105</x:v>
      </x:c>
    </x:row>
    <x:row r="29" ht="95" hidden="0" customHeight="1">
      <x:c r="A29" s="177" t="n">
        <x:v>9</x:v>
      </x:c>
      <x:c r="B29" s="178" t="n">
        <x:f aca="0">$E$3+7*(A29-1)</x:f>
        <x:v>46377.5</x:v>
      </x:c>
      <x:c r="C29" s="278" t="s">
        <x:v>106</x:v>
      </x:c>
      <x:c r="D29" s="278" t="s">
        <x:v>77</x:v>
      </x:c>
      <x:c r="E29" s="278" t="s">
        <x:v>107</x:v>
      </x:c>
      <x:c r="F29" s="278" t="s">
        <x:v>79</x:v>
      </x:c>
      <x:c r="G29" s="278" t="n">
        <x:v>160</x:v>
      </x:c>
      <x:c r="H29" s="278" t="s">
        <x:v>108</x:v>
      </x:c>
      <x:c r="I29" s="278" t="s">
        <x:v>109</x:v>
      </x:c>
    </x:row>
    <x:row r="30" ht="95" hidden="0" customHeight="1">
      <x:c r="A30" s="174" t="n">
        <x:v>10</x:v>
      </x:c>
      <x:c r="B30" s="176" t="n">
        <x:f aca="0">$E$3+7*(A30-1)</x:f>
        <x:v>46384.5</x:v>
      </x:c>
      <x:c r="C30" s="283" t="s">
        <x:v>106</x:v>
      </x:c>
      <x:c r="D30" s="283" t="s">
        <x:v>77</x:v>
      </x:c>
      <x:c r="E30" s="283" t="s">
        <x:v>110</x:v>
      </x:c>
      <x:c r="F30" s="283" t="s">
        <x:v>79</x:v>
      </x:c>
      <x:c r="G30" s="283" t="n">
        <x:v>160</x:v>
      </x:c>
      <x:c r="H30" s="283" t="s">
        <x:v>111</x:v>
      </x:c>
      <x:c r="I30" s="283" t="s">
        <x:v>112</x:v>
      </x:c>
    </x:row>
    <x:row r="31" ht="95" hidden="0" customHeight="1">
      <x:c r="A31" s="177" t="n">
        <x:v>11</x:v>
      </x:c>
      <x:c r="B31" s="178" t="n">
        <x:f aca="0">$E$3+7*(A31-1)</x:f>
        <x:v>46391.5</x:v>
      </x:c>
      <x:c r="C31" s="278" t="s">
        <x:v>106</x:v>
      </x:c>
      <x:c r="D31" s="278" t="s">
        <x:v>77</x:v>
      </x:c>
      <x:c r="E31" s="278" t="s">
        <x:v>113</x:v>
      </x:c>
      <x:c r="F31" s="278" t="s">
        <x:v>79</x:v>
      </x:c>
      <x:c r="G31" s="278" t="n">
        <x:v>160</x:v>
      </x:c>
      <x:c r="H31" s="278" t="s">
        <x:v>114</x:v>
      </x:c>
      <x:c r="I31" s="278" t="s">
        <x:v>115</x:v>
      </x:c>
    </x:row>
    <x:row r="32" ht="95" hidden="0" customHeight="1">
      <x:c r="A32" s="174" t="n">
        <x:v>12</x:v>
      </x:c>
      <x:c r="B32" s="176" t="n">
        <x:f aca="0">$E$3+7*(A32-1)</x:f>
        <x:v>46398.5</x:v>
      </x:c>
      <x:c r="C32" s="283" t="s">
        <x:v>116</x:v>
      </x:c>
      <x:c r="D32" s="283" t="s">
        <x:v>117</x:v>
      </x:c>
      <x:c r="E32" s="283" t="s">
        <x:v>118</x:v>
      </x:c>
      <x:c r="F32" s="283" t="s">
        <x:v>79</x:v>
      </x:c>
      <x:c r="G32" s="283" t="n">
        <x:v>75</x:v>
      </x:c>
      <x:c r="H32" s="283" t="s">
        <x:v>119</x:v>
      </x:c>
      <x:c r="I32" s="283" t="s">
        <x:v>120</x:v>
      </x:c>
    </x:row>
    <x:row r="33" ht="18" hidden="0" customHeight="1">
      <x:c r="A33" s="179"/>
      <x:c r="B33" s="179"/>
      <x:c r="C33" s="179"/>
      <x:c r="D33" s="179"/>
      <x:c r="E33" s="179"/>
      <x:c r="F33" s="179"/>
      <x:c r="G33" s="179"/>
      <x:c r="H33" s="179"/>
      <x:c r="I33" s="179"/>
    </x:row>
    <x:row r="34" ht="26" hidden="0" customHeight="1">
      <x:c r="A34" s="181" t="s">
        <x:v>121</x:v>
      </x:c>
      <x:c r="B34" s="181"/>
      <x:c r="C34" s="174"/>
      <x:c r="D34" s="174"/>
      <x:c r="E34" s="174"/>
      <x:c r="F34" s="174"/>
      <x:c r="G34" s="174"/>
      <x:c r="H34" s="175"/>
      <x:c r="I34" s="175"/>
    </x:row>
    <x:row r="35" ht="28" hidden="0" customHeight="1">
      <x:c r="A35" s="183" t="s">
        <x:v>122</x:v>
      </x:c>
      <x:c r="B35" s="183" t="s">
        <x:v>123</x:v>
      </x:c>
      <x:c r="C35" s="179"/>
      <x:c r="D35" s="179"/>
      <x:c r="E35" s="179"/>
      <x:c r="F35" s="179"/>
      <x:c r="G35" s="179"/>
      <x:c r="H35" s="179"/>
      <x:c r="I35" s="179"/>
    </x:row>
    <x:row r="36" ht="30" hidden="0" customHeight="1">
      <x:c r="A36" s="174" t="s">
        <x:v>20</x:v>
      </x:c>
      <x:c r="B36" s="174" t="s">
        <x:v>124</x:v>
      </x:c>
      <x:c r="C36" s="175"/>
      <x:c r="D36" s="175"/>
      <x:c r="E36" s="175"/>
      <x:c r="F36" s="175"/>
      <x:c r="G36" s="175"/>
      <x:c r="H36" s="175"/>
      <x:c r="I36" s="175"/>
    </x:row>
    <x:row r="37" ht="30" hidden="0" customHeight="1">
      <x:c r="A37" s="177" t="s">
        <x:v>20</x:v>
      </x:c>
      <x:c r="B37" s="177" t="s">
        <x:v>125</x:v>
      </x:c>
      <x:c r="C37" s="179"/>
      <x:c r="D37" s="179"/>
      <x:c r="E37" s="179"/>
      <x:c r="F37" s="177"/>
      <x:c r="G37" s="177"/>
      <x:c r="H37" s="179"/>
      <x:c r="I37" s="179"/>
    </x:row>
    <x:row r="38" ht="30" hidden="0" customHeight="1">
      <x:c r="A38" s="174" t="s">
        <x:v>20</x:v>
      </x:c>
      <x:c r="B38" s="174" t="s">
        <x:v>126</x:v>
      </x:c>
      <x:c r="C38" s="175"/>
      <x:c r="D38" s="175"/>
      <x:c r="E38" s="175"/>
      <x:c r="F38" s="174"/>
      <x:c r="G38" s="174"/>
      <x:c r="H38" s="175"/>
      <x:c r="I38" s="175"/>
    </x:row>
    <x:row r="39" ht="30" hidden="0" customHeight="1">
      <x:c r="A39" s="177" t="s">
        <x:v>20</x:v>
      </x:c>
      <x:c r="B39" s="177" t="s">
        <x:v>127</x:v>
      </x:c>
      <x:c r="C39" s="179"/>
      <x:c r="D39" s="179"/>
      <x:c r="E39" s="179"/>
      <x:c r="F39" s="177"/>
      <x:c r="G39" s="177"/>
      <x:c r="H39" s="179"/>
      <x:c r="I39" s="179"/>
    </x:row>
    <x:row r="40" ht="30" hidden="0" customHeight="1">
      <x:c r="A40" s="174" t="s">
        <x:v>20</x:v>
      </x:c>
      <x:c r="B40" s="174" t="s">
        <x:v>128</x:v>
      </x:c>
      <x:c r="C40" s="175"/>
      <x:c r="D40" s="175"/>
      <x:c r="E40" s="175"/>
      <x:c r="F40" s="174"/>
      <x:c r="G40" s="174"/>
      <x:c r="H40" s="175"/>
      <x:c r="I40" s="175"/>
    </x:row>
    <x:row r="41" ht="30" hidden="0" customHeight="1">
      <x:c r="A41" s="177" t="s">
        <x:v>20</x:v>
      </x:c>
      <x:c r="B41" s="177" t="s">
        <x:v>129</x:v>
      </x:c>
      <x:c r="C41" s="179"/>
      <x:c r="D41" s="179"/>
      <x:c r="E41" s="179"/>
      <x:c r="F41" s="177"/>
      <x:c r="G41" s="177"/>
      <x:c r="H41" s="179"/>
      <x:c r="I41" s="179"/>
    </x:row>
    <x:row r="42" ht="30" hidden="0" customHeight="1">
      <x:c r="A42" s="174" t="s">
        <x:v>20</x:v>
      </x:c>
      <x:c r="B42" s="174" t="s">
        <x:v>130</x:v>
      </x:c>
      <x:c r="C42" s="175"/>
      <x:c r="D42" s="175"/>
      <x:c r="E42" s="175"/>
      <x:c r="F42" s="174"/>
      <x:c r="G42" s="174"/>
      <x:c r="H42" s="175"/>
      <x:c r="I42" s="175"/>
    </x:row>
    <x:row r="43" ht="30" hidden="0" customHeight="1">
      <x:c r="A43" s="177" t="s">
        <x:v>20</x:v>
      </x:c>
      <x:c r="B43" s="177" t="s">
        <x:v>131</x:v>
      </x:c>
      <x:c r="C43" s="179"/>
      <x:c r="D43" s="179"/>
      <x:c r="E43" s="179"/>
      <x:c r="F43" s="177"/>
      <x:c r="G43" s="177"/>
      <x:c r="H43" s="179"/>
      <x:c r="I43" s="179"/>
    </x:row>
    <x:row r="44" ht="30" hidden="0" customHeight="1">
      <x:c r="A44" s="174" t="s">
        <x:v>20</x:v>
      </x:c>
      <x:c r="B44" s="174" t="s">
        <x:v>132</x:v>
      </x:c>
      <x:c r="C44" s="175"/>
      <x:c r="D44" s="175"/>
      <x:c r="E44" s="175"/>
      <x:c r="F44" s="174"/>
      <x:c r="G44" s="174"/>
      <x:c r="H44" s="175"/>
      <x:c r="I44" s="175"/>
    </x:row>
    <x:row r="45" ht="30" hidden="0" customHeight="1">
      <x:c r="A45" s="177" t="s">
        <x:v>20</x:v>
      </x:c>
      <x:c r="B45" s="177" t="s">
        <x:v>133</x:v>
      </x:c>
      <x:c r="C45" s="179"/>
      <x:c r="D45" s="179"/>
      <x:c r="E45" s="179"/>
      <x:c r="F45" s="177"/>
      <x:c r="G45" s="177"/>
      <x:c r="H45" s="179"/>
      <x:c r="I45" s="179"/>
    </x:row>
    <x:row r="46" ht="30" hidden="0" customHeight="1">
      <x:c r="A46" s="174" t="s">
        <x:v>20</x:v>
      </x:c>
      <x:c r="B46" s="174" t="s">
        <x:v>134</x:v>
      </x:c>
      <x:c r="C46" s="175"/>
      <x:c r="D46" s="175"/>
      <x:c r="E46" s="175"/>
      <x:c r="F46" s="174"/>
      <x:c r="G46" s="174"/>
      <x:c r="H46" s="175"/>
      <x:c r="I46" s="175"/>
    </x:row>
    <x:row r="47" ht="30" hidden="0" customHeight="1">
      <x:c r="A47" s="177" t="s">
        <x:v>20</x:v>
      </x:c>
      <x:c r="B47" s="177" t="s">
        <x:v>135</x:v>
      </x:c>
      <x:c r="C47" s="179"/>
      <x:c r="D47" s="179"/>
      <x:c r="E47" s="179"/>
      <x:c r="F47" s="179"/>
      <x:c r="G47" s="179"/>
      <x:c r="H47" s="179"/>
      <x:c r="I47" s="179"/>
    </x:row>
    <x:row r="48" ht="30" hidden="0" customHeight="1">
      <x:c r="A48" s="174" t="s">
        <x:v>20</x:v>
      </x:c>
      <x:c r="B48" s="174" t="s">
        <x:v>136</x:v>
      </x:c>
      <x:c r="C48" s="175"/>
      <x:c r="D48" s="175"/>
      <x:c r="E48" s="175"/>
      <x:c r="F48" s="175"/>
      <x:c r="G48" s="175"/>
      <x:c r="H48" s="175"/>
      <x:c r="I48" s="175"/>
    </x:row>
    <x:row r="49" ht="30" hidden="0" customHeight="1">
      <x:c r="A49" s="177" t="s">
        <x:v>20</x:v>
      </x:c>
      <x:c r="B49" s="177" t="s">
        <x:v>137</x:v>
      </x:c>
      <x:c r="C49" s="179"/>
      <x:c r="D49" s="179"/>
      <x:c r="E49" s="179"/>
      <x:c r="F49" s="179"/>
      <x:c r="G49" s="179"/>
      <x:c r="H49" s="179"/>
      <x:c r="I49" s="179"/>
    </x:row>
    <x:row r="50" ht="30" hidden="0" customHeight="1">
      <x:c r="A50" s="174" t="s">
        <x:v>20</x:v>
      </x:c>
      <x:c r="B50" s="174" t="s">
        <x:v>138</x:v>
      </x:c>
      <x:c r="C50" s="175"/>
      <x:c r="D50" s="175"/>
      <x:c r="E50" s="175"/>
      <x:c r="F50" s="175"/>
      <x:c r="G50" s="175"/>
      <x:c r="H50" s="175"/>
      <x:c r="I50" s="175"/>
    </x:row>
    <x:row r="51" ht="30" hidden="0" customHeight="1">
      <x:c r="A51" s="177" t="s">
        <x:v>20</x:v>
      </x:c>
      <x:c r="B51" s="177" t="s">
        <x:v>139</x:v>
      </x:c>
      <x:c r="C51" s="179"/>
      <x:c r="D51" s="179"/>
      <x:c r="E51" s="179"/>
      <x:c r="F51" s="179"/>
      <x:c r="G51" s="179"/>
      <x:c r="H51" s="179"/>
      <x:c r="I51" s="179"/>
    </x:row>
    <x:row r="52" ht="30" hidden="0" customHeight="1">
      <x:c r="A52" s="174" t="s">
        <x:v>20</x:v>
      </x:c>
      <x:c r="B52" s="174" t="s">
        <x:v>140</x:v>
      </x:c>
      <x:c r="C52" s="175"/>
      <x:c r="D52" s="175"/>
      <x:c r="E52" s="175"/>
      <x:c r="F52" s="175"/>
      <x:c r="G52" s="175"/>
      <x:c r="H52" s="175"/>
      <x:c r="I52" s="175"/>
    </x:row>
    <x:row r="53" ht="30" hidden="0" customHeight="1">
      <x:c r="A53" s="177" t="s">
        <x:v>20</x:v>
      </x:c>
      <x:c r="B53" s="177" t="s">
        <x:v>141</x:v>
      </x:c>
      <x:c r="C53" s="179"/>
      <x:c r="D53" s="179"/>
      <x:c r="E53" s="179"/>
      <x:c r="F53" s="179"/>
      <x:c r="G53" s="179"/>
      <x:c r="H53" s="179"/>
      <x:c r="I53" s="179"/>
    </x:row>
    <x:row r="54" ht="30" hidden="0" customHeight="1">
      <x:c r="A54" s="174" t="s">
        <x:v>20</x:v>
      </x:c>
      <x:c r="B54" s="174" t="s">
        <x:v>142</x:v>
      </x:c>
      <x:c r="C54" s="175"/>
      <x:c r="D54" s="175"/>
      <x:c r="E54" s="175"/>
      <x:c r="F54" s="175"/>
      <x:c r="G54" s="175"/>
      <x:c r="H54" s="175"/>
      <x:c r="I54" s="175"/>
    </x:row>
    <x:row r="55" ht="30" hidden="0" customHeight="1">
      <x:c r="A55" s="177" t="s">
        <x:v>20</x:v>
      </x:c>
      <x:c r="B55" s="177" t="s">
        <x:v>143</x:v>
      </x:c>
      <x:c r="C55" s="179"/>
      <x:c r="D55" s="179"/>
      <x:c r="E55" s="179"/>
      <x:c r="F55" s="179"/>
      <x:c r="G55" s="179"/>
      <x:c r="H55" s="179"/>
      <x:c r="I55" s="179"/>
    </x:row>
    <x:row r="56" ht="30" hidden="0" customHeight="1">
      <x:c r="A56" s="174" t="s">
        <x:v>144</x:v>
      </x:c>
      <x:c r="B56" s="174" t="s">
        <x:v>145</x:v>
      </x:c>
      <x:c r="C56" s="175"/>
      <x:c r="D56" s="175"/>
      <x:c r="E56" s="175"/>
      <x:c r="F56" s="175"/>
      <x:c r="G56" s="175"/>
      <x:c r="H56" s="175"/>
      <x:c r="I56" s="175"/>
    </x:row>
    <x:row r="57" ht="30" hidden="0" customHeight="1">
      <x:c r="A57" s="177" t="s">
        <x:v>144</x:v>
      </x:c>
      <x:c r="B57" s="177" t="s">
        <x:v>146</x:v>
      </x:c>
      <x:c r="C57" s="179"/>
      <x:c r="D57" s="179"/>
      <x:c r="E57" s="179"/>
      <x:c r="F57" s="179"/>
      <x:c r="G57" s="179"/>
      <x:c r="H57" s="179"/>
      <x:c r="I57" s="179"/>
    </x:row>
    <x:row r="58" ht="30" hidden="0" customHeight="1">
      <x:c r="A58" s="174" t="s">
        <x:v>144</x:v>
      </x:c>
      <x:c r="B58" s="174" t="s">
        <x:v>147</x:v>
      </x:c>
      <x:c r="C58" s="175"/>
      <x:c r="D58" s="175"/>
      <x:c r="E58" s="175"/>
      <x:c r="F58" s="175"/>
      <x:c r="G58" s="175"/>
      <x:c r="H58" s="175"/>
      <x:c r="I58" s="175"/>
    </x:row>
    <x:row r="59" ht="30" hidden="0" customHeight="1">
      <x:c r="A59" s="177" t="s">
        <x:v>144</x:v>
      </x:c>
      <x:c r="B59" s="177" t="s">
        <x:v>148</x:v>
      </x:c>
      <x:c r="C59" s="179"/>
      <x:c r="D59" s="179"/>
      <x:c r="E59" s="179"/>
      <x:c r="F59" s="179"/>
      <x:c r="G59" s="179"/>
      <x:c r="H59" s="179"/>
      <x:c r="I59" s="179"/>
    </x:row>
    <x:row r="60" ht="30" hidden="0" customHeight="1">
      <x:c r="A60" s="174" t="s">
        <x:v>144</x:v>
      </x:c>
      <x:c r="B60" s="174" t="s">
        <x:v>149</x:v>
      </x:c>
      <x:c r="C60" s="175"/>
      <x:c r="D60" s="175"/>
      <x:c r="E60" s="175"/>
      <x:c r="F60" s="175"/>
      <x:c r="G60" s="175"/>
      <x:c r="H60" s="175"/>
      <x:c r="I60" s="175"/>
    </x:row>
    <x:row r="61" ht="30" hidden="0" customHeight="1">
      <x:c r="A61" s="177" t="s">
        <x:v>144</x:v>
      </x:c>
      <x:c r="B61" s="177" t="s">
        <x:v>150</x:v>
      </x:c>
      <x:c r="C61" s="179"/>
      <x:c r="D61" s="179"/>
      <x:c r="E61" s="179"/>
      <x:c r="F61" s="179"/>
      <x:c r="G61" s="179"/>
      <x:c r="H61" s="179"/>
      <x:c r="I61" s="179"/>
    </x:row>
    <x:row r="62" ht="30" hidden="0" customHeight="1">
      <x:c r="A62" s="174" t="s">
        <x:v>144</x:v>
      </x:c>
      <x:c r="B62" s="174" t="s">
        <x:v>151</x:v>
      </x:c>
      <x:c r="C62" s="175"/>
      <x:c r="D62" s="175"/>
      <x:c r="E62" s="175"/>
      <x:c r="F62" s="175"/>
      <x:c r="G62" s="175"/>
      <x:c r="H62" s="175"/>
      <x:c r="I62" s="175"/>
    </x:row>
    <x:row r="63" ht="30" hidden="0" customHeight="1">
      <x:c r="A63" s="177" t="s">
        <x:v>144</x:v>
      </x:c>
      <x:c r="B63" s="177" t="s">
        <x:v>152</x:v>
      </x:c>
      <x:c r="C63" s="179"/>
      <x:c r="D63" s="179"/>
      <x:c r="E63" s="179"/>
      <x:c r="F63" s="179"/>
      <x:c r="G63" s="179"/>
      <x:c r="H63" s="179"/>
      <x:c r="I63" s="179"/>
    </x:row>
    <x:row r="64" ht="30" hidden="0" customHeight="1">
      <x:c r="A64" s="174" t="s">
        <x:v>144</x:v>
      </x:c>
      <x:c r="B64" s="174" t="s">
        <x:v>153</x:v>
      </x:c>
      <x:c r="C64" s="175"/>
      <x:c r="D64" s="175"/>
      <x:c r="E64" s="175"/>
      <x:c r="F64" s="175"/>
      <x:c r="G64" s="175"/>
      <x:c r="H64" s="175"/>
      <x:c r="I64" s="175"/>
    </x:row>
    <x:row r="65" ht="30" hidden="0" customHeight="1">
      <x:c r="A65" s="177" t="s">
        <x:v>144</x:v>
      </x:c>
      <x:c r="B65" s="177" t="s">
        <x:v>154</x:v>
      </x:c>
      <x:c r="C65" s="179"/>
      <x:c r="D65" s="179"/>
      <x:c r="E65" s="179"/>
      <x:c r="F65" s="179"/>
      <x:c r="G65" s="179"/>
      <x:c r="H65" s="179"/>
      <x:c r="I65" s="179"/>
    </x:row>
    <x:row r="66" ht="30" hidden="0" customHeight="1">
      <x:c r="A66" s="174" t="s">
        <x:v>144</x:v>
      </x:c>
      <x:c r="B66" s="174" t="s">
        <x:v>155</x:v>
      </x:c>
      <x:c r="C66" s="175"/>
      <x:c r="D66" s="175"/>
      <x:c r="E66" s="175"/>
      <x:c r="F66" s="175"/>
      <x:c r="G66" s="175"/>
      <x:c r="H66" s="175"/>
      <x:c r="I66" s="175"/>
    </x:row>
    <x:row r="67" ht="30" hidden="0" customHeight="1">
      <x:c r="A67" s="177" t="s">
        <x:v>144</x:v>
      </x:c>
      <x:c r="B67" s="177" t="s">
        <x:v>156</x:v>
      </x:c>
      <x:c r="C67" s="179"/>
      <x:c r="D67" s="179"/>
      <x:c r="E67" s="179"/>
      <x:c r="F67" s="179"/>
      <x:c r="G67" s="179"/>
      <x:c r="H67" s="179"/>
      <x:c r="I67" s="179"/>
    </x:row>
    <x:row r="68" ht="30" hidden="0" customHeight="1">
      <x:c r="A68" s="174" t="s">
        <x:v>144</x:v>
      </x:c>
      <x:c r="B68" s="174" t="s">
        <x:v>157</x:v>
      </x:c>
      <x:c r="C68" s="175"/>
      <x:c r="D68" s="175"/>
      <x:c r="E68" s="175"/>
      <x:c r="F68" s="175"/>
      <x:c r="G68" s="175"/>
      <x:c r="H68" s="175"/>
      <x:c r="I68" s="175"/>
    </x:row>
    <x:row r="69" ht="30" hidden="0" customHeight="1">
      <x:c r="A69" s="177" t="s">
        <x:v>144</x:v>
      </x:c>
      <x:c r="B69" s="177" t="s">
        <x:v>158</x:v>
      </x:c>
      <x:c r="C69" s="179"/>
      <x:c r="D69" s="179"/>
      <x:c r="E69" s="179"/>
      <x:c r="F69" s="179"/>
      <x:c r="G69" s="179"/>
      <x:c r="H69" s="179"/>
      <x:c r="I69" s="179"/>
    </x:row>
    <x:row r="70" ht="30" hidden="0" customHeight="1">
      <x:c r="A70" s="174" t="s">
        <x:v>144</x:v>
      </x:c>
      <x:c r="B70" s="174" t="s">
        <x:v>159</x:v>
      </x:c>
      <x:c r="C70" s="175"/>
      <x:c r="D70" s="175"/>
      <x:c r="E70" s="175"/>
      <x:c r="F70" s="175"/>
      <x:c r="G70" s="175"/>
      <x:c r="H70" s="175"/>
      <x:c r="I70" s="175"/>
    </x:row>
    <x:row r="71" ht="30" hidden="0" customHeight="1">
      <x:c r="A71" s="177" t="s">
        <x:v>144</x:v>
      </x:c>
      <x:c r="B71" s="177" t="s">
        <x:v>160</x:v>
      </x:c>
      <x:c r="C71" s="179"/>
      <x:c r="D71" s="179"/>
      <x:c r="E71" s="179"/>
      <x:c r="F71" s="179"/>
      <x:c r="G71" s="179"/>
      <x:c r="H71" s="179"/>
      <x:c r="I71" s="179"/>
    </x:row>
    <x:row r="72" ht="30" hidden="0" customHeight="1">
      <x:c r="A72" s="174" t="s">
        <x:v>144</x:v>
      </x:c>
      <x:c r="B72" s="174" t="s">
        <x:v>161</x:v>
      </x:c>
      <x:c r="C72" s="175"/>
      <x:c r="D72" s="175"/>
      <x:c r="E72" s="175"/>
      <x:c r="F72" s="175"/>
      <x:c r="G72" s="175"/>
      <x:c r="H72" s="175"/>
      <x:c r="I72" s="175"/>
    </x:row>
    <x:row r="73" ht="30" hidden="0" customHeight="1">
      <x:c r="A73" s="177" t="s">
        <x:v>33</x:v>
      </x:c>
      <x:c r="B73" s="177" t="s">
        <x:v>162</x:v>
      </x:c>
      <x:c r="C73" s="179"/>
      <x:c r="D73" s="179"/>
      <x:c r="E73" s="179"/>
      <x:c r="F73" s="179"/>
      <x:c r="G73" s="179"/>
      <x:c r="H73" s="179"/>
      <x:c r="I73" s="179"/>
    </x:row>
    <x:row r="74" ht="30" hidden="0" customHeight="1">
      <x:c r="A74" s="174" t="s">
        <x:v>33</x:v>
      </x:c>
      <x:c r="B74" s="174" t="s">
        <x:v>163</x:v>
      </x:c>
      <x:c r="C74" s="175"/>
      <x:c r="D74" s="175"/>
      <x:c r="E74" s="175"/>
      <x:c r="F74" s="175"/>
      <x:c r="G74" s="175"/>
      <x:c r="H74" s="175"/>
      <x:c r="I74" s="175"/>
    </x:row>
    <x:row r="75" ht="30" hidden="0" customHeight="1">
      <x:c r="A75" s="177" t="s">
        <x:v>33</x:v>
      </x:c>
      <x:c r="B75" s="177" t="s">
        <x:v>164</x:v>
      </x:c>
      <x:c r="C75" s="179"/>
      <x:c r="D75" s="179"/>
      <x:c r="E75" s="179"/>
      <x:c r="F75" s="179"/>
      <x:c r="G75" s="179"/>
      <x:c r="H75" s="179"/>
      <x:c r="I75" s="179"/>
    </x:row>
    <x:row r="76" ht="30" hidden="0" customHeight="1">
      <x:c r="A76" s="174" t="s">
        <x:v>33</x:v>
      </x:c>
      <x:c r="B76" s="174" t="s">
        <x:v>165</x:v>
      </x:c>
      <x:c r="C76" s="175"/>
      <x:c r="D76" s="175"/>
      <x:c r="E76" s="175"/>
      <x:c r="F76" s="175"/>
      <x:c r="G76" s="175"/>
      <x:c r="H76" s="175"/>
      <x:c r="I76" s="175"/>
    </x:row>
    <x:row r="77" ht="30" hidden="0" customHeight="1">
      <x:c r="A77" s="177" t="s">
        <x:v>33</x:v>
      </x:c>
      <x:c r="B77" s="177" t="s">
        <x:v>166</x:v>
      </x:c>
      <x:c r="C77" s="179"/>
      <x:c r="D77" s="179"/>
      <x:c r="E77" s="179"/>
      <x:c r="F77" s="179"/>
      <x:c r="G77" s="179"/>
      <x:c r="H77" s="179"/>
      <x:c r="I77" s="179"/>
    </x:row>
    <x:row r="78" ht="30" hidden="0" customHeight="1">
      <x:c r="A78" s="174" t="s">
        <x:v>33</x:v>
      </x:c>
      <x:c r="B78" s="174" t="s">
        <x:v>167</x:v>
      </x:c>
      <x:c r="C78" s="175"/>
      <x:c r="D78" s="175"/>
      <x:c r="E78" s="175"/>
      <x:c r="F78" s="175"/>
      <x:c r="G78" s="175"/>
      <x:c r="H78" s="175"/>
      <x:c r="I78" s="175"/>
    </x:row>
    <x:row r="79" ht="30" hidden="0" customHeight="1">
      <x:c r="A79" s="177" t="s">
        <x:v>33</x:v>
      </x:c>
      <x:c r="B79" s="177" t="s">
        <x:v>168</x:v>
      </x:c>
      <x:c r="C79" s="179"/>
      <x:c r="D79" s="179"/>
      <x:c r="E79" s="179"/>
      <x:c r="F79" s="179"/>
      <x:c r="G79" s="179"/>
      <x:c r="H79" s="179"/>
      <x:c r="I79" s="179"/>
    </x:row>
    <x:row r="80" ht="30" hidden="0" customHeight="1">
      <x:c r="A80" s="174" t="s">
        <x:v>33</x:v>
      </x:c>
      <x:c r="B80" s="174" t="s">
        <x:v>169</x:v>
      </x:c>
      <x:c r="C80" s="175"/>
      <x:c r="D80" s="175"/>
      <x:c r="E80" s="175"/>
      <x:c r="F80" s="175"/>
      <x:c r="G80" s="175"/>
      <x:c r="H80" s="175"/>
      <x:c r="I80" s="175"/>
    </x:row>
    <x:row r="81" ht="30" hidden="0" customHeight="1">
      <x:c r="A81" s="177" t="s">
        <x:v>33</x:v>
      </x:c>
      <x:c r="B81" s="177" t="s">
        <x:v>170</x:v>
      </x:c>
      <x:c r="C81" s="179"/>
      <x:c r="D81" s="179"/>
      <x:c r="E81" s="179"/>
      <x:c r="F81" s="179"/>
      <x:c r="G81" s="179"/>
      <x:c r="H81" s="179"/>
      <x:c r="I81" s="179"/>
    </x:row>
    <x:row r="82" ht="30" hidden="0" customHeight="1">
      <x:c r="A82" s="174" t="s">
        <x:v>33</x:v>
      </x:c>
      <x:c r="B82" s="174" t="s">
        <x:v>171</x:v>
      </x:c>
      <x:c r="C82" s="175"/>
      <x:c r="D82" s="175"/>
      <x:c r="E82" s="175"/>
      <x:c r="F82" s="175"/>
      <x:c r="G82" s="175"/>
      <x:c r="H82" s="175"/>
      <x:c r="I82" s="175"/>
    </x:row>
    <x:row r="83" ht="30" hidden="0" customHeight="1">
      <x:c r="A83" s="177" t="s">
        <x:v>33</x:v>
      </x:c>
      <x:c r="B83" s="177" t="s">
        <x:v>172</x:v>
      </x:c>
      <x:c r="C83" s="179"/>
      <x:c r="D83" s="179"/>
      <x:c r="E83" s="179"/>
      <x:c r="F83" s="179"/>
      <x:c r="G83" s="179"/>
      <x:c r="H83" s="179"/>
      <x:c r="I83" s="179"/>
    </x:row>
    <x:row r="84" ht="30" hidden="0" customHeight="1">
      <x:c r="A84" s="174" t="s">
        <x:v>33</x:v>
      </x:c>
      <x:c r="B84" s="174" t="s">
        <x:v>173</x:v>
      </x:c>
      <x:c r="C84" s="175"/>
      <x:c r="D84" s="175"/>
      <x:c r="E84" s="175"/>
      <x:c r="F84" s="175"/>
      <x:c r="G84" s="175"/>
      <x:c r="H84" s="175"/>
      <x:c r="I84" s="175"/>
    </x:row>
    <x:row r="85" ht="30" hidden="0" customHeight="1">
      <x:c r="A85" s="177" t="s">
        <x:v>33</x:v>
      </x:c>
      <x:c r="B85" s="177" t="s">
        <x:v>174</x:v>
      </x:c>
      <x:c r="C85" s="179"/>
      <x:c r="D85" s="179"/>
      <x:c r="E85" s="179"/>
      <x:c r="F85" s="179"/>
      <x:c r="G85" s="179"/>
      <x:c r="H85" s="179"/>
      <x:c r="I85" s="179"/>
    </x:row>
    <x:row r="86" ht="30" hidden="0" customHeight="1">
      <x:c r="A86" s="174" t="s">
        <x:v>33</x:v>
      </x:c>
      <x:c r="B86" s="174" t="s">
        <x:v>175</x:v>
      </x:c>
      <x:c r="C86" s="175"/>
      <x:c r="D86" s="175"/>
      <x:c r="E86" s="175"/>
      <x:c r="F86" s="175"/>
      <x:c r="G86" s="175"/>
      <x:c r="H86" s="175"/>
      <x:c r="I86" s="175"/>
    </x:row>
    <x:row r="87" ht="30" hidden="0" customHeight="1">
      <x:c r="A87" s="177" t="s">
        <x:v>33</x:v>
      </x:c>
      <x:c r="B87" s="177" t="s">
        <x:v>176</x:v>
      </x:c>
      <x:c r="C87" s="179"/>
      <x:c r="D87" s="179"/>
      <x:c r="E87" s="179"/>
      <x:c r="F87" s="179"/>
      <x:c r="G87" s="179"/>
      <x:c r="H87" s="179"/>
      <x:c r="I87" s="179"/>
    </x:row>
    <x:row r="88" ht="30" hidden="0" customHeight="1">
      <x:c r="A88" s="174" t="s">
        <x:v>33</x:v>
      </x:c>
      <x:c r="B88" s="174" t="s">
        <x:v>177</x:v>
      </x:c>
      <x:c r="C88" s="175"/>
      <x:c r="D88" s="175"/>
      <x:c r="E88" s="175"/>
      <x:c r="F88" s="175"/>
      <x:c r="G88" s="175"/>
      <x:c r="H88" s="175"/>
      <x:c r="I88" s="175"/>
    </x:row>
    <x:row r="89" ht="30" hidden="0" customHeight="1">
      <x:c r="A89" s="177" t="s">
        <x:v>178</x:v>
      </x:c>
      <x:c r="B89" s="177" t="s">
        <x:v>179</x:v>
      </x:c>
      <x:c r="C89" s="179"/>
      <x:c r="D89" s="179"/>
      <x:c r="E89" s="179"/>
      <x:c r="F89" s="179"/>
      <x:c r="G89" s="179"/>
      <x:c r="H89" s="179"/>
      <x:c r="I89" s="179"/>
    </x:row>
    <x:row r="90" ht="30" hidden="0" customHeight="1">
      <x:c r="A90" s="174" t="s">
        <x:v>178</x:v>
      </x:c>
      <x:c r="B90" s="174" t="s">
        <x:v>180</x:v>
      </x:c>
      <x:c r="C90" s="175"/>
      <x:c r="D90" s="175"/>
      <x:c r="E90" s="175"/>
      <x:c r="F90" s="175"/>
      <x:c r="G90" s="175"/>
      <x:c r="H90" s="175"/>
      <x:c r="I90" s="175"/>
    </x:row>
    <x:row r="91" ht="82" hidden="0" customHeight="1"/>
    <x:row r="92" ht="82" hidden="0" customHeight="1"/>
    <x:row r="93" ht="82" hidden="0" customHeight="1"/>
    <x:row r="94" ht="82" hidden="0" customHeight="1"/>
    <x:row r="95" ht="82" hidden="0" customHeight="1"/>
    <x:row r="96" ht="82" hidden="0" customHeight="1"/>
    <x:row r="97" ht="82" hidden="0" customHeight="1"/>
    <x:row r="98" ht="82" hidden="0" customHeight="1"/>
    <x:row r="99" ht="82" hidden="0" customHeight="1"/>
    <x:row r="100" ht="82" hidden="0" customHeight="1"/>
    <x:row r="101" ht="82" hidden="0" customHeight="1"/>
    <x:row r="102" ht="82" hidden="0" customHeight="1"/>
    <x:row r="103" ht="82" hidden="0" customHeight="1"/>
    <x:row r="1048574" ht="12.800000190734863" hidden="0"/>
    <x:row r="1048575" ht="12.800000190734863" hidden="0"/>
    <x:row r="1048576" ht="12.800000190734863" hidden="0"/>
  </x:sheetData>
  <x:dataValidations count="2">
    <x:dataValidation type="list" errorStyle="stop" operator="between" allowBlank="0" showDropDown="0" showInputMessage="0" showErrorMessage="0" sqref="F7:F10">
      <x:formula1>"milestone,maintenance"</x:formula1>
      <x:formula2>0</x:formula2>
    </x:dataValidation>
    <x:dataValidation type="list" errorStyle="stop" operator="between" allowBlank="0" showDropDown="0" showInputMessage="0" showErrorMessage="0" sqref="F11">
      <x:formula1>"milestone,maintenance"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1427f07e8694e7c"/>
  </x:tableParts>
</x:worksheet>
</file>

<file path=xl/worksheets/sheet2.xml><?xml version="1.0" encoding="utf-8"?>
<x:worksheet xmlns:x="http://schemas.openxmlformats.org/spreadsheetml/2006/main">
  <x:sheetPr>
    <x:tabColor rgb="FF33465E"/>
  </x:sheetPr>
  <x:sheetViews>
    <x:sheetView showGridLines="0" workbookViewId="0">
      <x:pane ySplit="2" topLeftCell="A3" activePane="bottomLeft" state="frozen"/>
    </x:sheetView>
  </x:sheetViews>
  <x:sheetFormatPr defaultColWidth="8.6796875" defaultRowHeight="15"/>
  <x:cols>
    <x:col min="1" max="3" width="16" style="1" hidden="0" customWidth="1"/>
    <x:col min="4" max="4" width="12" style="1" hidden="0" customWidth="1"/>
    <x:col min="5" max="6" width="22" style="1" hidden="0" customWidth="1"/>
    <x:col min="7" max="7" width="44" hidden="0" customWidth="1"/>
  </x:cols>
  <x:sheetData>
    <x:row r="1" ht="26" hidden="0" customHeight="1">
      <x:c r="A1" s="306" t="s">
        <x:v>181</x:v>
      </x:c>
      <x:c r="B1" s="306"/>
      <x:c r="C1" s="306"/>
      <x:c r="D1" s="306"/>
      <x:c r="E1" s="306"/>
      <x:c r="F1" s="306"/>
      <x:c r="G1" s="307"/>
    </x:row>
    <x:row r="2" ht="28" hidden="0" customHeight="1">
      <x:c r="A2" s="183" t="s">
        <x:v>182</x:v>
      </x:c>
      <x:c r="B2" s="183" t="s">
        <x:v>183</x:v>
      </x:c>
      <x:c r="C2" s="183" t="s">
        <x:v>184</x:v>
      </x:c>
      <x:c r="D2" s="183" t="s">
        <x:v>75</x:v>
      </x:c>
      <x:c r="E2" s="183" t="s">
        <x:v>185</x:v>
      </x:c>
      <x:c r="F2" s="183" t="s">
        <x:v>186</x:v>
      </x:c>
      <x:c r="G2" s="183" t="s">
        <x:v>187</x:v>
      </x:c>
    </x:row>
    <x:row r="3" ht="26" hidden="0" customHeight="1">
      <x:c r="A3" s="177" t="s">
        <x:v>188</x:v>
      </x:c>
      <x:c r="B3" s="296"/>
      <x:c r="C3" s="296"/>
      <x:c r="D3" s="302" t="str">
        <x:f aca="0">IF(OR(B3="",C3=""),"",ROUND(MOD(C3-B3,1)*1440,6))</x:f>
      </x:c>
      <x:c r="E3" s="298"/>
      <x:c r="F3" s="298"/>
      <x:c r="G3" s="298"/>
    </x:row>
    <x:row r="4" ht="26" hidden="0" customHeight="1">
      <x:c r="A4" s="174" t="s">
        <x:v>188</x:v>
      </x:c>
      <x:c r="B4" s="299"/>
      <x:c r="C4" s="299"/>
      <x:c r="D4" s="303" t="str">
        <x:f aca="0">IF(OR(B4="",C4=""),"",ROUND(MOD(C4-B4,1)*1440,6))</x:f>
      </x:c>
      <x:c r="E4" s="301"/>
      <x:c r="F4" s="301"/>
      <x:c r="G4" s="301"/>
    </x:row>
    <x:row r="5" ht="28" hidden="0" customHeight="1">
      <x:c r="A5" s="177" t="s">
        <x:v>189</x:v>
      </x:c>
      <x:c r="B5" s="296" t="n">
        <x:v>0.833333333333333</x:v>
      </x:c>
      <x:c r="C5" s="296" t="n">
        <x:v>0.875</x:v>
      </x:c>
      <x:c r="D5" s="302" t="n">
        <x:f aca="0">IF(OR(B5="",C5=""),"",ROUND(MOD(C5-B5,1)*1440,6))</x:f>
        <x:v>60</x:v>
      </x:c>
      <x:c r="E5" s="298" t="s">
        <x:v>44</x:v>
      </x:c>
      <x:c r="F5" s="298" t="s">
        <x:v>190</x:v>
      </x:c>
      <x:c r="G5" s="298" t="s">
        <x:v>191</x:v>
      </x:c>
    </x:row>
    <x:row r="6" ht="26" hidden="0" customHeight="1">
      <x:c r="A6" s="174" t="s">
        <x:v>189</x:v>
      </x:c>
      <x:c r="B6" s="299"/>
      <x:c r="C6" s="299"/>
      <x:c r="D6" s="303" t="str">
        <x:f aca="0">IF(OR(B6="",C6=""),"",ROUND(MOD(C6-B6,1)*1440,6))</x:f>
      </x:c>
      <x:c r="E6" s="301"/>
      <x:c r="F6" s="301"/>
      <x:c r="G6" s="301"/>
    </x:row>
    <x:row r="7" ht="26" hidden="0" customHeight="1">
      <x:c r="A7" s="177" t="s">
        <x:v>192</x:v>
      </x:c>
      <x:c r="B7" s="296"/>
      <x:c r="C7" s="296"/>
      <x:c r="D7" s="302" t="str">
        <x:f aca="0">IF(OR(B7="",C7=""),"",ROUND(MOD(C7-B7,1)*1440,6))</x:f>
      </x:c>
      <x:c r="E7" s="298"/>
      <x:c r="F7" s="298"/>
      <x:c r="G7" s="298"/>
    </x:row>
    <x:row r="8" ht="26" hidden="0" customHeight="1">
      <x:c r="A8" s="174" t="s">
        <x:v>192</x:v>
      </x:c>
      <x:c r="B8" s="299"/>
      <x:c r="C8" s="299"/>
      <x:c r="D8" s="303" t="str">
        <x:f aca="0">IF(OR(B8="",C8=""),"",ROUND(MOD(C8-B8,1)*1440,6))</x:f>
      </x:c>
      <x:c r="E8" s="301"/>
      <x:c r="F8" s="301"/>
      <x:c r="G8" s="301"/>
    </x:row>
    <x:row r="9" ht="26" hidden="0" customHeight="1">
      <x:c r="A9" s="177" t="s">
        <x:v>193</x:v>
      </x:c>
      <x:c r="B9" s="296"/>
      <x:c r="C9" s="296"/>
      <x:c r="D9" s="302" t="str">
        <x:f aca="0">IF(OR(B9="",C9=""),"",ROUND(MOD(C9-B9,1)*1440,6))</x:f>
      </x:c>
      <x:c r="E9" s="298"/>
      <x:c r="F9" s="298"/>
      <x:c r="G9" s="298"/>
    </x:row>
    <x:row r="10" ht="26" hidden="0" customHeight="1">
      <x:c r="A10" s="174" t="s">
        <x:v>193</x:v>
      </x:c>
      <x:c r="B10" s="299"/>
      <x:c r="C10" s="299"/>
      <x:c r="D10" s="303" t="str">
        <x:f aca="0">IF(OR(B10="",C10=""),"",ROUND(MOD(C10-B10,1)*1440,6))</x:f>
      </x:c>
      <x:c r="E10" s="301"/>
      <x:c r="F10" s="301"/>
      <x:c r="G10" s="301"/>
    </x:row>
    <x:row r="11" ht="26" hidden="0" customHeight="1">
      <x:c r="A11" s="177" t="s">
        <x:v>194</x:v>
      </x:c>
      <x:c r="B11" s="296"/>
      <x:c r="C11" s="296"/>
      <x:c r="D11" s="302" t="str">
        <x:f aca="0">IF(OR(B11="",C11=""),"",ROUND(MOD(C11-B11,1)*1440,6))</x:f>
      </x:c>
      <x:c r="E11" s="298"/>
      <x:c r="F11" s="298"/>
      <x:c r="G11" s="298"/>
    </x:row>
    <x:row r="12" ht="26" hidden="0" customHeight="1">
      <x:c r="A12" s="174" t="s">
        <x:v>194</x:v>
      </x:c>
      <x:c r="B12" s="299"/>
      <x:c r="C12" s="299"/>
      <x:c r="D12" s="303" t="str">
        <x:f aca="0">IF(OR(B12="",C12=""),"",ROUND(MOD(C12-B12,1)*1440,6))</x:f>
      </x:c>
      <x:c r="E12" s="301"/>
      <x:c r="F12" s="301"/>
      <x:c r="G12" s="301"/>
    </x:row>
    <x:row r="13" ht="26" hidden="0" customHeight="1">
      <x:c r="A13" s="177" t="s">
        <x:v>195</x:v>
      </x:c>
      <x:c r="B13" s="296"/>
      <x:c r="C13" s="296"/>
      <x:c r="D13" s="302" t="str">
        <x:f aca="0">IF(OR(B13="",C13=""),"",ROUND(MOD(C13-B13,1)*1440,6))</x:f>
      </x:c>
      <x:c r="E13" s="298"/>
      <x:c r="F13" s="298"/>
      <x:c r="G13" s="298"/>
    </x:row>
    <x:row r="14" ht="26" hidden="0" customHeight="1">
      <x:c r="A14" s="174" t="s">
        <x:v>195</x:v>
      </x:c>
      <x:c r="B14" s="299"/>
      <x:c r="C14" s="299"/>
      <x:c r="D14" s="303" t="str">
        <x:f aca="0">IF(OR(B14="",C14=""),"",ROUND(MOD(C14-B14,1)*1440,6))</x:f>
      </x:c>
      <x:c r="E14" s="301"/>
      <x:c r="F14" s="301"/>
      <x:c r="G14" s="301"/>
    </x:row>
    <x:row r="15" ht="28" hidden="0" customHeight="1">
      <x:c r="A15" s="177" t="s">
        <x:v>196</x:v>
      </x:c>
      <x:c r="B15" s="296" t="n">
        <x:v>0.4375</x:v>
      </x:c>
      <x:c r="C15" s="296" t="n">
        <x:v>0.479166666666667</x:v>
      </x:c>
      <x:c r="D15" s="302" t="n">
        <x:f aca="0">IF(OR(B15="",C15=""),"",ROUND(MOD(C15-B15,1)*1440,6))</x:f>
        <x:v>60</x:v>
      </x:c>
      <x:c r="E15" s="298" t="s">
        <x:v>38</x:v>
      </x:c>
      <x:c r="F15" s="298" t="s">
        <x:v>190</x:v>
      </x:c>
      <x:c r="G15" s="298" t="s">
        <x:v>197</x:v>
      </x:c>
    </x:row>
    <x:row r="16" ht="26" hidden="0" customHeight="1">
      <x:c r="A16" s="174" t="s">
        <x:v>196</x:v>
      </x:c>
      <x:c r="B16" s="299"/>
      <x:c r="C16" s="299"/>
      <x:c r="D16" s="303" t="str">
        <x:f aca="0">IF(OR(B16="",C16=""),"",ROUND(MOD(C16-B16,1)*1440,6))</x:f>
      </x:c>
      <x:c r="E16" s="301"/>
      <x:c r="F16" s="301"/>
      <x:c r="G16" s="30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465E"/>
  </x:sheetPr>
  <x:sheetViews>
    <x:sheetView showGridLines="0" workbookViewId="0">
      <x:pane xSplit="2" ySplit="2" topLeftCell="C3" activePane="bottomRight" state="frozen"/>
    </x:sheetView>
  </x:sheetViews>
  <x:sheetFormatPr defaultColWidth="8.6796875" defaultRowHeight="15"/>
  <x:cols>
    <x:col min="1" max="2" width="14" style="1" hidden="0" customWidth="1"/>
    <x:col min="3" max="3" width="72" style="1" hidden="0" customWidth="1"/>
    <x:col min="4" max="4" width="29" style="1" hidden="0" customWidth="1"/>
    <x:col min="5" max="7" width="17" style="1" hidden="0" customWidth="1"/>
    <x:col min="8" max="11" width="30" style="1" hidden="0" customWidth="1"/>
    <x:col min="12" max="25" width="12" hidden="0" customWidth="1"/>
    <x:col min="26" max="26" width="9" hidden="0" customWidth="1"/>
    <x:col min="16382" max="16384" width="11.529999732971191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7" max="27" width="9" hidden="0" customWidth="1"/>
    <x:col min="28" max="28" width="32" hidden="0" customWidth="1"/>
    <x:col min="29" max="29" width="27" hidden="0" customWidth="1"/>
    <x:col min="30" max="30" width="27" hidden="0" customWidth="1"/>
    <x:col min="31" max="31" width="27" hidden="0" customWidth="1"/>
    <x:col min="32" max="32" width="19" hidden="0" customWidth="1"/>
    <x:col min="33" max="33" width="19" hidden="0" customWidth="1"/>
    <x:col min="34" max="34" width="24" hidden="0" customWidth="1"/>
    <x:col min="35" max="35" width="24" hidden="0" customWidth="1"/>
    <x:col min="36" max="36" width="19" hidden="0" customWidth="1"/>
    <x:col min="37" max="37" width="19" hidden="0" customWidth="1"/>
  </x:cols>
  <x:sheetData>
    <x:row r="1" ht="26" hidden="0" customHeight="1">
      <x:c r="A1" s="290" t="str">
        <x:v>Daily training</x:v>
      </x:c>
      <x:c r="B1" s="290"/>
      <x:c r="C1" s="290"/>
      <x:c r="D1" s="290"/>
      <x:c r="E1" s="290"/>
      <x:c r="F1" s="290"/>
      <x:c r="G1" s="290"/>
      <x:c r="H1" s="291" t="s">
        <x:v>53</x:v>
      </x:c>
      <x:c r="I1" s="290"/>
      <x:c r="J1" s="290"/>
      <x:c r="K1" s="290"/>
      <x:c r="L1" s="290"/>
      <x:c r="M1" s="290"/>
      <x:c r="N1" s="291" t="s">
        <x:v>57</x:v>
      </x:c>
      <x:c r="O1" s="290"/>
      <x:c r="P1" s="290"/>
      <x:c r="Q1" s="290"/>
      <x:c r="R1" s="290"/>
      <x:c r="S1" s="290"/>
      <x:c r="T1" s="291" t="s">
        <x:v>198</x:v>
      </x:c>
      <x:c r="U1" s="290"/>
      <x:c r="V1" s="290"/>
      <x:c r="W1" s="290"/>
      <x:c r="X1" s="290"/>
      <x:c r="Y1" s="290"/>
      <x:c r="Z1" s="291" t="str">
        <x:v>Core</x:v>
      </x:c>
      <x:c r="AA1" s="290"/>
      <x:c r="AB1" s="291" t="str"/>
      <x:c r="AC1" s="290"/>
      <x:c r="AD1" s="290"/>
      <x:c r="AE1" s="290"/>
      <x:c r="AF1" s="333" t="str">
        <x:v>Daily scores</x:v>
      </x:c>
      <x:c r="AG1" s="333"/>
      <x:c r="AH1" s="333"/>
      <x:c r="AI1" s="333"/>
      <x:c r="AJ1" s="333"/>
      <x:c r="AK1" s="333"/>
    </x:row>
    <x:row r="2" ht="42" hidden="0" customHeight="1">
      <x:c r="A2" s="239" t="s">
        <x:v>199</x:v>
      </x:c>
      <x:c r="B2" s="239" t="s">
        <x:v>200</x:v>
      </x:c>
      <x:c r="C2" s="239" t="s">
        <x:v>0</x:v>
      </x:c>
      <x:c r="D2" s="239" t="s">
        <x:v>201</x:v>
      </x:c>
      <x:c r="E2" s="239" t="s">
        <x:v>202</x:v>
      </x:c>
      <x:c r="F2" s="239" t="s">
        <x:v>203</x:v>
      </x:c>
      <x:c r="G2" s="239" t="s">
        <x:v>204</x:v>
      </x:c>
      <x:c r="H2" s="242" t="s">
        <x:v>205</x:v>
      </x:c>
      <x:c r="I2" s="240" t="n">
        <x:v>1</x:v>
      </x:c>
      <x:c r="J2" s="240" t="n">
        <x:v>2</x:v>
      </x:c>
      <x:c r="K2" s="240" t="n">
        <x:v>3</x:v>
      </x:c>
      <x:c r="L2" s="240" t="n">
        <x:v>4</x:v>
      </x:c>
      <x:c r="M2" s="240" t="n">
        <x:v>5</x:v>
      </x:c>
      <x:c r="N2" s="242" t="s">
        <x:v>205</x:v>
      </x:c>
      <x:c r="O2" s="240" t="n">
        <x:v>1</x:v>
      </x:c>
      <x:c r="P2" s="240" t="n">
        <x:v>2</x:v>
      </x:c>
      <x:c r="Q2" s="240" t="n">
        <x:v>3</x:v>
      </x:c>
      <x:c r="R2" s="240" t="n">
        <x:v>4</x:v>
      </x:c>
      <x:c r="S2" s="240" t="n">
        <x:v>5</x:v>
      </x:c>
      <x:c r="T2" s="242" t="s">
        <x:v>205</x:v>
      </x:c>
      <x:c r="U2" s="240" t="n">
        <x:v>1</x:v>
      </x:c>
      <x:c r="V2" s="240" t="n">
        <x:v>2</x:v>
      </x:c>
      <x:c r="W2" s="240" t="n">
        <x:v>3</x:v>
      </x:c>
      <x:c r="X2" s="240" t="n">
        <x:v>4</x:v>
      </x:c>
      <x:c r="Y2" s="240" t="n">
        <x:v>5</x:v>
      </x:c>
      <x:c r="Z2" s="242" t="str">
        <x:v>Done</x:v>
      </x:c>
      <x:c r="AA2" s="240" t="str">
        <x:v>Rounds</x:v>
      </x:c>
      <x:c r="AB2" s="242" t="str">
        <x:v>Notes</x:v>
      </x:c>
      <x:c r="AC2" s="240" t="str">
        <x:v>Muscle-up result</x:v>
      </x:c>
      <x:c r="AD2" s="240" t="str">
        <x:v>HSPU result</x:v>
      </x:c>
      <x:c r="AE2" s="240" t="str">
        <x:v>Pistol result</x:v>
      </x:c>
      <x:c r="AF2" s="337" t="str">
        <x:v>Planned intensity</x:v>
      </x:c>
      <x:c r="AG2" s="337" t="str">
        <x:v>Effort rating</x:v>
      </x:c>
      <x:c r="AH2" s="337" t="str">
        <x:v>Expected performance</x:v>
      </x:c>
      <x:c r="AI2" s="337" t="str">
        <x:v>Actual performance</x:v>
      </x:c>
      <x:c r="AJ2" s="337" t="str">
        <x:v>Scored metrics</x:v>
      </x:c>
      <x:c r="AK2" s="337" t="str">
        <x:v>Planned metrics</x:v>
      </x:c>
    </x:row>
    <x:row r="3" ht="88" hidden="0" customHeight="1">
      <x:c r="A3" s="228" t="n">
        <x:f aca="0">Strategy!$E$3+0</x:f>
        <x:v>46321.5</x:v>
      </x:c>
      <x:c r="B3" s="229" t="s">
        <x:v>53</x:v>
      </x:c>
      <x:c r="C3" s="289" t="str">
        <x:f aca="0">SUBSTITUTE(SUBSTITUTE(SUBSTITUTE("35 min skills"&amp;CHAR(10)&amp;Strategy!H21,", B)",CHAR(10)&amp;"B)"),", C)",CHAR(10)&amp;"C)"),", Core:",CHAR(10)&amp;"Core:")</x:f>
        <x:v>35 min skills
A) Scapular pull-up: 3 x 5
B) High pull (chest-to-bar intent): 3 x 3
C) Box pistol: 3 x 5/leg
Core: 5 rounds</x:v>
      </x:c>
      <x:c r="D3" s="229" t="s">
        <x:v>206</x:v>
      </x:c>
      <x:c r="E3" s="229" t="n">
        <x:v>65</x:v>
      </x:c>
      <x:c r="F3" s="256"/>
      <x:c r="G3" s="256" t="s">
        <x:v>207</x:v>
      </x:c>
      <x:c r="H3" s="258" t="b">
        <x:f aca="0">FALSE()</x:f>
        <x:v>0</x:v>
      </x:c>
      <x:c r="I3" s="259" t="n">
        <x:v>5</x:v>
      </x:c>
      <x:c r="J3" s="259" t="n">
        <x:v>5</x:v>
      </x:c>
      <x:c r="K3" s="259" t="n">
        <x:v>5</x:v>
      </x:c>
      <x:c r="L3" s="260"/>
      <x:c r="M3" s="260"/>
      <x:c r="N3" s="258" t="b">
        <x:f aca="0">FALSE()</x:f>
        <x:v>0</x:v>
      </x:c>
      <x:c r="O3" s="259" t="n">
        <x:v>3</x:v>
      </x:c>
      <x:c r="P3" s="259" t="n">
        <x:v>3</x:v>
      </x:c>
      <x:c r="Q3" s="259" t="n">
        <x:v>3</x:v>
      </x:c>
      <x:c r="R3" s="260"/>
      <x:c r="S3" s="260"/>
      <x:c r="T3" s="258" t="b">
        <x:f aca="0">FALSE()</x:f>
        <x:v>0</x:v>
      </x:c>
      <x:c r="U3" s="259" t="n">
        <x:v>5</x:v>
      </x:c>
      <x:c r="V3" s="259" t="n">
        <x:v>5</x:v>
      </x:c>
      <x:c r="W3" s="259" t="n">
        <x:v>5</x:v>
      </x:c>
      <x:c r="X3" s="260"/>
      <x:c r="Y3" s="260"/>
      <x:c r="Z3" s="261" t="b">
        <x:v>0</x:v>
      </x:c>
      <x:c r="AA3" s="259" t="n">
        <x:v>5</x:v>
      </x:c>
      <x:c r="AB3" s="262"/>
      <x:c r="AC3" s="287"/>
      <x:c r="AD3" s="287"/>
      <x:c r="AE3" s="287"/>
      <x:c r="AF3" s="328"/>
      <x:c r="AG3" s="328"/>
      <x:c r="AH3" s="329" t="n">
        <x:f>IF(COUNT(Scoring!H5:H8)&gt;0,MEDIAN(Scoring!H5:H8),"")</x:f>
        <x:v>100</x:v>
      </x:c>
      <x:c r="AI3" s="329" t="str">
        <x:f>IF(COUNT(Scoring!I5:I8)&gt;0,MEDIAN(Scoring!I5:I8),"")</x:f>
      </x:c>
      <x:c r="AJ3" s="340" t="n">
        <x:f>COUNT(Scoring!I5:I8)</x:f>
        <x:v>0</x:v>
      </x:c>
      <x:c r="AK3" s="340" t="n">
        <x:f>COUNT(Scoring!H5:H8)</x:f>
        <x:v>4</x:v>
      </x:c>
    </x:row>
    <x:row r="4" ht="88" hidden="0" customHeight="1">
      <x:c r="A4" s="223" t="n">
        <x:f aca="0">Strategy!$E$3+1</x:f>
        <x:v>46322.5</x:v>
      </x:c>
      <x:c r="B4" s="224" t="s">
        <x:v>61</x:v>
      </x:c>
      <x:c r="C4" s="224" t="s">
        <x:v>208</x:v>
      </x:c>
      <x:c r="D4" s="224" t="s">
        <x:v>209</x:v>
      </x:c>
      <x:c r="E4" s="224" t="n">
        <x:v>10</x:v>
      </x:c>
      <x:c r="F4" s="257"/>
      <x:c r="G4" s="257" t="s">
        <x:v>207</x:v>
      </x:c>
      <x:c r="H4" s="263" t="b">
        <x:f aca="0">FALSE()</x:f>
        <x:v>0</x:v>
      </x:c>
      <x:c r="I4" s="264" t="n">
        <x:v>0.001388888888888889</x:v>
      </x:c>
      <x:c r="J4" s="265"/>
      <x:c r="K4" s="265"/>
      <x:c r="L4" s="265"/>
      <x:c r="M4" s="265"/>
      <x:c r="N4" s="263" t="b">
        <x:f aca="0">FALSE()</x:f>
        <x:v>0</x:v>
      </x:c>
      <x:c r="O4" s="264" t="n">
        <x:v>0.00017361111111111112</x:v>
      </x:c>
      <x:c r="P4" s="264" t="n">
        <x:v>0.00017361111111111112</x:v>
      </x:c>
      <x:c r="Q4" s="264" t="n">
        <x:v>0.00017361111111111112</x:v>
      </x:c>
      <x:c r="R4" s="265"/>
      <x:c r="S4" s="265"/>
      <x:c r="T4" s="263" t="b">
        <x:f aca="0">FALSE()</x:f>
        <x:v>0</x:v>
      </x:c>
      <x:c r="U4" s="264" t="n">
        <x:v>0.00017361111111111112</x:v>
      </x:c>
      <x:c r="V4" s="264" t="n">
        <x:v>0.00017361111111111112</x:v>
      </x:c>
      <x:c r="W4" s="265"/>
      <x:c r="X4" s="265"/>
      <x:c r="Y4" s="265"/>
      <x:c r="Z4" s="266" t="b">
        <x:v>0</x:v>
      </x:c>
      <x:c r="AA4" s="267"/>
      <x:c r="AB4" s="268"/>
      <x:c r="AC4" s="288"/>
      <x:c r="AD4" s="288"/>
      <x:c r="AE4" s="288"/>
      <x:c r="AF4" s="330"/>
      <x:c r="AG4" s="330"/>
      <x:c r="AH4" s="331" t="n">
        <x:f>IF(COUNT(Scoring!H9:H11)&gt;0,MEDIAN(Scoring!H9:H11),"")</x:f>
        <x:v>100</x:v>
      </x:c>
      <x:c r="AI4" s="331" t="str">
        <x:f>IF(COUNT(Scoring!I9:I11)&gt;0,MEDIAN(Scoring!I9:I11),"")</x:f>
      </x:c>
      <x:c r="AJ4" s="341" t="n">
        <x:f>COUNT(Scoring!I9:I11)</x:f>
        <x:v>0</x:v>
      </x:c>
      <x:c r="AK4" s="341" t="n">
        <x:f>COUNT(Scoring!H9:H11)</x:f>
        <x:v>3</x:v>
      </x:c>
    </x:row>
    <x:row r="5" ht="88" hidden="0" customHeight="1">
      <x:c r="A5" s="228" t="n">
        <x:f aca="0">Strategy!$E$3+3</x:f>
        <x:v>46324.5</x:v>
      </x:c>
      <x:c r="B5" s="229" t="s">
        <x:v>57</x:v>
      </x:c>
      <x:c r="C5" s="289" t="str">
        <x:f aca="0">SUBSTITUTE(SUBSTITUTE(SUBSTITUTE("35 min skills"&amp;CHAR(10)&amp;Strategy!I21,", B)",CHAR(10)&amp;"B)"),", C)",CHAR(10)&amp;"C)"),", Core:",CHAR(10)&amp;"Core:")</x:f>
        <x:v>35 min skills
A) Chest-to-wall handstand: 3 x 20 sec
B) Pike push-up: 3 x 5
C) Box pistol: 3 x 5/leg
Core: 5 rounds</x:v>
      </x:c>
      <x:c r="D5" s="229" t="s">
        <x:v>210</x:v>
      </x:c>
      <x:c r="E5" s="229" t="n">
        <x:v>65</x:v>
      </x:c>
      <x:c r="F5" s="256"/>
      <x:c r="G5" s="256" t="s">
        <x:v>207</x:v>
      </x:c>
      <x:c r="H5" s="258" t="b">
        <x:f aca="0">FALSE()</x:f>
        <x:v>0</x:v>
      </x:c>
      <x:c r="I5" s="269" t="n">
        <x:v>0.0002314814814814815</x:v>
      </x:c>
      <x:c r="J5" s="269" t="n">
        <x:v>0.0002314814814814815</x:v>
      </x:c>
      <x:c r="K5" s="269" t="n">
        <x:v>0.0002314814814814815</x:v>
      </x:c>
      <x:c r="L5" s="260"/>
      <x:c r="M5" s="260"/>
      <x:c r="N5" s="258" t="b">
        <x:f aca="0">FALSE()</x:f>
        <x:v>0</x:v>
      </x:c>
      <x:c r="O5" s="259" t="n">
        <x:v>5</x:v>
      </x:c>
      <x:c r="P5" s="259" t="n">
        <x:v>5</x:v>
      </x:c>
      <x:c r="Q5" s="259" t="n">
        <x:v>5</x:v>
      </x:c>
      <x:c r="R5" s="260"/>
      <x:c r="S5" s="260"/>
      <x:c r="T5" s="258" t="b">
        <x:f aca="0">FALSE()</x:f>
        <x:v>0</x:v>
      </x:c>
      <x:c r="U5" s="259" t="n">
        <x:v>5</x:v>
      </x:c>
      <x:c r="V5" s="259" t="n">
        <x:v>5</x:v>
      </x:c>
      <x:c r="W5" s="259" t="n">
        <x:v>5</x:v>
      </x:c>
      <x:c r="X5" s="260"/>
      <x:c r="Y5" s="260"/>
      <x:c r="Z5" s="261" t="b">
        <x:v>0</x:v>
      </x:c>
      <x:c r="AA5" s="259" t="n">
        <x:v>5</x:v>
      </x:c>
      <x:c r="AB5" s="262"/>
      <x:c r="AC5" s="287"/>
      <x:c r="AD5" s="287"/>
      <x:c r="AE5" s="287"/>
      <x:c r="AF5" s="328"/>
      <x:c r="AG5" s="328"/>
      <x:c r="AH5" s="329" t="n">
        <x:f>IF(COUNT(Scoring!H12:H15)&gt;0,MEDIAN(Scoring!H12:H15),"")</x:f>
        <x:v>100</x:v>
      </x:c>
      <x:c r="AI5" s="329" t="str">
        <x:f>IF(COUNT(Scoring!I12:I15)&gt;0,MEDIAN(Scoring!I12:I15),"")</x:f>
      </x:c>
      <x:c r="AJ5" s="340" t="n">
        <x:f>COUNT(Scoring!I12:I15)</x:f>
        <x:v>0</x:v>
      </x:c>
      <x:c r="AK5" s="340" t="n">
        <x:f>COUNT(Scoring!H12:H15)</x:f>
        <x:v>4</x:v>
      </x:c>
    </x:row>
    <x:row r="6" ht="88" hidden="0" customHeight="1">
      <x:c r="A6" s="223" t="n">
        <x:f aca="0">Strategy!$E$3+5</x:f>
        <x:v>46326.5</x:v>
      </x:c>
      <x:c r="B6" s="224" t="s">
        <x:v>61</x:v>
      </x:c>
      <x:c r="C6" s="224" t="s">
        <x:v>211</x:v>
      </x:c>
      <x:c r="D6" s="224" t="s">
        <x:v>212</x:v>
      </x:c>
      <x:c r="E6" s="224" t="n">
        <x:v>20</x:v>
      </x:c>
      <x:c r="F6" s="257"/>
      <x:c r="G6" s="257" t="s">
        <x:v>207</x:v>
      </x:c>
      <x:c r="H6" s="263" t="b">
        <x:f aca="0">FALSE()</x:f>
        <x:v>0</x:v>
      </x:c>
      <x:c r="I6" s="264" t="n">
        <x:v>0.001388888888888889</x:v>
      </x:c>
      <x:c r="J6" s="265"/>
      <x:c r="K6" s="265"/>
      <x:c r="L6" s="265"/>
      <x:c r="M6" s="265"/>
      <x:c r="N6" s="263" t="b">
        <x:f aca="0">FALSE()</x:f>
        <x:v>0</x:v>
      </x:c>
      <x:c r="O6" s="264" t="n">
        <x:v>0.00017361111111111112</x:v>
      </x:c>
      <x:c r="P6" s="264" t="n">
        <x:v>0.00017361111111111112</x:v>
      </x:c>
      <x:c r="Q6" s="264" t="n">
        <x:v>0.00017361111111111112</x:v>
      </x:c>
      <x:c r="R6" s="265"/>
      <x:c r="S6" s="265"/>
      <x:c r="T6" s="263" t="b">
        <x:f aca="0">FALSE()</x:f>
        <x:v>0</x:v>
      </x:c>
      <x:c r="U6" s="264" t="n">
        <x:v>0.00017361111111111112</x:v>
      </x:c>
      <x:c r="V6" s="264" t="n">
        <x:v>0.00017361111111111112</x:v>
      </x:c>
      <x:c r="W6" s="264" t="n">
        <x:v>0.00017361111111111112</x:v>
      </x:c>
      <x:c r="X6" s="265"/>
      <x:c r="Y6" s="265"/>
      <x:c r="Z6" s="266" t="b">
        <x:v>0</x:v>
      </x:c>
      <x:c r="AA6" s="267"/>
      <x:c r="AB6" s="268"/>
      <x:c r="AC6" s="288"/>
      <x:c r="AD6" s="288"/>
      <x:c r="AE6" s="288"/>
      <x:c r="AF6" s="330"/>
      <x:c r="AG6" s="330"/>
      <x:c r="AH6" s="331" t="n">
        <x:f>IF(COUNT(Scoring!H16:H18)&gt;0,MEDIAN(Scoring!H16:H18),"")</x:f>
        <x:v>100</x:v>
      </x:c>
      <x:c r="AI6" s="331" t="str">
        <x:f>IF(COUNT(Scoring!I16:I18)&gt;0,MEDIAN(Scoring!I16:I18),"")</x:f>
      </x:c>
      <x:c r="AJ6" s="341" t="n">
        <x:f>COUNT(Scoring!I16:I18)</x:f>
        <x:v>0</x:v>
      </x:c>
      <x:c r="AK6" s="341" t="n">
        <x:f>COUNT(Scoring!H16:H18)</x:f>
        <x:v>3</x:v>
      </x:c>
    </x:row>
    <x:row r="7" ht="88" hidden="0" customHeight="1">
      <x:c r="A7" s="228" t="n">
        <x:f aca="0">Strategy!$E$3+7</x:f>
        <x:v>46328.5</x:v>
      </x:c>
      <x:c r="B7" s="229" t="s">
        <x:v>53</x:v>
      </x:c>
      <x:c r="C7" s="289" t="str">
        <x:f aca="0">SUBSTITUTE(SUBSTITUTE(SUBSTITUTE("35 min skills"&amp;CHAR(10)&amp;Strategy!H22,", B)",CHAR(10)&amp;"B)"),", C)",CHAR(10)&amp;"C)"),", Core:",CHAR(10)&amp;"Core:")</x:f>
        <x:v>35 min skills
A) Band transition drill: 3 x 3
B) High pull: 3 x 3
C) Lower-box pistol with counterweight: 3 x 4/leg
Core: 5 rounds</x:v>
      </x:c>
      <x:c r="D7" s="229" t="s">
        <x:v>206</x:v>
      </x:c>
      <x:c r="E7" s="229" t="n">
        <x:v>65</x:v>
      </x:c>
      <x:c r="F7" s="256"/>
      <x:c r="G7" s="256" t="s">
        <x:v>207</x:v>
      </x:c>
      <x:c r="H7" s="258" t="b">
        <x:f aca="0">FALSE()</x:f>
        <x:v>0</x:v>
      </x:c>
      <x:c r="I7" s="259" t="n">
        <x:v>3</x:v>
      </x:c>
      <x:c r="J7" s="259" t="n">
        <x:v>3</x:v>
      </x:c>
      <x:c r="K7" s="259" t="n">
        <x:v>3</x:v>
      </x:c>
      <x:c r="L7" s="260"/>
      <x:c r="M7" s="260"/>
      <x:c r="N7" s="258" t="b">
        <x:f aca="0">FALSE()</x:f>
        <x:v>0</x:v>
      </x:c>
      <x:c r="O7" s="259" t="n">
        <x:v>3</x:v>
      </x:c>
      <x:c r="P7" s="259" t="n">
        <x:v>3</x:v>
      </x:c>
      <x:c r="Q7" s="259" t="n">
        <x:v>3</x:v>
      </x:c>
      <x:c r="R7" s="260"/>
      <x:c r="S7" s="260"/>
      <x:c r="T7" s="258" t="b">
        <x:f aca="0">FALSE()</x:f>
        <x:v>0</x:v>
      </x:c>
      <x:c r="U7" s="259" t="n">
        <x:v>4</x:v>
      </x:c>
      <x:c r="V7" s="259" t="n">
        <x:v>4</x:v>
      </x:c>
      <x:c r="W7" s="259" t="n">
        <x:v>4</x:v>
      </x:c>
      <x:c r="X7" s="260"/>
      <x:c r="Y7" s="260"/>
      <x:c r="Z7" s="261" t="b">
        <x:v>0</x:v>
      </x:c>
      <x:c r="AA7" s="259" t="n">
        <x:v>5</x:v>
      </x:c>
      <x:c r="AB7" s="262"/>
      <x:c r="AC7" s="287"/>
      <x:c r="AD7" s="287"/>
      <x:c r="AE7" s="287"/>
      <x:c r="AF7" s="328"/>
      <x:c r="AG7" s="328"/>
      <x:c r="AH7" s="329" t="n">
        <x:f>IF(COUNT(Scoring!H19:H22)&gt;0,MEDIAN(Scoring!H19:H22),"")</x:f>
        <x:v>100</x:v>
      </x:c>
      <x:c r="AI7" s="329" t="str">
        <x:f>IF(COUNT(Scoring!I19:I22)&gt;0,MEDIAN(Scoring!I19:I22),"")</x:f>
      </x:c>
      <x:c r="AJ7" s="340" t="n">
        <x:f>COUNT(Scoring!I19:I22)</x:f>
        <x:v>0</x:v>
      </x:c>
      <x:c r="AK7" s="340" t="n">
        <x:f>COUNT(Scoring!H19:H22)</x:f>
        <x:v>4</x:v>
      </x:c>
    </x:row>
    <x:row r="8" ht="88" hidden="0" customHeight="1">
      <x:c r="A8" s="223" t="n">
        <x:f aca="0">Strategy!$E$3+8</x:f>
        <x:v>46329.5</x:v>
      </x:c>
      <x:c r="B8" s="224" t="s">
        <x:v>61</x:v>
      </x:c>
      <x:c r="C8" s="224" t="s">
        <x:v>208</x:v>
      </x:c>
      <x:c r="D8" s="224" t="s">
        <x:v>209</x:v>
      </x:c>
      <x:c r="E8" s="224" t="n">
        <x:v>10</x:v>
      </x:c>
      <x:c r="F8" s="257"/>
      <x:c r="G8" s="257" t="s">
        <x:v>207</x:v>
      </x:c>
      <x:c r="H8" s="263" t="b">
        <x:f aca="0">FALSE()</x:f>
        <x:v>0</x:v>
      </x:c>
      <x:c r="I8" s="264" t="n">
        <x:v>0.001388888888888889</x:v>
      </x:c>
      <x:c r="J8" s="265"/>
      <x:c r="K8" s="265"/>
      <x:c r="L8" s="265"/>
      <x:c r="M8" s="265"/>
      <x:c r="N8" s="263" t="b">
        <x:f aca="0">FALSE()</x:f>
        <x:v>0</x:v>
      </x:c>
      <x:c r="O8" s="264" t="n">
        <x:v>0.00017361111111111112</x:v>
      </x:c>
      <x:c r="P8" s="264" t="n">
        <x:v>0.00017361111111111112</x:v>
      </x:c>
      <x:c r="Q8" s="264" t="n">
        <x:v>0.00017361111111111112</x:v>
      </x:c>
      <x:c r="R8" s="265"/>
      <x:c r="S8" s="265"/>
      <x:c r="T8" s="263" t="b">
        <x:f aca="0">FALSE()</x:f>
        <x:v>0</x:v>
      </x:c>
      <x:c r="U8" s="264" t="n">
        <x:v>0.00017361111111111112</x:v>
      </x:c>
      <x:c r="V8" s="264" t="n">
        <x:v>0.00017361111111111112</x:v>
      </x:c>
      <x:c r="W8" s="265"/>
      <x:c r="X8" s="265"/>
      <x:c r="Y8" s="265"/>
      <x:c r="Z8" s="266" t="b">
        <x:v>0</x:v>
      </x:c>
      <x:c r="AA8" s="267"/>
      <x:c r="AB8" s="268"/>
      <x:c r="AC8" s="288"/>
      <x:c r="AD8" s="288"/>
      <x:c r="AE8" s="288"/>
      <x:c r="AF8" s="330"/>
      <x:c r="AG8" s="330"/>
      <x:c r="AH8" s="331" t="n">
        <x:f>IF(COUNT(Scoring!H23:H25)&gt;0,MEDIAN(Scoring!H23:H25),"")</x:f>
        <x:v>100</x:v>
      </x:c>
      <x:c r="AI8" s="331" t="str">
        <x:f>IF(COUNT(Scoring!I23:I25)&gt;0,MEDIAN(Scoring!I23:I25),"")</x:f>
      </x:c>
      <x:c r="AJ8" s="341" t="n">
        <x:f>COUNT(Scoring!I23:I25)</x:f>
        <x:v>0</x:v>
      </x:c>
      <x:c r="AK8" s="341" t="n">
        <x:f>COUNT(Scoring!H23:H25)</x:f>
        <x:v>3</x:v>
      </x:c>
    </x:row>
    <x:row r="9" ht="88" hidden="0" customHeight="1">
      <x:c r="A9" s="228" t="n">
        <x:f aca="0">Strategy!$E$3+10</x:f>
        <x:v>46331.5</x:v>
      </x:c>
      <x:c r="B9" s="229" t="s">
        <x:v>57</x:v>
      </x:c>
      <x:c r="C9" s="289" t="str">
        <x:f aca="0">SUBSTITUTE(SUBSTITUTE(SUBSTITUTE("35 min skills"&amp;CHAR(10)&amp;Strategy!I22,", B)",CHAR(10)&amp;"B)"),", C)",CHAR(10)&amp;"C)"),", Core:",CHAR(10)&amp;"Core:")</x:f>
        <x:v>35 min skills
A) Wall handstand: 3 x 25 sec
B) Elevated pike push-up: 3 x 4
C) Lower-box pistol with counterweight: 3 x 4/leg
Core: 5 rounds</x:v>
      </x:c>
      <x:c r="D9" s="229" t="s">
        <x:v>210</x:v>
      </x:c>
      <x:c r="E9" s="229" t="n">
        <x:v>65</x:v>
      </x:c>
      <x:c r="F9" s="256"/>
      <x:c r="G9" s="256" t="s">
        <x:v>207</x:v>
      </x:c>
      <x:c r="H9" s="258" t="b">
        <x:f aca="0">FALSE()</x:f>
        <x:v>0</x:v>
      </x:c>
      <x:c r="I9" s="269" t="n">
        <x:v>0.00028935185185185184</x:v>
      </x:c>
      <x:c r="J9" s="269" t="n">
        <x:v>0.00028935185185185184</x:v>
      </x:c>
      <x:c r="K9" s="269" t="n">
        <x:v>0.00028935185185185184</x:v>
      </x:c>
      <x:c r="L9" s="260"/>
      <x:c r="M9" s="260"/>
      <x:c r="N9" s="258" t="b">
        <x:f aca="0">FALSE()</x:f>
        <x:v>0</x:v>
      </x:c>
      <x:c r="O9" s="259" t="n">
        <x:v>4</x:v>
      </x:c>
      <x:c r="P9" s="259" t="n">
        <x:v>4</x:v>
      </x:c>
      <x:c r="Q9" s="259" t="n">
        <x:v>4</x:v>
      </x:c>
      <x:c r="R9" s="260"/>
      <x:c r="S9" s="260"/>
      <x:c r="T9" s="258" t="b">
        <x:f aca="0">FALSE()</x:f>
        <x:v>0</x:v>
      </x:c>
      <x:c r="U9" s="259" t="n">
        <x:v>4</x:v>
      </x:c>
      <x:c r="V9" s="259" t="n">
        <x:v>4</x:v>
      </x:c>
      <x:c r="W9" s="259" t="n">
        <x:v>4</x:v>
      </x:c>
      <x:c r="X9" s="260"/>
      <x:c r="Y9" s="260"/>
      <x:c r="Z9" s="261" t="b">
        <x:v>0</x:v>
      </x:c>
      <x:c r="AA9" s="259" t="n">
        <x:v>5</x:v>
      </x:c>
      <x:c r="AB9" s="262"/>
      <x:c r="AC9" s="287"/>
      <x:c r="AD9" s="287"/>
      <x:c r="AE9" s="287"/>
      <x:c r="AF9" s="328"/>
      <x:c r="AG9" s="328"/>
      <x:c r="AH9" s="329" t="n">
        <x:f>IF(COUNT(Scoring!H26:H29)&gt;0,MEDIAN(Scoring!H26:H29),"")</x:f>
        <x:v>100</x:v>
      </x:c>
      <x:c r="AI9" s="329" t="str">
        <x:f>IF(COUNT(Scoring!I26:I29)&gt;0,MEDIAN(Scoring!I26:I29),"")</x:f>
      </x:c>
      <x:c r="AJ9" s="340" t="n">
        <x:f>COUNT(Scoring!I26:I29)</x:f>
        <x:v>0</x:v>
      </x:c>
      <x:c r="AK9" s="340" t="n">
        <x:f>COUNT(Scoring!H26:H29)</x:f>
        <x:v>4</x:v>
      </x:c>
    </x:row>
    <x:row r="10" ht="88" hidden="0" customHeight="1">
      <x:c r="A10" s="223" t="n">
        <x:f aca="0">Strategy!$E$3+12</x:f>
        <x:v>46333.5</x:v>
      </x:c>
      <x:c r="B10" s="224" t="s">
        <x:v>61</x:v>
      </x:c>
      <x:c r="C10" s="224" t="s">
        <x:v>211</x:v>
      </x:c>
      <x:c r="D10" s="224" t="s">
        <x:v>212</x:v>
      </x:c>
      <x:c r="E10" s="224" t="n">
        <x:v>20</x:v>
      </x:c>
      <x:c r="F10" s="257"/>
      <x:c r="G10" s="257" t="s">
        <x:v>207</x:v>
      </x:c>
      <x:c r="H10" s="263" t="b">
        <x:f aca="0">FALSE()</x:f>
        <x:v>0</x:v>
      </x:c>
      <x:c r="I10" s="264" t="n">
        <x:v>0.001388888888888889</x:v>
      </x:c>
      <x:c r="J10" s="265"/>
      <x:c r="K10" s="265"/>
      <x:c r="L10" s="265"/>
      <x:c r="M10" s="265"/>
      <x:c r="N10" s="263" t="b">
        <x:f aca="0">FALSE()</x:f>
        <x:v>0</x:v>
      </x:c>
      <x:c r="O10" s="264" t="n">
        <x:v>0.00017361111111111112</x:v>
      </x:c>
      <x:c r="P10" s="264" t="n">
        <x:v>0.00017361111111111112</x:v>
      </x:c>
      <x:c r="Q10" s="264" t="n">
        <x:v>0.00017361111111111112</x:v>
      </x:c>
      <x:c r="R10" s="265"/>
      <x:c r="S10" s="265"/>
      <x:c r="T10" s="263" t="b">
        <x:f aca="0">FALSE()</x:f>
        <x:v>0</x:v>
      </x:c>
      <x:c r="U10" s="264" t="n">
        <x:v>0.00017361111111111112</x:v>
      </x:c>
      <x:c r="V10" s="264" t="n">
        <x:v>0.00017361111111111112</x:v>
      </x:c>
      <x:c r="W10" s="264" t="n">
        <x:v>0.00017361111111111112</x:v>
      </x:c>
      <x:c r="X10" s="265"/>
      <x:c r="Y10" s="265"/>
      <x:c r="Z10" s="266" t="b">
        <x:v>0</x:v>
      </x:c>
      <x:c r="AA10" s="267"/>
      <x:c r="AB10" s="268"/>
      <x:c r="AC10" s="288"/>
      <x:c r="AD10" s="288"/>
      <x:c r="AE10" s="288"/>
      <x:c r="AF10" s="330"/>
      <x:c r="AG10" s="330"/>
      <x:c r="AH10" s="331" t="n">
        <x:f>IF(COUNT(Scoring!H30:H32)&gt;0,MEDIAN(Scoring!H30:H32),"")</x:f>
        <x:v>100</x:v>
      </x:c>
      <x:c r="AI10" s="331" t="str">
        <x:f>IF(COUNT(Scoring!I30:I32)&gt;0,MEDIAN(Scoring!I30:I32),"")</x:f>
      </x:c>
      <x:c r="AJ10" s="341" t="n">
        <x:f>COUNT(Scoring!I30:I32)</x:f>
        <x:v>0</x:v>
      </x:c>
      <x:c r="AK10" s="341" t="n">
        <x:f>COUNT(Scoring!H30:H32)</x:f>
        <x:v>3</x:v>
      </x:c>
    </x:row>
    <x:row r="11" ht="88" hidden="0" customHeight="1">
      <x:c r="A11" s="228" t="n">
        <x:f aca="0">Strategy!$E$3+14</x:f>
        <x:v>46335.5</x:v>
      </x:c>
      <x:c r="B11" s="229" t="s">
        <x:v>53</x:v>
      </x:c>
      <x:c r="C11" s="289" t="str">
        <x:f aca="0">SUBSTITUTE(SUBSTITUTE(SUBSTITUTE("35 min skills"&amp;CHAR(10)&amp;Strategy!H23,", B)",CHAR(10)&amp;"B)"),", C)",CHAR(10)&amp;"C)"),", Core:",CHAR(10)&amp;"Core:")</x:f>
        <x:v>35 min skills
A) Explosive pull-up: 4 x 2
B) Low-bar transition: 3 x 3
C) Assisted full-depth pistol: 3 x 4/leg
Core: 5 rounds</x:v>
      </x:c>
      <x:c r="D11" s="229" t="s">
        <x:v>206</x:v>
      </x:c>
      <x:c r="E11" s="229" t="n">
        <x:v>65</x:v>
      </x:c>
      <x:c r="F11" s="256"/>
      <x:c r="G11" s="256" t="s">
        <x:v>207</x:v>
      </x:c>
      <x:c r="H11" s="258" t="b">
        <x:f aca="0">FALSE()</x:f>
        <x:v>0</x:v>
      </x:c>
      <x:c r="I11" s="259" t="n">
        <x:v>2</x:v>
      </x:c>
      <x:c r="J11" s="259" t="n">
        <x:v>2</x:v>
      </x:c>
      <x:c r="K11" s="259" t="n">
        <x:v>2</x:v>
      </x:c>
      <x:c r="L11" s="259" t="n">
        <x:v>2</x:v>
      </x:c>
      <x:c r="M11" s="260"/>
      <x:c r="N11" s="258" t="b">
        <x:f aca="0">FALSE()</x:f>
        <x:v>0</x:v>
      </x:c>
      <x:c r="O11" s="259" t="n">
        <x:v>3</x:v>
      </x:c>
      <x:c r="P11" s="259" t="n">
        <x:v>3</x:v>
      </x:c>
      <x:c r="Q11" s="259" t="n">
        <x:v>3</x:v>
      </x:c>
      <x:c r="R11" s="260"/>
      <x:c r="S11" s="260"/>
      <x:c r="T11" s="258" t="b">
        <x:f aca="0">FALSE()</x:f>
        <x:v>0</x:v>
      </x:c>
      <x:c r="U11" s="259" t="n">
        <x:v>4</x:v>
      </x:c>
      <x:c r="V11" s="259" t="n">
        <x:v>4</x:v>
      </x:c>
      <x:c r="W11" s="259" t="n">
        <x:v>4</x:v>
      </x:c>
      <x:c r="X11" s="260"/>
      <x:c r="Y11" s="260"/>
      <x:c r="Z11" s="261" t="b">
        <x:v>0</x:v>
      </x:c>
      <x:c r="AA11" s="259" t="n">
        <x:v>5</x:v>
      </x:c>
      <x:c r="AB11" s="262"/>
      <x:c r="AC11" s="287"/>
      <x:c r="AD11" s="287"/>
      <x:c r="AE11" s="287"/>
      <x:c r="AF11" s="328"/>
      <x:c r="AG11" s="328"/>
      <x:c r="AH11" s="329" t="n">
        <x:f>IF(COUNT(Scoring!H33:H36)&gt;0,MEDIAN(Scoring!H33:H36),"")</x:f>
        <x:v>100</x:v>
      </x:c>
      <x:c r="AI11" s="329" t="str">
        <x:f>IF(COUNT(Scoring!I33:I36)&gt;0,MEDIAN(Scoring!I33:I36),"")</x:f>
      </x:c>
      <x:c r="AJ11" s="340" t="n">
        <x:f>COUNT(Scoring!I33:I36)</x:f>
        <x:v>0</x:v>
      </x:c>
      <x:c r="AK11" s="340" t="n">
        <x:f>COUNT(Scoring!H33:H36)</x:f>
        <x:v>4</x:v>
      </x:c>
    </x:row>
    <x:row r="12" ht="88" hidden="0" customHeight="1">
      <x:c r="A12" s="223" t="n">
        <x:f aca="0">Strategy!$E$3+15</x:f>
        <x:v>46336.5</x:v>
      </x:c>
      <x:c r="B12" s="224" t="s">
        <x:v>61</x:v>
      </x:c>
      <x:c r="C12" s="224" t="s">
        <x:v>208</x:v>
      </x:c>
      <x:c r="D12" s="224" t="s">
        <x:v>209</x:v>
      </x:c>
      <x:c r="E12" s="224" t="n">
        <x:v>10</x:v>
      </x:c>
      <x:c r="F12" s="257"/>
      <x:c r="G12" s="257" t="s">
        <x:v>207</x:v>
      </x:c>
      <x:c r="H12" s="263" t="b">
        <x:f aca="0">FALSE()</x:f>
        <x:v>0</x:v>
      </x:c>
      <x:c r="I12" s="264" t="n">
        <x:v>0.001388888888888889</x:v>
      </x:c>
      <x:c r="J12" s="265"/>
      <x:c r="K12" s="265"/>
      <x:c r="L12" s="265"/>
      <x:c r="M12" s="265"/>
      <x:c r="N12" s="263" t="b">
        <x:f aca="0">FALSE()</x:f>
        <x:v>0</x:v>
      </x:c>
      <x:c r="O12" s="264" t="n">
        <x:v>0.00017361111111111112</x:v>
      </x:c>
      <x:c r="P12" s="264" t="n">
        <x:v>0.00017361111111111112</x:v>
      </x:c>
      <x:c r="Q12" s="264" t="n">
        <x:v>0.00017361111111111112</x:v>
      </x:c>
      <x:c r="R12" s="265"/>
      <x:c r="S12" s="265"/>
      <x:c r="T12" s="263" t="b">
        <x:f aca="0">FALSE()</x:f>
        <x:v>0</x:v>
      </x:c>
      <x:c r="U12" s="264" t="n">
        <x:v>0.00017361111111111112</x:v>
      </x:c>
      <x:c r="V12" s="264" t="n">
        <x:v>0.00017361111111111112</x:v>
      </x:c>
      <x:c r="W12" s="265"/>
      <x:c r="X12" s="265"/>
      <x:c r="Y12" s="265"/>
      <x:c r="Z12" s="266" t="b">
        <x:v>0</x:v>
      </x:c>
      <x:c r="AA12" s="267"/>
      <x:c r="AB12" s="268"/>
      <x:c r="AC12" s="288"/>
      <x:c r="AD12" s="288"/>
      <x:c r="AE12" s="288"/>
      <x:c r="AF12" s="330"/>
      <x:c r="AG12" s="330"/>
      <x:c r="AH12" s="331" t="n">
        <x:f>IF(COUNT(Scoring!H37:H39)&gt;0,MEDIAN(Scoring!H37:H39),"")</x:f>
        <x:v>100</x:v>
      </x:c>
      <x:c r="AI12" s="331" t="str">
        <x:f>IF(COUNT(Scoring!I37:I39)&gt;0,MEDIAN(Scoring!I37:I39),"")</x:f>
      </x:c>
      <x:c r="AJ12" s="341" t="n">
        <x:f>COUNT(Scoring!I37:I39)</x:f>
        <x:v>0</x:v>
      </x:c>
      <x:c r="AK12" s="341" t="n">
        <x:f>COUNT(Scoring!H37:H39)</x:f>
        <x:v>3</x:v>
      </x:c>
    </x:row>
    <x:row r="13" ht="88" hidden="0" customHeight="1">
      <x:c r="A13" s="228" t="n">
        <x:f aca="0">Strategy!$E$3+17</x:f>
        <x:v>46338.5</x:v>
      </x:c>
      <x:c r="B13" s="229" t="s">
        <x:v>57</x:v>
      </x:c>
      <x:c r="C13" s="289" t="str">
        <x:f aca="0">SUBSTITUTE(SUBSTITUTE(SUBSTITUTE("35 min skills"&amp;CHAR(10)&amp;Strategy!I23,", B)",CHAR(10)&amp;"B)"),", C)",CHAR(10)&amp;"C)"),", Core:",CHAR(10)&amp;"Core:")</x:f>
        <x:v>35 min skills
A) Wall HSPU negative: 3 x 2 (lower 3 sec)
B) Pike push-up: 3 x 5
C) Assisted full-depth pistol: 3 x 4/leg
Core: 5 rounds</x:v>
      </x:c>
      <x:c r="D13" s="229" t="s">
        <x:v>210</x:v>
      </x:c>
      <x:c r="E13" s="229" t="n">
        <x:v>65</x:v>
      </x:c>
      <x:c r="F13" s="256"/>
      <x:c r="G13" s="256" t="s">
        <x:v>207</x:v>
      </x:c>
      <x:c r="H13" s="258" t="b">
        <x:f aca="0">FALSE()</x:f>
        <x:v>0</x:v>
      </x:c>
      <x:c r="I13" s="259" t="n">
        <x:v>2</x:v>
      </x:c>
      <x:c r="J13" s="259" t="n">
        <x:v>2</x:v>
      </x:c>
      <x:c r="K13" s="259" t="n">
        <x:v>2</x:v>
      </x:c>
      <x:c r="L13" s="260"/>
      <x:c r="M13" s="260"/>
      <x:c r="N13" s="258" t="b">
        <x:f aca="0">FALSE()</x:f>
        <x:v>0</x:v>
      </x:c>
      <x:c r="O13" s="259" t="n">
        <x:v>5</x:v>
      </x:c>
      <x:c r="P13" s="259" t="n">
        <x:v>5</x:v>
      </x:c>
      <x:c r="Q13" s="259" t="n">
        <x:v>5</x:v>
      </x:c>
      <x:c r="R13" s="260"/>
      <x:c r="S13" s="260"/>
      <x:c r="T13" s="258" t="b">
        <x:f aca="0">FALSE()</x:f>
        <x:v>0</x:v>
      </x:c>
      <x:c r="U13" s="259" t="n">
        <x:v>4</x:v>
      </x:c>
      <x:c r="V13" s="259" t="n">
        <x:v>4</x:v>
      </x:c>
      <x:c r="W13" s="259" t="n">
        <x:v>4</x:v>
      </x:c>
      <x:c r="X13" s="260"/>
      <x:c r="Y13" s="260"/>
      <x:c r="Z13" s="261" t="b">
        <x:v>0</x:v>
      </x:c>
      <x:c r="AA13" s="259" t="n">
        <x:v>5</x:v>
      </x:c>
      <x:c r="AB13" s="262"/>
      <x:c r="AC13" s="287"/>
      <x:c r="AD13" s="287"/>
      <x:c r="AE13" s="287"/>
      <x:c r="AF13" s="328"/>
      <x:c r="AG13" s="328"/>
      <x:c r="AH13" s="329" t="n">
        <x:f>IF(COUNT(Scoring!H40:H42)&gt;0,MEDIAN(Scoring!H40:H42),"")</x:f>
        <x:v>100</x:v>
      </x:c>
      <x:c r="AI13" s="329" t="str">
        <x:f>IF(COUNT(Scoring!I40:I42)&gt;0,MEDIAN(Scoring!I40:I42),"")</x:f>
      </x:c>
      <x:c r="AJ13" s="340" t="n">
        <x:f>COUNT(Scoring!I40:I42)</x:f>
        <x:v>0</x:v>
      </x:c>
      <x:c r="AK13" s="340" t="n">
        <x:f>COUNT(Scoring!H40:H42)</x:f>
        <x:v>3</x:v>
      </x:c>
    </x:row>
    <x:row r="14" ht="88" hidden="0" customHeight="1">
      <x:c r="A14" s="223" t="n">
        <x:f aca="0">Strategy!$E$3+19</x:f>
        <x:v>46340.5</x:v>
      </x:c>
      <x:c r="B14" s="224" t="s">
        <x:v>61</x:v>
      </x:c>
      <x:c r="C14" s="224" t="s">
        <x:v>211</x:v>
      </x:c>
      <x:c r="D14" s="224" t="s">
        <x:v>212</x:v>
      </x:c>
      <x:c r="E14" s="224" t="n">
        <x:v>20</x:v>
      </x:c>
      <x:c r="F14" s="257"/>
      <x:c r="G14" s="257" t="s">
        <x:v>207</x:v>
      </x:c>
      <x:c r="H14" s="263" t="b">
        <x:f aca="0">FALSE()</x:f>
        <x:v>0</x:v>
      </x:c>
      <x:c r="I14" s="264" t="n">
        <x:v>0.001388888888888889</x:v>
      </x:c>
      <x:c r="J14" s="265"/>
      <x:c r="K14" s="265"/>
      <x:c r="L14" s="265"/>
      <x:c r="M14" s="265"/>
      <x:c r="N14" s="263" t="b">
        <x:f aca="0">FALSE()</x:f>
        <x:v>0</x:v>
      </x:c>
      <x:c r="O14" s="264" t="n">
        <x:v>0.00017361111111111112</x:v>
      </x:c>
      <x:c r="P14" s="264" t="n">
        <x:v>0.00017361111111111112</x:v>
      </x:c>
      <x:c r="Q14" s="264" t="n">
        <x:v>0.00017361111111111112</x:v>
      </x:c>
      <x:c r="R14" s="265"/>
      <x:c r="S14" s="265"/>
      <x:c r="T14" s="263" t="b">
        <x:f aca="0">FALSE()</x:f>
        <x:v>0</x:v>
      </x:c>
      <x:c r="U14" s="264" t="n">
        <x:v>0.00017361111111111112</x:v>
      </x:c>
      <x:c r="V14" s="264" t="n">
        <x:v>0.00017361111111111112</x:v>
      </x:c>
      <x:c r="W14" s="264" t="n">
        <x:v>0.00017361111111111112</x:v>
      </x:c>
      <x:c r="X14" s="265"/>
      <x:c r="Y14" s="265"/>
      <x:c r="Z14" s="266" t="b">
        <x:v>0</x:v>
      </x:c>
      <x:c r="AA14" s="267"/>
      <x:c r="AB14" s="268"/>
      <x:c r="AC14" s="288"/>
      <x:c r="AD14" s="288"/>
      <x:c r="AE14" s="288"/>
      <x:c r="AF14" s="330"/>
      <x:c r="AG14" s="330"/>
      <x:c r="AH14" s="331" t="n">
        <x:f>IF(COUNT(Scoring!H43:H45)&gt;0,MEDIAN(Scoring!H43:H45),"")</x:f>
        <x:v>100</x:v>
      </x:c>
      <x:c r="AI14" s="331" t="str">
        <x:f>IF(COUNT(Scoring!I43:I45)&gt;0,MEDIAN(Scoring!I43:I45),"")</x:f>
      </x:c>
      <x:c r="AJ14" s="341" t="n">
        <x:f>COUNT(Scoring!I43:I45)</x:f>
        <x:v>0</x:v>
      </x:c>
      <x:c r="AK14" s="341" t="n">
        <x:f>COUNT(Scoring!H43:H45)</x:f>
        <x:v>3</x:v>
      </x:c>
    </x:row>
    <x:row r="15" ht="88" hidden="0" customHeight="1">
      <x:c r="A15" s="228" t="n">
        <x:f aca="0">Strategy!$E$3+21</x:f>
        <x:v>46342.5</x:v>
      </x:c>
      <x:c r="B15" s="229" t="s">
        <x:v>53</x:v>
      </x:c>
      <x:c r="C15" s="289" t="str">
        <x:f aca="0">SUBSTITUTE(SUBSTITUTE(SUBSTITUTE("10 min skills"&amp;CHAR(10)&amp;Strategy!H24,", B)",CHAR(10)&amp;"B)"),", C)",CHAR(10)&amp;"C)"),", Core:",CHAR(10)&amp;"Core:")</x:f>
        <x:v>10 min skills
A) Easy scapular pull-up: 1 x 5
B) Easy low-bar transition: 1 x 3
C) Assisted pistol: 1 x 3/leg
Core: 3 rounds</x:v>
      </x:c>
      <x:c r="D15" s="229" t="s">
        <x:v>206</x:v>
      </x:c>
      <x:c r="E15" s="229" t="n">
        <x:v>33</x:v>
      </x:c>
      <x:c r="F15" s="256"/>
      <x:c r="G15" s="256" t="s">
        <x:v>207</x:v>
      </x:c>
      <x:c r="H15" s="258" t="b">
        <x:f aca="0">FALSE()</x:f>
        <x:v>0</x:v>
      </x:c>
      <x:c r="I15" s="259" t="n">
        <x:v>5</x:v>
      </x:c>
      <x:c r="J15" s="260"/>
      <x:c r="K15" s="260"/>
      <x:c r="L15" s="260"/>
      <x:c r="M15" s="260"/>
      <x:c r="N15" s="258" t="b">
        <x:f aca="0">FALSE()</x:f>
        <x:v>0</x:v>
      </x:c>
      <x:c r="O15" s="259" t="n">
        <x:v>3</x:v>
      </x:c>
      <x:c r="P15" s="260"/>
      <x:c r="Q15" s="260"/>
      <x:c r="R15" s="260"/>
      <x:c r="S15" s="260"/>
      <x:c r="T15" s="258" t="b">
        <x:f aca="0">FALSE()</x:f>
        <x:v>0</x:v>
      </x:c>
      <x:c r="U15" s="259" t="n">
        <x:v>3</x:v>
      </x:c>
      <x:c r="V15" s="260"/>
      <x:c r="W15" s="260"/>
      <x:c r="X15" s="260"/>
      <x:c r="Y15" s="260"/>
      <x:c r="Z15" s="261" t="b">
        <x:v>0</x:v>
      </x:c>
      <x:c r="AA15" s="259" t="n">
        <x:v>3</x:v>
      </x:c>
      <x:c r="AB15" s="262"/>
      <x:c r="AC15" s="287"/>
      <x:c r="AD15" s="287"/>
      <x:c r="AE15" s="287"/>
      <x:c r="AF15" s="328"/>
      <x:c r="AG15" s="328"/>
      <x:c r="AH15" s="329" t="n">
        <x:f>IF(COUNT(Scoring!H46:H49)&gt;0,MEDIAN(Scoring!H46:H49),"")</x:f>
        <x:v>100</x:v>
      </x:c>
      <x:c r="AI15" s="329" t="str">
        <x:f>IF(COUNT(Scoring!I46:I49)&gt;0,MEDIAN(Scoring!I46:I49),"")</x:f>
      </x:c>
      <x:c r="AJ15" s="340" t="n">
        <x:f>COUNT(Scoring!I46:I49)</x:f>
        <x:v>0</x:v>
      </x:c>
      <x:c r="AK15" s="340" t="n">
        <x:f>COUNT(Scoring!H46:H49)</x:f>
        <x:v>4</x:v>
      </x:c>
    </x:row>
    <x:row r="16" ht="88" hidden="0" customHeight="1">
      <x:c r="A16" s="223" t="n">
        <x:f aca="0">Strategy!$E$3+22</x:f>
        <x:v>46343.5</x:v>
      </x:c>
      <x:c r="B16" s="224" t="s">
        <x:v>61</x:v>
      </x:c>
      <x:c r="C16" s="224" t="s">
        <x:v>213</x:v>
      </x:c>
      <x:c r="D16" s="224" t="s">
        <x:v>209</x:v>
      </x:c>
      <x:c r="E16" s="224" t="n">
        <x:v>5</x:v>
      </x:c>
      <x:c r="F16" s="257"/>
      <x:c r="G16" s="257" t="s">
        <x:v>207</x:v>
      </x:c>
      <x:c r="H16" s="263" t="b">
        <x:f aca="0">FALSE()</x:f>
        <x:v>0</x:v>
      </x:c>
      <x:c r="I16" s="264" t="n">
        <x:v>0.0006944444444444445</x:v>
      </x:c>
      <x:c r="J16" s="265"/>
      <x:c r="K16" s="265"/>
      <x:c r="L16" s="265"/>
      <x:c r="M16" s="265"/>
      <x:c r="N16" s="263" t="b">
        <x:f aca="0">FALSE()</x:f>
        <x:v>0</x:v>
      </x:c>
      <x:c r="O16" s="264" t="n">
        <x:v>0.00011574074074074075</x:v>
      </x:c>
      <x:c r="P16" s="264" t="n">
        <x:v>0.00011574074074074075</x:v>
      </x:c>
      <x:c r="Q16" s="265"/>
      <x:c r="R16" s="265"/>
      <x:c r="S16" s="265"/>
      <x:c r="T16" s="263" t="b">
        <x:f aca="0">FALSE()</x:f>
        <x:v>0</x:v>
      </x:c>
      <x:c r="U16" s="264" t="n">
        <x:v>0.00011574074074074075</x:v>
      </x:c>
      <x:c r="V16" s="265"/>
      <x:c r="W16" s="265"/>
      <x:c r="X16" s="265"/>
      <x:c r="Y16" s="265"/>
      <x:c r="Z16" s="266" t="b">
        <x:v>0</x:v>
      </x:c>
      <x:c r="AA16" s="267"/>
      <x:c r="AB16" s="268"/>
      <x:c r="AC16" s="288"/>
      <x:c r="AD16" s="288"/>
      <x:c r="AE16" s="288"/>
      <x:c r="AF16" s="330"/>
      <x:c r="AG16" s="330"/>
      <x:c r="AH16" s="331" t="n">
        <x:f>IF(COUNT(Scoring!H50:H52)&gt;0,MEDIAN(Scoring!H50:H52),"")</x:f>
        <x:v>100</x:v>
      </x:c>
      <x:c r="AI16" s="331" t="str">
        <x:f>IF(COUNT(Scoring!I50:I52)&gt;0,MEDIAN(Scoring!I50:I52),"")</x:f>
      </x:c>
      <x:c r="AJ16" s="341" t="n">
        <x:f>COUNT(Scoring!I50:I52)</x:f>
        <x:v>0</x:v>
      </x:c>
      <x:c r="AK16" s="341" t="n">
        <x:f>COUNT(Scoring!H50:H52)</x:f>
        <x:v>3</x:v>
      </x:c>
    </x:row>
    <x:row r="17" ht="88" hidden="0" customHeight="1">
      <x:c r="A17" s="228" t="n">
        <x:f aca="0">Strategy!$E$3+24</x:f>
        <x:v>46345.5</x:v>
      </x:c>
      <x:c r="B17" s="229" t="s">
        <x:v>57</x:v>
      </x:c>
      <x:c r="C17" s="289" t="str">
        <x:f aca="0">SUBSTITUTE(SUBSTITUTE(SUBSTITUTE("10 min skills"&amp;CHAR(10)&amp;Strategy!I24,", B)",CHAR(10)&amp;"B)"),", C)",CHAR(10)&amp;"C)"),", Core:",CHAR(10)&amp;"Core:")</x:f>
        <x:v>10 min skills
A) Easy wall handstand: 1 x 15 sec
B) Gentle wrist/shoulder mobility: 2 min
C) Assisted pistol: 1 x 3/leg
Core: 3 rounds</x:v>
      </x:c>
      <x:c r="D17" s="229" t="s">
        <x:v>214</x:v>
      </x:c>
      <x:c r="E17" s="229" t="n">
        <x:v>33</x:v>
      </x:c>
      <x:c r="F17" s="256"/>
      <x:c r="G17" s="256" t="s">
        <x:v>207</x:v>
      </x:c>
      <x:c r="H17" s="258" t="b">
        <x:f aca="0">FALSE()</x:f>
        <x:v>0</x:v>
      </x:c>
      <x:c r="I17" s="269" t="n">
        <x:v>0.00017361111111111112</x:v>
      </x:c>
      <x:c r="J17" s="260"/>
      <x:c r="K17" s="260"/>
      <x:c r="L17" s="260"/>
      <x:c r="M17" s="260"/>
      <x:c r="N17" s="258" t="b">
        <x:f aca="0">FALSE()</x:f>
        <x:v>0</x:v>
      </x:c>
      <x:c r="O17" s="269" t="n">
        <x:v>0.001388888888888889</x:v>
      </x:c>
      <x:c r="P17" s="260"/>
      <x:c r="Q17" s="260"/>
      <x:c r="R17" s="260"/>
      <x:c r="S17" s="260"/>
      <x:c r="T17" s="258" t="b">
        <x:f aca="0">FALSE()</x:f>
        <x:v>0</x:v>
      </x:c>
      <x:c r="U17" s="259" t="n">
        <x:v>3</x:v>
      </x:c>
      <x:c r="V17" s="260"/>
      <x:c r="W17" s="260"/>
      <x:c r="X17" s="260"/>
      <x:c r="Y17" s="260"/>
      <x:c r="Z17" s="261" t="b">
        <x:v>0</x:v>
      </x:c>
      <x:c r="AA17" s="259" t="n">
        <x:v>3</x:v>
      </x:c>
      <x:c r="AB17" s="262"/>
      <x:c r="AC17" s="287"/>
      <x:c r="AD17" s="287"/>
      <x:c r="AE17" s="287"/>
      <x:c r="AF17" s="328"/>
      <x:c r="AG17" s="328"/>
      <x:c r="AH17" s="329" t="n">
        <x:f>IF(COUNT(Scoring!H53:H56)&gt;0,MEDIAN(Scoring!H53:H56),"")</x:f>
        <x:v>100</x:v>
      </x:c>
      <x:c r="AI17" s="329" t="str">
        <x:f>IF(COUNT(Scoring!I53:I56)&gt;0,MEDIAN(Scoring!I53:I56),"")</x:f>
      </x:c>
      <x:c r="AJ17" s="340" t="n">
        <x:f>COUNT(Scoring!I53:I56)</x:f>
        <x:v>0</x:v>
      </x:c>
      <x:c r="AK17" s="340" t="n">
        <x:f>COUNT(Scoring!H53:H56)</x:f>
        <x:v>4</x:v>
      </x:c>
    </x:row>
    <x:row r="18" ht="88" hidden="0" customHeight="1">
      <x:c r="A18" s="223" t="n">
        <x:f aca="0">Strategy!$E$3+26</x:f>
        <x:v>46347.5</x:v>
      </x:c>
      <x:c r="B18" s="224" t="s">
        <x:v>61</x:v>
      </x:c>
      <x:c r="C18" s="224" t="s">
        <x:v>215</x:v>
      </x:c>
      <x:c r="D18" s="224" t="s">
        <x:v>212</x:v>
      </x:c>
      <x:c r="E18" s="224" t="n">
        <x:v>10</x:v>
      </x:c>
      <x:c r="F18" s="257"/>
      <x:c r="G18" s="257" t="s">
        <x:v>207</x:v>
      </x:c>
      <x:c r="H18" s="263" t="b">
        <x:f aca="0">FALSE()</x:f>
        <x:v>0</x:v>
      </x:c>
      <x:c r="I18" s="264" t="n">
        <x:v>0.0006944444444444445</x:v>
      </x:c>
      <x:c r="J18" s="265"/>
      <x:c r="K18" s="265"/>
      <x:c r="L18" s="265"/>
      <x:c r="M18" s="265"/>
      <x:c r="N18" s="263" t="b">
        <x:f aca="0">FALSE()</x:f>
        <x:v>0</x:v>
      </x:c>
      <x:c r="O18" s="264" t="n">
        <x:v>0.00011574074074074075</x:v>
      </x:c>
      <x:c r="P18" s="264" t="n">
        <x:v>0.00011574074074074075</x:v>
      </x:c>
      <x:c r="Q18" s="265"/>
      <x:c r="R18" s="265"/>
      <x:c r="S18" s="265"/>
      <x:c r="T18" s="263" t="b">
        <x:f aca="0">FALSE()</x:f>
        <x:v>0</x:v>
      </x:c>
      <x:c r="U18" s="264" t="n">
        <x:v>0.00011574074074074075</x:v>
      </x:c>
      <x:c r="V18" s="265"/>
      <x:c r="W18" s="265"/>
      <x:c r="X18" s="265"/>
      <x:c r="Y18" s="265"/>
      <x:c r="Z18" s="266" t="b">
        <x:v>0</x:v>
      </x:c>
      <x:c r="AA18" s="267"/>
      <x:c r="AB18" s="268"/>
      <x:c r="AC18" s="288"/>
      <x:c r="AD18" s="288"/>
      <x:c r="AE18" s="288"/>
      <x:c r="AF18" s="330"/>
      <x:c r="AG18" s="330"/>
      <x:c r="AH18" s="331" t="n">
        <x:f>IF(COUNT(Scoring!H57:H59)&gt;0,MEDIAN(Scoring!H57:H59),"")</x:f>
        <x:v>100</x:v>
      </x:c>
      <x:c r="AI18" s="331" t="str">
        <x:f>IF(COUNT(Scoring!I57:I59)&gt;0,MEDIAN(Scoring!I57:I59),"")</x:f>
      </x:c>
      <x:c r="AJ18" s="341" t="n">
        <x:f>COUNT(Scoring!I57:I59)</x:f>
        <x:v>0</x:v>
      </x:c>
      <x:c r="AK18" s="341" t="n">
        <x:f>COUNT(Scoring!H57:H59)</x:f>
        <x:v>3</x:v>
      </x:c>
    </x:row>
    <x:row r="19" ht="88" hidden="0" customHeight="1">
      <x:c r="A19" s="228" t="n">
        <x:f aca="0">Strategy!$E$3+28</x:f>
        <x:v>46349.5</x:v>
      </x:c>
      <x:c r="B19" s="229" t="s">
        <x:v>53</x:v>
      </x:c>
      <x:c r="C19" s="289" t="str">
        <x:f aca="0">SUBSTITUTE(SUBSTITUTE(SUBSTITUTE("35 min skills"&amp;CHAR(10)&amp;Strategy!H25,", B)",CHAR(10)&amp;"B)"),", C)",CHAR(10)&amp;"C)"),", Core:",CHAR(10)&amp;"Core:")</x:f>
        <x:v>35 min skills
A) Chest-to-bar pull-up: 3 x 3
B) Band-assisted muscle-up: 4 x 1
C) Counterweight pistol: 3 x 4/leg
Core: 5 rounds</x:v>
      </x:c>
      <x:c r="D19" s="229" t="s">
        <x:v>206</x:v>
      </x:c>
      <x:c r="E19" s="229" t="n">
        <x:v>65</x:v>
      </x:c>
      <x:c r="F19" s="256"/>
      <x:c r="G19" s="256" t="s">
        <x:v>207</x:v>
      </x:c>
      <x:c r="H19" s="258" t="b">
        <x:f aca="0">FALSE()</x:f>
        <x:v>0</x:v>
      </x:c>
      <x:c r="I19" s="259" t="n">
        <x:v>3</x:v>
      </x:c>
      <x:c r="J19" s="259" t="n">
        <x:v>3</x:v>
      </x:c>
      <x:c r="K19" s="259" t="n">
        <x:v>3</x:v>
      </x:c>
      <x:c r="L19" s="260"/>
      <x:c r="M19" s="260"/>
      <x:c r="N19" s="258" t="b">
        <x:f aca="0">FALSE()</x:f>
        <x:v>0</x:v>
      </x:c>
      <x:c r="O19" s="259" t="n">
        <x:v>1</x:v>
      </x:c>
      <x:c r="P19" s="259" t="n">
        <x:v>1</x:v>
      </x:c>
      <x:c r="Q19" s="259" t="n">
        <x:v>1</x:v>
      </x:c>
      <x:c r="R19" s="259" t="n">
        <x:v>1</x:v>
      </x:c>
      <x:c r="S19" s="260"/>
      <x:c r="T19" s="258" t="b">
        <x:f aca="0">FALSE()</x:f>
        <x:v>0</x:v>
      </x:c>
      <x:c r="U19" s="259" t="n">
        <x:v>4</x:v>
      </x:c>
      <x:c r="V19" s="259" t="n">
        <x:v>4</x:v>
      </x:c>
      <x:c r="W19" s="259" t="n">
        <x:v>4</x:v>
      </x:c>
      <x:c r="X19" s="260"/>
      <x:c r="Y19" s="260"/>
      <x:c r="Z19" s="261" t="b">
        <x:v>0</x:v>
      </x:c>
      <x:c r="AA19" s="259" t="n">
        <x:v>5</x:v>
      </x:c>
      <x:c r="AB19" s="262"/>
      <x:c r="AC19" s="287"/>
      <x:c r="AD19" s="287"/>
      <x:c r="AE19" s="287"/>
      <x:c r="AF19" s="328"/>
      <x:c r="AG19" s="328"/>
      <x:c r="AH19" s="329" t="n">
        <x:f>IF(COUNT(Scoring!H60:H63)&gt;0,MEDIAN(Scoring!H60:H63),"")</x:f>
        <x:v>100</x:v>
      </x:c>
      <x:c r="AI19" s="329" t="str">
        <x:f>IF(COUNT(Scoring!I60:I63)&gt;0,MEDIAN(Scoring!I60:I63),"")</x:f>
      </x:c>
      <x:c r="AJ19" s="340" t="n">
        <x:f>COUNT(Scoring!I60:I63)</x:f>
        <x:v>0</x:v>
      </x:c>
      <x:c r="AK19" s="340" t="n">
        <x:f>COUNT(Scoring!H60:H63)</x:f>
        <x:v>4</x:v>
      </x:c>
    </x:row>
    <x:row r="20" ht="88" hidden="0" customHeight="1">
      <x:c r="A20" s="223" t="n">
        <x:f aca="0">Strategy!$E$3+29</x:f>
        <x:v>46350.5</x:v>
      </x:c>
      <x:c r="B20" s="224" t="s">
        <x:v>61</x:v>
      </x:c>
      <x:c r="C20" s="224" t="s">
        <x:v>208</x:v>
      </x:c>
      <x:c r="D20" s="224" t="s">
        <x:v>209</x:v>
      </x:c>
      <x:c r="E20" s="224" t="n">
        <x:v>10</x:v>
      </x:c>
      <x:c r="F20" s="257"/>
      <x:c r="G20" s="257" t="s">
        <x:v>207</x:v>
      </x:c>
      <x:c r="H20" s="263" t="b">
        <x:f aca="0">FALSE()</x:f>
        <x:v>0</x:v>
      </x:c>
      <x:c r="I20" s="264" t="n">
        <x:v>0.001388888888888889</x:v>
      </x:c>
      <x:c r="J20" s="265"/>
      <x:c r="K20" s="265"/>
      <x:c r="L20" s="265"/>
      <x:c r="M20" s="265"/>
      <x:c r="N20" s="263" t="b">
        <x:f aca="0">FALSE()</x:f>
        <x:v>0</x:v>
      </x:c>
      <x:c r="O20" s="264" t="n">
        <x:v>0.00017361111111111112</x:v>
      </x:c>
      <x:c r="P20" s="264" t="n">
        <x:v>0.00017361111111111112</x:v>
      </x:c>
      <x:c r="Q20" s="264" t="n">
        <x:v>0.00017361111111111112</x:v>
      </x:c>
      <x:c r="R20" s="265"/>
      <x:c r="S20" s="265"/>
      <x:c r="T20" s="263" t="b">
        <x:f aca="0">FALSE()</x:f>
        <x:v>0</x:v>
      </x:c>
      <x:c r="U20" s="264" t="n">
        <x:v>0.00017361111111111112</x:v>
      </x:c>
      <x:c r="V20" s="264" t="n">
        <x:v>0.00017361111111111112</x:v>
      </x:c>
      <x:c r="W20" s="265"/>
      <x:c r="X20" s="265"/>
      <x:c r="Y20" s="265"/>
      <x:c r="Z20" s="266" t="b">
        <x:v>0</x:v>
      </x:c>
      <x:c r="AA20" s="267"/>
      <x:c r="AB20" s="268"/>
      <x:c r="AC20" s="288"/>
      <x:c r="AD20" s="288"/>
      <x:c r="AE20" s="288"/>
      <x:c r="AF20" s="330"/>
      <x:c r="AG20" s="330"/>
      <x:c r="AH20" s="331" t="n">
        <x:f>IF(COUNT(Scoring!H64:H66)&gt;0,MEDIAN(Scoring!H64:H66),"")</x:f>
        <x:v>100</x:v>
      </x:c>
      <x:c r="AI20" s="331" t="str">
        <x:f>IF(COUNT(Scoring!I64:I66)&gt;0,MEDIAN(Scoring!I64:I66),"")</x:f>
      </x:c>
      <x:c r="AJ20" s="341" t="n">
        <x:f>COUNT(Scoring!I64:I66)</x:f>
        <x:v>0</x:v>
      </x:c>
      <x:c r="AK20" s="341" t="n">
        <x:f>COUNT(Scoring!H64:H66)</x:f>
        <x:v>3</x:v>
      </x:c>
    </x:row>
    <x:row r="21" ht="88" hidden="0" customHeight="1">
      <x:c r="A21" s="228" t="n">
        <x:f aca="0">Strategy!$E$3+31</x:f>
        <x:v>46352.5</x:v>
      </x:c>
      <x:c r="B21" s="229" t="s">
        <x:v>57</x:v>
      </x:c>
      <x:c r="C21" s="289" t="str">
        <x:f aca="0">SUBSTITUTE(SUBSTITUTE(SUBSTITUTE("35 min skills"&amp;CHAR(10)&amp;Strategy!I25,", B)",CHAR(10)&amp;"B)"),", C)",CHAR(10)&amp;"C)"),", Core:",CHAR(10)&amp;"Core:")</x:f>
        <x:v>35 min skills
A) Deficit pike push-up: 3 x 4
B) Wall HSPU negative: 3 x 2 (lower 3 sec)
C) Counterweight pistol: 3 x 4/leg
Core: 5 rounds</x:v>
      </x:c>
      <x:c r="D21" s="229" t="s">
        <x:v>210</x:v>
      </x:c>
      <x:c r="E21" s="229" t="n">
        <x:v>65</x:v>
      </x:c>
      <x:c r="F21" s="256"/>
      <x:c r="G21" s="256" t="s">
        <x:v>207</x:v>
      </x:c>
      <x:c r="H21" s="258" t="b">
        <x:f aca="0">FALSE()</x:f>
        <x:v>0</x:v>
      </x:c>
      <x:c r="I21" s="259" t="n">
        <x:v>4</x:v>
      </x:c>
      <x:c r="J21" s="259" t="n">
        <x:v>4</x:v>
      </x:c>
      <x:c r="K21" s="259" t="n">
        <x:v>4</x:v>
      </x:c>
      <x:c r="L21" s="260"/>
      <x:c r="M21" s="260"/>
      <x:c r="N21" s="258" t="b">
        <x:f aca="0">FALSE()</x:f>
        <x:v>0</x:v>
      </x:c>
      <x:c r="O21" s="259" t="n">
        <x:v>2</x:v>
      </x:c>
      <x:c r="P21" s="259" t="n">
        <x:v>2</x:v>
      </x:c>
      <x:c r="Q21" s="259" t="n">
        <x:v>2</x:v>
      </x:c>
      <x:c r="R21" s="260"/>
      <x:c r="S21" s="260"/>
      <x:c r="T21" s="258" t="b">
        <x:f aca="0">FALSE()</x:f>
        <x:v>0</x:v>
      </x:c>
      <x:c r="U21" s="259" t="n">
        <x:v>4</x:v>
      </x:c>
      <x:c r="V21" s="259" t="n">
        <x:v>4</x:v>
      </x:c>
      <x:c r="W21" s="259" t="n">
        <x:v>4</x:v>
      </x:c>
      <x:c r="X21" s="260"/>
      <x:c r="Y21" s="260"/>
      <x:c r="Z21" s="261" t="b">
        <x:v>0</x:v>
      </x:c>
      <x:c r="AA21" s="259" t="n">
        <x:v>5</x:v>
      </x:c>
      <x:c r="AB21" s="262"/>
      <x:c r="AC21" s="287"/>
      <x:c r="AD21" s="287"/>
      <x:c r="AE21" s="287"/>
      <x:c r="AF21" s="328"/>
      <x:c r="AG21" s="328"/>
      <x:c r="AH21" s="329" t="n">
        <x:f>IF(COUNT(Scoring!H67:H69)&gt;0,MEDIAN(Scoring!H67:H69),"")</x:f>
        <x:v>100</x:v>
      </x:c>
      <x:c r="AI21" s="329" t="str">
        <x:f>IF(COUNT(Scoring!I67:I69)&gt;0,MEDIAN(Scoring!I67:I69),"")</x:f>
      </x:c>
      <x:c r="AJ21" s="340" t="n">
        <x:f>COUNT(Scoring!I67:I69)</x:f>
        <x:v>0</x:v>
      </x:c>
      <x:c r="AK21" s="340" t="n">
        <x:f>COUNT(Scoring!H67:H69)</x:f>
        <x:v>3</x:v>
      </x:c>
    </x:row>
    <x:row r="22" ht="88" hidden="0" customHeight="1">
      <x:c r="A22" s="223" t="n">
        <x:f aca="0">Strategy!$E$3+33</x:f>
        <x:v>46354.5</x:v>
      </x:c>
      <x:c r="B22" s="224" t="s">
        <x:v>61</x:v>
      </x:c>
      <x:c r="C22" s="224" t="s">
        <x:v>211</x:v>
      </x:c>
      <x:c r="D22" s="224" t="s">
        <x:v>212</x:v>
      </x:c>
      <x:c r="E22" s="224" t="n">
        <x:v>20</x:v>
      </x:c>
      <x:c r="F22" s="257"/>
      <x:c r="G22" s="257" t="s">
        <x:v>207</x:v>
      </x:c>
      <x:c r="H22" s="263" t="b">
        <x:f aca="0">FALSE()</x:f>
        <x:v>0</x:v>
      </x:c>
      <x:c r="I22" s="264" t="n">
        <x:v>0.001388888888888889</x:v>
      </x:c>
      <x:c r="J22" s="265"/>
      <x:c r="K22" s="265"/>
      <x:c r="L22" s="265"/>
      <x:c r="M22" s="265"/>
      <x:c r="N22" s="263" t="b">
        <x:f aca="0">FALSE()</x:f>
        <x:v>0</x:v>
      </x:c>
      <x:c r="O22" s="264" t="n">
        <x:v>0.00017361111111111112</x:v>
      </x:c>
      <x:c r="P22" s="264" t="n">
        <x:v>0.00017361111111111112</x:v>
      </x:c>
      <x:c r="Q22" s="264" t="n">
        <x:v>0.00017361111111111112</x:v>
      </x:c>
      <x:c r="R22" s="265"/>
      <x:c r="S22" s="265"/>
      <x:c r="T22" s="263" t="b">
        <x:f aca="0">FALSE()</x:f>
        <x:v>0</x:v>
      </x:c>
      <x:c r="U22" s="264" t="n">
        <x:v>0.00017361111111111112</x:v>
      </x:c>
      <x:c r="V22" s="264" t="n">
        <x:v>0.00017361111111111112</x:v>
      </x:c>
      <x:c r="W22" s="264" t="n">
        <x:v>0.00017361111111111112</x:v>
      </x:c>
      <x:c r="X22" s="265"/>
      <x:c r="Y22" s="265"/>
      <x:c r="Z22" s="266" t="b">
        <x:v>0</x:v>
      </x:c>
      <x:c r="AA22" s="267"/>
      <x:c r="AB22" s="268"/>
      <x:c r="AC22" s="288"/>
      <x:c r="AD22" s="288"/>
      <x:c r="AE22" s="288"/>
      <x:c r="AF22" s="330"/>
      <x:c r="AG22" s="330"/>
      <x:c r="AH22" s="331" t="n">
        <x:f>IF(COUNT(Scoring!H70:H72)&gt;0,MEDIAN(Scoring!H70:H72),"")</x:f>
        <x:v>100</x:v>
      </x:c>
      <x:c r="AI22" s="331" t="str">
        <x:f>IF(COUNT(Scoring!I70:I72)&gt;0,MEDIAN(Scoring!I70:I72),"")</x:f>
      </x:c>
      <x:c r="AJ22" s="341" t="n">
        <x:f>COUNT(Scoring!I70:I72)</x:f>
        <x:v>0</x:v>
      </x:c>
      <x:c r="AK22" s="341" t="n">
        <x:f>COUNT(Scoring!H70:H72)</x:f>
        <x:v>3</x:v>
      </x:c>
    </x:row>
    <x:row r="23" ht="88" hidden="0" customHeight="1">
      <x:c r="A23" s="228" t="n">
        <x:f aca="0">Strategy!$E$3+35</x:f>
        <x:v>46356.5</x:v>
      </x:c>
      <x:c r="B23" s="229" t="s">
        <x:v>53</x:v>
      </x:c>
      <x:c r="C23" s="289" t="str">
        <x:f aca="0">SUBSTITUTE(SUBSTITUTE(SUBSTITUTE("35 min skills"&amp;CHAR(10)&amp;Strategy!H26,", B)",CHAR(10)&amp;"B)"),", C)",CHAR(10)&amp;"C)"),", Core:",CHAR(10)&amp;"Core:")</x:f>
        <x:v>35 min skills
A) Jumping muscle-up: 3 x 3
B) Low-bar slow transition: 3 x 3
C) Light-counterweight pistol: 3 x 4/leg
Core: 5 rounds</x:v>
      </x:c>
      <x:c r="D23" s="229" t="s">
        <x:v>206</x:v>
      </x:c>
      <x:c r="E23" s="229" t="n">
        <x:v>65</x:v>
      </x:c>
      <x:c r="F23" s="256"/>
      <x:c r="G23" s="256" t="s">
        <x:v>207</x:v>
      </x:c>
      <x:c r="H23" s="258" t="b">
        <x:f aca="0">FALSE()</x:f>
        <x:v>0</x:v>
      </x:c>
      <x:c r="I23" s="259" t="n">
        <x:v>3</x:v>
      </x:c>
      <x:c r="J23" s="259" t="n">
        <x:v>3</x:v>
      </x:c>
      <x:c r="K23" s="259" t="n">
        <x:v>3</x:v>
      </x:c>
      <x:c r="L23" s="260"/>
      <x:c r="M23" s="260"/>
      <x:c r="N23" s="258" t="b">
        <x:f aca="0">FALSE()</x:f>
        <x:v>0</x:v>
      </x:c>
      <x:c r="O23" s="259" t="n">
        <x:v>3</x:v>
      </x:c>
      <x:c r="P23" s="259" t="n">
        <x:v>3</x:v>
      </x:c>
      <x:c r="Q23" s="259" t="n">
        <x:v>3</x:v>
      </x:c>
      <x:c r="R23" s="260"/>
      <x:c r="S23" s="260"/>
      <x:c r="T23" s="258" t="b">
        <x:f aca="0">FALSE()</x:f>
        <x:v>0</x:v>
      </x:c>
      <x:c r="U23" s="259" t="n">
        <x:v>4</x:v>
      </x:c>
      <x:c r="V23" s="259" t="n">
        <x:v>4</x:v>
      </x:c>
      <x:c r="W23" s="259" t="n">
        <x:v>4</x:v>
      </x:c>
      <x:c r="X23" s="260"/>
      <x:c r="Y23" s="260"/>
      <x:c r="Z23" s="261" t="b">
        <x:v>0</x:v>
      </x:c>
      <x:c r="AA23" s="259" t="n">
        <x:v>5</x:v>
      </x:c>
      <x:c r="AB23" s="262"/>
      <x:c r="AC23" s="287"/>
      <x:c r="AD23" s="287"/>
      <x:c r="AE23" s="287"/>
      <x:c r="AF23" s="328"/>
      <x:c r="AG23" s="328"/>
      <x:c r="AH23" s="329" t="n">
        <x:f>IF(COUNT(Scoring!H73:H76)&gt;0,MEDIAN(Scoring!H73:H76),"")</x:f>
        <x:v>100</x:v>
      </x:c>
      <x:c r="AI23" s="329" t="str">
        <x:f>IF(COUNT(Scoring!I73:I76)&gt;0,MEDIAN(Scoring!I73:I76),"")</x:f>
      </x:c>
      <x:c r="AJ23" s="340" t="n">
        <x:f>COUNT(Scoring!I73:I76)</x:f>
        <x:v>0</x:v>
      </x:c>
      <x:c r="AK23" s="340" t="n">
        <x:f>COUNT(Scoring!H73:H76)</x:f>
        <x:v>4</x:v>
      </x:c>
    </x:row>
    <x:row r="24" ht="88" hidden="0" customHeight="1">
      <x:c r="A24" s="223" t="n">
        <x:f aca="0">Strategy!$E$3+36</x:f>
        <x:v>46357.5</x:v>
      </x:c>
      <x:c r="B24" s="224" t="s">
        <x:v>61</x:v>
      </x:c>
      <x:c r="C24" s="224" t="s">
        <x:v>208</x:v>
      </x:c>
      <x:c r="D24" s="224" t="s">
        <x:v>209</x:v>
      </x:c>
      <x:c r="E24" s="224" t="n">
        <x:v>10</x:v>
      </x:c>
      <x:c r="F24" s="257"/>
      <x:c r="G24" s="257" t="s">
        <x:v>207</x:v>
      </x:c>
      <x:c r="H24" s="263" t="b">
        <x:f aca="0">FALSE()</x:f>
        <x:v>0</x:v>
      </x:c>
      <x:c r="I24" s="264" t="n">
        <x:v>0.001388888888888889</x:v>
      </x:c>
      <x:c r="J24" s="265"/>
      <x:c r="K24" s="265"/>
      <x:c r="L24" s="265"/>
      <x:c r="M24" s="265"/>
      <x:c r="N24" s="263" t="b">
        <x:f aca="0">FALSE()</x:f>
        <x:v>0</x:v>
      </x:c>
      <x:c r="O24" s="264" t="n">
        <x:v>0.00017361111111111112</x:v>
      </x:c>
      <x:c r="P24" s="264" t="n">
        <x:v>0.00017361111111111112</x:v>
      </x:c>
      <x:c r="Q24" s="264" t="n">
        <x:v>0.00017361111111111112</x:v>
      </x:c>
      <x:c r="R24" s="265"/>
      <x:c r="S24" s="265"/>
      <x:c r="T24" s="263" t="b">
        <x:f aca="0">FALSE()</x:f>
        <x:v>0</x:v>
      </x:c>
      <x:c r="U24" s="264" t="n">
        <x:v>0.00017361111111111112</x:v>
      </x:c>
      <x:c r="V24" s="264" t="n">
        <x:v>0.00017361111111111112</x:v>
      </x:c>
      <x:c r="W24" s="265"/>
      <x:c r="X24" s="265"/>
      <x:c r="Y24" s="265"/>
      <x:c r="Z24" s="266" t="b">
        <x:v>0</x:v>
      </x:c>
      <x:c r="AA24" s="267"/>
      <x:c r="AB24" s="268"/>
      <x:c r="AC24" s="288"/>
      <x:c r="AD24" s="288"/>
      <x:c r="AE24" s="288"/>
      <x:c r="AF24" s="330"/>
      <x:c r="AG24" s="330"/>
      <x:c r="AH24" s="331" t="n">
        <x:f>IF(COUNT(Scoring!H77:H79)&gt;0,MEDIAN(Scoring!H77:H79),"")</x:f>
        <x:v>100</x:v>
      </x:c>
      <x:c r="AI24" s="331" t="str">
        <x:f>IF(COUNT(Scoring!I77:I79)&gt;0,MEDIAN(Scoring!I77:I79),"")</x:f>
      </x:c>
      <x:c r="AJ24" s="341" t="n">
        <x:f>COUNT(Scoring!I77:I79)</x:f>
        <x:v>0</x:v>
      </x:c>
      <x:c r="AK24" s="341" t="n">
        <x:f>COUNT(Scoring!H77:H79)</x:f>
        <x:v>3</x:v>
      </x:c>
    </x:row>
    <x:row r="25" ht="88" hidden="0" customHeight="1">
      <x:c r="A25" s="228" t="n">
        <x:f aca="0">Strategy!$E$3+38</x:f>
        <x:v>46359.5</x:v>
      </x:c>
      <x:c r="B25" s="229" t="s">
        <x:v>57</x:v>
      </x:c>
      <x:c r="C25" s="289" t="str">
        <x:f aca="0">SUBSTITUTE(SUBSTITUTE(SUBSTITUTE("35 min skills"&amp;CHAR(10)&amp;Strategy!I26,", B)",CHAR(10)&amp;"B)"),", C)",CHAR(10)&amp;"C)"),", Core:",CHAR(10)&amp;"Core:")</x:f>
        <x:v>35 min skills
A) Partial wall HSPU: 3 x 3
B) Wall HSPU negative: 3 x 2 (lower 3 sec)
C) Light-counterweight pistol: 3 x 4/leg
Core: 5 rounds</x:v>
      </x:c>
      <x:c r="D25" s="229" t="s">
        <x:v>210</x:v>
      </x:c>
      <x:c r="E25" s="229" t="n">
        <x:v>65</x:v>
      </x:c>
      <x:c r="F25" s="256"/>
      <x:c r="G25" s="256" t="s">
        <x:v>207</x:v>
      </x:c>
      <x:c r="H25" s="258" t="b">
        <x:f aca="0">FALSE()</x:f>
        <x:v>0</x:v>
      </x:c>
      <x:c r="I25" s="259" t="n">
        <x:v>3</x:v>
      </x:c>
      <x:c r="J25" s="259" t="n">
        <x:v>3</x:v>
      </x:c>
      <x:c r="K25" s="259" t="n">
        <x:v>3</x:v>
      </x:c>
      <x:c r="L25" s="260"/>
      <x:c r="M25" s="260"/>
      <x:c r="N25" s="258" t="b">
        <x:f aca="0">FALSE()</x:f>
        <x:v>0</x:v>
      </x:c>
      <x:c r="O25" s="259" t="n">
        <x:v>2</x:v>
      </x:c>
      <x:c r="P25" s="259" t="n">
        <x:v>2</x:v>
      </x:c>
      <x:c r="Q25" s="259" t="n">
        <x:v>2</x:v>
      </x:c>
      <x:c r="R25" s="260"/>
      <x:c r="S25" s="260"/>
      <x:c r="T25" s="258" t="b">
        <x:f aca="0">FALSE()</x:f>
        <x:v>0</x:v>
      </x:c>
      <x:c r="U25" s="259" t="n">
        <x:v>4</x:v>
      </x:c>
      <x:c r="V25" s="259" t="n">
        <x:v>4</x:v>
      </x:c>
      <x:c r="W25" s="259" t="n">
        <x:v>4</x:v>
      </x:c>
      <x:c r="X25" s="260"/>
      <x:c r="Y25" s="260"/>
      <x:c r="Z25" s="261" t="b">
        <x:v>0</x:v>
      </x:c>
      <x:c r="AA25" s="259" t="n">
        <x:v>5</x:v>
      </x:c>
      <x:c r="AB25" s="262"/>
      <x:c r="AC25" s="287"/>
      <x:c r="AD25" s="287"/>
      <x:c r="AE25" s="287"/>
      <x:c r="AF25" s="328"/>
      <x:c r="AG25" s="328"/>
      <x:c r="AH25" s="329" t="n">
        <x:f>IF(COUNT(Scoring!H80:H82)&gt;0,MEDIAN(Scoring!H80:H82),"")</x:f>
        <x:v>100</x:v>
      </x:c>
      <x:c r="AI25" s="329" t="str">
        <x:f>IF(COUNT(Scoring!I80:I82)&gt;0,MEDIAN(Scoring!I80:I82),"")</x:f>
      </x:c>
      <x:c r="AJ25" s="340" t="n">
        <x:f>COUNT(Scoring!I80:I82)</x:f>
        <x:v>0</x:v>
      </x:c>
      <x:c r="AK25" s="340" t="n">
        <x:f>COUNT(Scoring!H80:H82)</x:f>
        <x:v>3</x:v>
      </x:c>
    </x:row>
    <x:row r="26" ht="88" hidden="0" customHeight="1">
      <x:c r="A26" s="223" t="n">
        <x:f aca="0">Strategy!$E$3+40</x:f>
        <x:v>46361.5</x:v>
      </x:c>
      <x:c r="B26" s="224" t="s">
        <x:v>61</x:v>
      </x:c>
      <x:c r="C26" s="224" t="s">
        <x:v>211</x:v>
      </x:c>
      <x:c r="D26" s="224" t="s">
        <x:v>212</x:v>
      </x:c>
      <x:c r="E26" s="224" t="n">
        <x:v>20</x:v>
      </x:c>
      <x:c r="F26" s="257"/>
      <x:c r="G26" s="257" t="s">
        <x:v>207</x:v>
      </x:c>
      <x:c r="H26" s="263" t="b">
        <x:f aca="0">FALSE()</x:f>
        <x:v>0</x:v>
      </x:c>
      <x:c r="I26" s="264" t="n">
        <x:v>0.001388888888888889</x:v>
      </x:c>
      <x:c r="J26" s="265"/>
      <x:c r="K26" s="265"/>
      <x:c r="L26" s="265"/>
      <x:c r="M26" s="265"/>
      <x:c r="N26" s="263" t="b">
        <x:f aca="0">FALSE()</x:f>
        <x:v>0</x:v>
      </x:c>
      <x:c r="O26" s="264" t="n">
        <x:v>0.00017361111111111112</x:v>
      </x:c>
      <x:c r="P26" s="264" t="n">
        <x:v>0.00017361111111111112</x:v>
      </x:c>
      <x:c r="Q26" s="264" t="n">
        <x:v>0.00017361111111111112</x:v>
      </x:c>
      <x:c r="R26" s="265"/>
      <x:c r="S26" s="265"/>
      <x:c r="T26" s="263" t="b">
        <x:f aca="0">FALSE()</x:f>
        <x:v>0</x:v>
      </x:c>
      <x:c r="U26" s="264" t="n">
        <x:v>0.00017361111111111112</x:v>
      </x:c>
      <x:c r="V26" s="264" t="n">
        <x:v>0.00017361111111111112</x:v>
      </x:c>
      <x:c r="W26" s="264" t="n">
        <x:v>0.00017361111111111112</x:v>
      </x:c>
      <x:c r="X26" s="265"/>
      <x:c r="Y26" s="265"/>
      <x:c r="Z26" s="266" t="b">
        <x:v>0</x:v>
      </x:c>
      <x:c r="AA26" s="267"/>
      <x:c r="AB26" s="268"/>
      <x:c r="AC26" s="288"/>
      <x:c r="AD26" s="288"/>
      <x:c r="AE26" s="288"/>
      <x:c r="AF26" s="330"/>
      <x:c r="AG26" s="330"/>
      <x:c r="AH26" s="331" t="n">
        <x:f>IF(COUNT(Scoring!H83:H85)&gt;0,MEDIAN(Scoring!H83:H85),"")</x:f>
        <x:v>100</x:v>
      </x:c>
      <x:c r="AI26" s="331" t="str">
        <x:f>IF(COUNT(Scoring!I83:I85)&gt;0,MEDIAN(Scoring!I83:I85),"")</x:f>
      </x:c>
      <x:c r="AJ26" s="341" t="n">
        <x:f>COUNT(Scoring!I83:I85)</x:f>
        <x:v>0</x:v>
      </x:c>
      <x:c r="AK26" s="341" t="n">
        <x:f>COUNT(Scoring!H83:H85)</x:f>
        <x:v>3</x:v>
      </x:c>
    </x:row>
    <x:row r="27" ht="88" hidden="0" customHeight="1">
      <x:c r="A27" s="228" t="n">
        <x:f aca="0">Strategy!$E$3+42</x:f>
        <x:v>46363.5</x:v>
      </x:c>
      <x:c r="B27" s="229" t="s">
        <x:v>53</x:v>
      </x:c>
      <x:c r="C27" s="289" t="str">
        <x:f aca="0">SUBSTITUTE(SUBSTITUTE(SUBSTITUTE("35 min skills"&amp;CHAR(10)&amp;Strategy!H27,", B)",CHAR(10)&amp;"B)"),", C)",CHAR(10)&amp;"C)"),", Core:",CHAR(10)&amp;"Core:")</x:f>
        <x:v>35 min skills
A) Light-band muscle-up: 4 x 1
B) Band-assisted transition: 3 x 2
C) Unassisted pistol to target: 3 x 1/leg
Core: 5 rounds</x:v>
      </x:c>
      <x:c r="D27" s="229" t="s">
        <x:v>206</x:v>
      </x:c>
      <x:c r="E27" s="229" t="n">
        <x:v>65</x:v>
      </x:c>
      <x:c r="F27" s="256"/>
      <x:c r="G27" s="256" t="s">
        <x:v>207</x:v>
      </x:c>
      <x:c r="H27" s="258" t="b">
        <x:f aca="0">FALSE()</x:f>
        <x:v>0</x:v>
      </x:c>
      <x:c r="I27" s="259" t="n">
        <x:v>1</x:v>
      </x:c>
      <x:c r="J27" s="259" t="n">
        <x:v>1</x:v>
      </x:c>
      <x:c r="K27" s="259" t="n">
        <x:v>1</x:v>
      </x:c>
      <x:c r="L27" s="259" t="n">
        <x:v>1</x:v>
      </x:c>
      <x:c r="M27" s="260"/>
      <x:c r="N27" s="258" t="b">
        <x:f aca="0">FALSE()</x:f>
        <x:v>0</x:v>
      </x:c>
      <x:c r="O27" s="259" t="n">
        <x:v>2</x:v>
      </x:c>
      <x:c r="P27" s="259" t="n">
        <x:v>2</x:v>
      </x:c>
      <x:c r="Q27" s="259" t="n">
        <x:v>2</x:v>
      </x:c>
      <x:c r="R27" s="260"/>
      <x:c r="S27" s="260"/>
      <x:c r="T27" s="258" t="b">
        <x:f aca="0">FALSE()</x:f>
        <x:v>0</x:v>
      </x:c>
      <x:c r="U27" s="259" t="n">
        <x:v>1</x:v>
      </x:c>
      <x:c r="V27" s="259" t="n">
        <x:v>1</x:v>
      </x:c>
      <x:c r="W27" s="259" t="n">
        <x:v>1</x:v>
      </x:c>
      <x:c r="X27" s="260"/>
      <x:c r="Y27" s="260"/>
      <x:c r="Z27" s="261" t="b">
        <x:v>0</x:v>
      </x:c>
      <x:c r="AA27" s="259" t="n">
        <x:v>5</x:v>
      </x:c>
      <x:c r="AB27" s="262"/>
      <x:c r="AC27" s="287"/>
      <x:c r="AD27" s="287"/>
      <x:c r="AE27" s="287"/>
      <x:c r="AF27" s="328"/>
      <x:c r="AG27" s="328"/>
      <x:c r="AH27" s="329" t="n">
        <x:f>IF(COUNT(Scoring!H86:H89)&gt;0,MEDIAN(Scoring!H86:H89),"")</x:f>
        <x:v>100</x:v>
      </x:c>
      <x:c r="AI27" s="329" t="str">
        <x:f>IF(COUNT(Scoring!I86:I89)&gt;0,MEDIAN(Scoring!I86:I89),"")</x:f>
      </x:c>
      <x:c r="AJ27" s="340" t="n">
        <x:f>COUNT(Scoring!I86:I89)</x:f>
        <x:v>0</x:v>
      </x:c>
      <x:c r="AK27" s="340" t="n">
        <x:f>COUNT(Scoring!H86:H89)</x:f>
        <x:v>4</x:v>
      </x:c>
    </x:row>
    <x:row r="28" ht="88" hidden="0" customHeight="1">
      <x:c r="A28" s="223" t="n">
        <x:f aca="0">Strategy!$E$3+43</x:f>
        <x:v>46364.5</x:v>
      </x:c>
      <x:c r="B28" s="224" t="s">
        <x:v>61</x:v>
      </x:c>
      <x:c r="C28" s="224" t="s">
        <x:v>208</x:v>
      </x:c>
      <x:c r="D28" s="224" t="s">
        <x:v>209</x:v>
      </x:c>
      <x:c r="E28" s="224" t="n">
        <x:v>10</x:v>
      </x:c>
      <x:c r="F28" s="257"/>
      <x:c r="G28" s="257" t="s">
        <x:v>207</x:v>
      </x:c>
      <x:c r="H28" s="263" t="b">
        <x:f aca="0">FALSE()</x:f>
        <x:v>0</x:v>
      </x:c>
      <x:c r="I28" s="264" t="n">
        <x:v>0.001388888888888889</x:v>
      </x:c>
      <x:c r="J28" s="265"/>
      <x:c r="K28" s="265"/>
      <x:c r="L28" s="265"/>
      <x:c r="M28" s="265"/>
      <x:c r="N28" s="263" t="b">
        <x:f aca="0">FALSE()</x:f>
        <x:v>0</x:v>
      </x:c>
      <x:c r="O28" s="264" t="n">
        <x:v>0.00017361111111111112</x:v>
      </x:c>
      <x:c r="P28" s="264" t="n">
        <x:v>0.00017361111111111112</x:v>
      </x:c>
      <x:c r="Q28" s="264" t="n">
        <x:v>0.00017361111111111112</x:v>
      </x:c>
      <x:c r="R28" s="265"/>
      <x:c r="S28" s="265"/>
      <x:c r="T28" s="263" t="b">
        <x:f aca="0">FALSE()</x:f>
        <x:v>0</x:v>
      </x:c>
      <x:c r="U28" s="264" t="n">
        <x:v>0.00017361111111111112</x:v>
      </x:c>
      <x:c r="V28" s="264" t="n">
        <x:v>0.00017361111111111112</x:v>
      </x:c>
      <x:c r="W28" s="265"/>
      <x:c r="X28" s="265"/>
      <x:c r="Y28" s="265"/>
      <x:c r="Z28" s="266" t="b">
        <x:v>0</x:v>
      </x:c>
      <x:c r="AA28" s="267"/>
      <x:c r="AB28" s="268"/>
      <x:c r="AC28" s="288"/>
      <x:c r="AD28" s="288"/>
      <x:c r="AE28" s="288"/>
      <x:c r="AF28" s="330"/>
      <x:c r="AG28" s="330"/>
      <x:c r="AH28" s="331" t="n">
        <x:f>IF(COUNT(Scoring!H90:H92)&gt;0,MEDIAN(Scoring!H90:H92),"")</x:f>
        <x:v>100</x:v>
      </x:c>
      <x:c r="AI28" s="331" t="str">
        <x:f>IF(COUNT(Scoring!I90:I92)&gt;0,MEDIAN(Scoring!I90:I92),"")</x:f>
      </x:c>
      <x:c r="AJ28" s="341" t="n">
        <x:f>COUNT(Scoring!I90:I92)</x:f>
        <x:v>0</x:v>
      </x:c>
      <x:c r="AK28" s="341" t="n">
        <x:f>COUNT(Scoring!H90:H92)</x:f>
        <x:v>3</x:v>
      </x:c>
    </x:row>
    <x:row r="29" ht="88" hidden="0" customHeight="1">
      <x:c r="A29" s="228" t="n">
        <x:f aca="0">Strategy!$E$3+45</x:f>
        <x:v>46366.5</x:v>
      </x:c>
      <x:c r="B29" s="229" t="s">
        <x:v>57</x:v>
      </x:c>
      <x:c r="C29" s="289" t="str">
        <x:f aca="0">SUBSTITUTE(SUBSTITUTE(SUBSTITUTE("35 min skills"&amp;CHAR(10)&amp;Strategy!I27,", B)",CHAR(10)&amp;"B)"),", C)",CHAR(10)&amp;"C)"),", Core:",CHAR(10)&amp;"Core:")</x:f>
        <x:v>35 min skills
A) Deeper wall HSPU: 3 x 2
B) Easy wall handstand: 2 x 20 sec
C) Unassisted pistol to target: 3 x 1/leg
Core: 5 rounds</x:v>
      </x:c>
      <x:c r="D29" s="229" t="s">
        <x:v>210</x:v>
      </x:c>
      <x:c r="E29" s="229" t="n">
        <x:v>65</x:v>
      </x:c>
      <x:c r="F29" s="256"/>
      <x:c r="G29" s="256" t="s">
        <x:v>207</x:v>
      </x:c>
      <x:c r="H29" s="258" t="b">
        <x:f aca="0">FALSE()</x:f>
        <x:v>0</x:v>
      </x:c>
      <x:c r="I29" s="259" t="n">
        <x:v>2</x:v>
      </x:c>
      <x:c r="J29" s="259" t="n">
        <x:v>2</x:v>
      </x:c>
      <x:c r="K29" s="259" t="n">
        <x:v>2</x:v>
      </x:c>
      <x:c r="L29" s="260"/>
      <x:c r="M29" s="260"/>
      <x:c r="N29" s="258" t="b">
        <x:f aca="0">FALSE()</x:f>
        <x:v>0</x:v>
      </x:c>
      <x:c r="O29" s="269" t="n">
        <x:v>0.0002314814814814815</x:v>
      </x:c>
      <x:c r="P29" s="269" t="n">
        <x:v>0.0002314814814814815</x:v>
      </x:c>
      <x:c r="Q29" s="260"/>
      <x:c r="R29" s="260"/>
      <x:c r="S29" s="260"/>
      <x:c r="T29" s="258" t="b">
        <x:f aca="0">FALSE()</x:f>
        <x:v>0</x:v>
      </x:c>
      <x:c r="U29" s="259" t="n">
        <x:v>1</x:v>
      </x:c>
      <x:c r="V29" s="259" t="n">
        <x:v>1</x:v>
      </x:c>
      <x:c r="W29" s="259" t="n">
        <x:v>1</x:v>
      </x:c>
      <x:c r="X29" s="260"/>
      <x:c r="Y29" s="260"/>
      <x:c r="Z29" s="261" t="b">
        <x:v>0</x:v>
      </x:c>
      <x:c r="AA29" s="259" t="n">
        <x:v>5</x:v>
      </x:c>
      <x:c r="AB29" s="262"/>
      <x:c r="AC29" s="287"/>
      <x:c r="AD29" s="287"/>
      <x:c r="AE29" s="287"/>
      <x:c r="AF29" s="328"/>
      <x:c r="AG29" s="328"/>
      <x:c r="AH29" s="329" t="n">
        <x:f>IF(COUNT(Scoring!H93:H96)&gt;0,MEDIAN(Scoring!H93:H96),"")</x:f>
        <x:v>100</x:v>
      </x:c>
      <x:c r="AI29" s="329" t="str">
        <x:f>IF(COUNT(Scoring!I93:I96)&gt;0,MEDIAN(Scoring!I93:I96),"")</x:f>
      </x:c>
      <x:c r="AJ29" s="340" t="n">
        <x:f>COUNT(Scoring!I93:I96)</x:f>
        <x:v>0</x:v>
      </x:c>
      <x:c r="AK29" s="340" t="n">
        <x:f>COUNT(Scoring!H93:H96)</x:f>
        <x:v>4</x:v>
      </x:c>
    </x:row>
    <x:row r="30" ht="88" hidden="0" customHeight="1">
      <x:c r="A30" s="223" t="n">
        <x:f aca="0">Strategy!$E$3+47</x:f>
        <x:v>46368.5</x:v>
      </x:c>
      <x:c r="B30" s="224" t="s">
        <x:v>61</x:v>
      </x:c>
      <x:c r="C30" s="224" t="s">
        <x:v>211</x:v>
      </x:c>
      <x:c r="D30" s="224" t="s">
        <x:v>212</x:v>
      </x:c>
      <x:c r="E30" s="224" t="n">
        <x:v>20</x:v>
      </x:c>
      <x:c r="F30" s="257"/>
      <x:c r="G30" s="257" t="s">
        <x:v>207</x:v>
      </x:c>
      <x:c r="H30" s="263" t="b">
        <x:f aca="0">FALSE()</x:f>
        <x:v>0</x:v>
      </x:c>
      <x:c r="I30" s="264" t="n">
        <x:v>0.001388888888888889</x:v>
      </x:c>
      <x:c r="J30" s="265"/>
      <x:c r="K30" s="265"/>
      <x:c r="L30" s="265"/>
      <x:c r="M30" s="265"/>
      <x:c r="N30" s="263" t="b">
        <x:f aca="0">FALSE()</x:f>
        <x:v>0</x:v>
      </x:c>
      <x:c r="O30" s="264" t="n">
        <x:v>0.00017361111111111112</x:v>
      </x:c>
      <x:c r="P30" s="264" t="n">
        <x:v>0.00017361111111111112</x:v>
      </x:c>
      <x:c r="Q30" s="264" t="n">
        <x:v>0.00017361111111111112</x:v>
      </x:c>
      <x:c r="R30" s="265"/>
      <x:c r="S30" s="265"/>
      <x:c r="T30" s="263" t="b">
        <x:f aca="0">FALSE()</x:f>
        <x:v>0</x:v>
      </x:c>
      <x:c r="U30" s="264" t="n">
        <x:v>0.00017361111111111112</x:v>
      </x:c>
      <x:c r="V30" s="264" t="n">
        <x:v>0.00017361111111111112</x:v>
      </x:c>
      <x:c r="W30" s="264" t="n">
        <x:v>0.00017361111111111112</x:v>
      </x:c>
      <x:c r="X30" s="265"/>
      <x:c r="Y30" s="265"/>
      <x:c r="Z30" s="266" t="b">
        <x:v>0</x:v>
      </x:c>
      <x:c r="AA30" s="267"/>
      <x:c r="AB30" s="268"/>
      <x:c r="AC30" s="288"/>
      <x:c r="AD30" s="288"/>
      <x:c r="AE30" s="288"/>
      <x:c r="AF30" s="330"/>
      <x:c r="AG30" s="330"/>
      <x:c r="AH30" s="331" t="n">
        <x:f>IF(COUNT(Scoring!H97:H99)&gt;0,MEDIAN(Scoring!H97:H99),"")</x:f>
        <x:v>100</x:v>
      </x:c>
      <x:c r="AI30" s="331" t="str">
        <x:f>IF(COUNT(Scoring!I97:I99)&gt;0,MEDIAN(Scoring!I97:I99),"")</x:f>
      </x:c>
      <x:c r="AJ30" s="341" t="n">
        <x:f>COUNT(Scoring!I97:I99)</x:f>
        <x:v>0</x:v>
      </x:c>
      <x:c r="AK30" s="341" t="n">
        <x:f>COUNT(Scoring!H97:H99)</x:f>
        <x:v>3</x:v>
      </x:c>
    </x:row>
    <x:row r="31" ht="88" hidden="0" customHeight="1">
      <x:c r="A31" s="228" t="n">
        <x:f aca="0">Strategy!$E$3+49</x:f>
        <x:v>46370.5</x:v>
      </x:c>
      <x:c r="B31" s="229" t="s">
        <x:v>53</x:v>
      </x:c>
      <x:c r="C31" s="289" t="str">
        <x:f aca="0">SUBSTITUTE(SUBSTITUTE(SUBSTITUTE("10 min skills"&amp;CHAR(10)&amp;Strategy!H28,", B)",CHAR(10)&amp;"B)"),", C)",CHAR(10)&amp;"C)"),", Core:",CHAR(10)&amp;"Core:")</x:f>
        <x:v>10 min skills
A) Easy high pull: 1 x 3
B) Easy low-bar transition: 1 x 3
C) Assisted smooth pistol: 1 x 3/leg
Core: 3 rounds</x:v>
      </x:c>
      <x:c r="D31" s="229" t="s">
        <x:v>206</x:v>
      </x:c>
      <x:c r="E31" s="229" t="n">
        <x:v>33</x:v>
      </x:c>
      <x:c r="F31" s="256"/>
      <x:c r="G31" s="256" t="s">
        <x:v>207</x:v>
      </x:c>
      <x:c r="H31" s="258" t="b">
        <x:f aca="0">FALSE()</x:f>
        <x:v>0</x:v>
      </x:c>
      <x:c r="I31" s="259" t="n">
        <x:v>3</x:v>
      </x:c>
      <x:c r="J31" s="260"/>
      <x:c r="K31" s="260"/>
      <x:c r="L31" s="260"/>
      <x:c r="M31" s="260"/>
      <x:c r="N31" s="258" t="b">
        <x:f aca="0">FALSE()</x:f>
        <x:v>0</x:v>
      </x:c>
      <x:c r="O31" s="259" t="n">
        <x:v>3</x:v>
      </x:c>
      <x:c r="P31" s="260"/>
      <x:c r="Q31" s="260"/>
      <x:c r="R31" s="260"/>
      <x:c r="S31" s="260"/>
      <x:c r="T31" s="258" t="b">
        <x:f aca="0">FALSE()</x:f>
        <x:v>0</x:v>
      </x:c>
      <x:c r="U31" s="259" t="n">
        <x:v>3</x:v>
      </x:c>
      <x:c r="V31" s="260"/>
      <x:c r="W31" s="260"/>
      <x:c r="X31" s="260"/>
      <x:c r="Y31" s="260"/>
      <x:c r="Z31" s="261" t="b">
        <x:v>0</x:v>
      </x:c>
      <x:c r="AA31" s="259" t="n">
        <x:v>3</x:v>
      </x:c>
      <x:c r="AB31" s="262"/>
      <x:c r="AC31" s="287"/>
      <x:c r="AD31" s="287"/>
      <x:c r="AE31" s="287"/>
      <x:c r="AF31" s="328"/>
      <x:c r="AG31" s="328"/>
      <x:c r="AH31" s="329" t="n">
        <x:f>IF(COUNT(Scoring!H100:H103)&gt;0,MEDIAN(Scoring!H100:H103),"")</x:f>
        <x:v>100</x:v>
      </x:c>
      <x:c r="AI31" s="329" t="str">
        <x:f>IF(COUNT(Scoring!I100:I103)&gt;0,MEDIAN(Scoring!I100:I103),"")</x:f>
      </x:c>
      <x:c r="AJ31" s="340" t="n">
        <x:f>COUNT(Scoring!I100:I103)</x:f>
        <x:v>0</x:v>
      </x:c>
      <x:c r="AK31" s="340" t="n">
        <x:f>COUNT(Scoring!H100:H103)</x:f>
        <x:v>4</x:v>
      </x:c>
    </x:row>
    <x:row r="32" ht="88" hidden="0" customHeight="1">
      <x:c r="A32" s="223" t="n">
        <x:f aca="0">Strategy!$E$3+50</x:f>
        <x:v>46371.5</x:v>
      </x:c>
      <x:c r="B32" s="224" t="s">
        <x:v>61</x:v>
      </x:c>
      <x:c r="C32" s="224" t="s">
        <x:v>213</x:v>
      </x:c>
      <x:c r="D32" s="224" t="s">
        <x:v>209</x:v>
      </x:c>
      <x:c r="E32" s="224" t="n">
        <x:v>5</x:v>
      </x:c>
      <x:c r="F32" s="257"/>
      <x:c r="G32" s="257" t="s">
        <x:v>207</x:v>
      </x:c>
      <x:c r="H32" s="263" t="b">
        <x:f aca="0">FALSE()</x:f>
        <x:v>0</x:v>
      </x:c>
      <x:c r="I32" s="264" t="n">
        <x:v>0.0006944444444444445</x:v>
      </x:c>
      <x:c r="J32" s="265"/>
      <x:c r="K32" s="265"/>
      <x:c r="L32" s="265"/>
      <x:c r="M32" s="265"/>
      <x:c r="N32" s="263" t="b">
        <x:f aca="0">FALSE()</x:f>
        <x:v>0</x:v>
      </x:c>
      <x:c r="O32" s="264" t="n">
        <x:v>0.00011574074074074075</x:v>
      </x:c>
      <x:c r="P32" s="264" t="n">
        <x:v>0.00011574074074074075</x:v>
      </x:c>
      <x:c r="Q32" s="265"/>
      <x:c r="R32" s="265"/>
      <x:c r="S32" s="265"/>
      <x:c r="T32" s="263" t="b">
        <x:f aca="0">FALSE()</x:f>
        <x:v>0</x:v>
      </x:c>
      <x:c r="U32" s="264" t="n">
        <x:v>0.00011574074074074075</x:v>
      </x:c>
      <x:c r="V32" s="265"/>
      <x:c r="W32" s="265"/>
      <x:c r="X32" s="265"/>
      <x:c r="Y32" s="265"/>
      <x:c r="Z32" s="266" t="b">
        <x:v>0</x:v>
      </x:c>
      <x:c r="AA32" s="267"/>
      <x:c r="AB32" s="268"/>
      <x:c r="AC32" s="288"/>
      <x:c r="AD32" s="288"/>
      <x:c r="AE32" s="288"/>
      <x:c r="AF32" s="330"/>
      <x:c r="AG32" s="330"/>
      <x:c r="AH32" s="331" t="n">
        <x:f>IF(COUNT(Scoring!H104:H106)&gt;0,MEDIAN(Scoring!H104:H106),"")</x:f>
        <x:v>100</x:v>
      </x:c>
      <x:c r="AI32" s="331" t="str">
        <x:f>IF(COUNT(Scoring!I104:I106)&gt;0,MEDIAN(Scoring!I104:I106),"")</x:f>
      </x:c>
      <x:c r="AJ32" s="341" t="n">
        <x:f>COUNT(Scoring!I104:I106)</x:f>
        <x:v>0</x:v>
      </x:c>
      <x:c r="AK32" s="341" t="n">
        <x:f>COUNT(Scoring!H104:H106)</x:f>
        <x:v>3</x:v>
      </x:c>
    </x:row>
    <x:row r="33" ht="88" hidden="0" customHeight="1">
      <x:c r="A33" s="228" t="n">
        <x:f aca="0">Strategy!$E$3+52</x:f>
        <x:v>46373.5</x:v>
      </x:c>
      <x:c r="B33" s="229" t="s">
        <x:v>57</x:v>
      </x:c>
      <x:c r="C33" s="289" t="str">
        <x:f aca="0">SUBSTITUTE(SUBSTITUTE(SUBSTITUTE("10 min skills"&amp;CHAR(10)&amp;Strategy!I28,", B)",CHAR(10)&amp;"B)"),", C)",CHAR(10)&amp;"C)"),", Core:",CHAR(10)&amp;"Core:")</x:f>
        <x:v>10 min skills
A) Easy wall handstand: 1 x 15 sec
B) Easy pike push-up: 1 x 4
C) Assisted smooth pistol: 1 x 3/leg
Core: 3 rounds</x:v>
      </x:c>
      <x:c r="D33" s="229" t="s">
        <x:v>214</x:v>
      </x:c>
      <x:c r="E33" s="229" t="n">
        <x:v>33</x:v>
      </x:c>
      <x:c r="F33" s="256"/>
      <x:c r="G33" s="256" t="s">
        <x:v>207</x:v>
      </x:c>
      <x:c r="H33" s="258" t="b">
        <x:f aca="0">FALSE()</x:f>
        <x:v>0</x:v>
      </x:c>
      <x:c r="I33" s="269" t="n">
        <x:v>0.00017361111111111112</x:v>
      </x:c>
      <x:c r="J33" s="260"/>
      <x:c r="K33" s="260"/>
      <x:c r="L33" s="260"/>
      <x:c r="M33" s="260"/>
      <x:c r="N33" s="258" t="b">
        <x:f aca="0">FALSE()</x:f>
        <x:v>0</x:v>
      </x:c>
      <x:c r="O33" s="259" t="n">
        <x:v>4</x:v>
      </x:c>
      <x:c r="P33" s="260"/>
      <x:c r="Q33" s="260"/>
      <x:c r="R33" s="260"/>
      <x:c r="S33" s="260"/>
      <x:c r="T33" s="258" t="b">
        <x:f aca="0">FALSE()</x:f>
        <x:v>0</x:v>
      </x:c>
      <x:c r="U33" s="259" t="n">
        <x:v>3</x:v>
      </x:c>
      <x:c r="V33" s="260"/>
      <x:c r="W33" s="260"/>
      <x:c r="X33" s="260"/>
      <x:c r="Y33" s="260"/>
      <x:c r="Z33" s="261" t="b">
        <x:v>0</x:v>
      </x:c>
      <x:c r="AA33" s="259" t="n">
        <x:v>3</x:v>
      </x:c>
      <x:c r="AB33" s="262"/>
      <x:c r="AC33" s="287"/>
      <x:c r="AD33" s="287"/>
      <x:c r="AE33" s="287"/>
      <x:c r="AF33" s="328"/>
      <x:c r="AG33" s="328"/>
      <x:c r="AH33" s="329" t="n">
        <x:f>IF(COUNT(Scoring!H107:H110)&gt;0,MEDIAN(Scoring!H107:H110),"")</x:f>
        <x:v>100</x:v>
      </x:c>
      <x:c r="AI33" s="329" t="str">
        <x:f>IF(COUNT(Scoring!I107:I110)&gt;0,MEDIAN(Scoring!I107:I110),"")</x:f>
      </x:c>
      <x:c r="AJ33" s="340" t="n">
        <x:f>COUNT(Scoring!I107:I110)</x:f>
        <x:v>0</x:v>
      </x:c>
      <x:c r="AK33" s="340" t="n">
        <x:f>COUNT(Scoring!H107:H110)</x:f>
        <x:v>4</x:v>
      </x:c>
    </x:row>
    <x:row r="34" ht="88" hidden="0" customHeight="1">
      <x:c r="A34" s="223" t="n">
        <x:f aca="0">Strategy!$E$3+54</x:f>
        <x:v>46375.5</x:v>
      </x:c>
      <x:c r="B34" s="224" t="s">
        <x:v>61</x:v>
      </x:c>
      <x:c r="C34" s="224" t="s">
        <x:v>215</x:v>
      </x:c>
      <x:c r="D34" s="224" t="s">
        <x:v>212</x:v>
      </x:c>
      <x:c r="E34" s="224" t="n">
        <x:v>10</x:v>
      </x:c>
      <x:c r="F34" s="257"/>
      <x:c r="G34" s="257" t="s">
        <x:v>207</x:v>
      </x:c>
      <x:c r="H34" s="263" t="b">
        <x:f aca="0">FALSE()</x:f>
        <x:v>0</x:v>
      </x:c>
      <x:c r="I34" s="264" t="n">
        <x:v>0.0006944444444444445</x:v>
      </x:c>
      <x:c r="J34" s="265"/>
      <x:c r="K34" s="265"/>
      <x:c r="L34" s="265"/>
      <x:c r="M34" s="265"/>
      <x:c r="N34" s="263" t="b">
        <x:f aca="0">FALSE()</x:f>
        <x:v>0</x:v>
      </x:c>
      <x:c r="O34" s="264" t="n">
        <x:v>0.00011574074074074075</x:v>
      </x:c>
      <x:c r="P34" s="264" t="n">
        <x:v>0.00011574074074074075</x:v>
      </x:c>
      <x:c r="Q34" s="265"/>
      <x:c r="R34" s="265"/>
      <x:c r="S34" s="265"/>
      <x:c r="T34" s="263" t="b">
        <x:f aca="0">FALSE()</x:f>
        <x:v>0</x:v>
      </x:c>
      <x:c r="U34" s="264" t="n">
        <x:v>0.00011574074074074075</x:v>
      </x:c>
      <x:c r="V34" s="265"/>
      <x:c r="W34" s="265"/>
      <x:c r="X34" s="265"/>
      <x:c r="Y34" s="265"/>
      <x:c r="Z34" s="266" t="b">
        <x:v>0</x:v>
      </x:c>
      <x:c r="AA34" s="267"/>
      <x:c r="AB34" s="268"/>
      <x:c r="AC34" s="288"/>
      <x:c r="AD34" s="288"/>
      <x:c r="AE34" s="288"/>
      <x:c r="AF34" s="330"/>
      <x:c r="AG34" s="330"/>
      <x:c r="AH34" s="331" t="n">
        <x:f>IF(COUNT(Scoring!H111:H113)&gt;0,MEDIAN(Scoring!H111:H113),"")</x:f>
        <x:v>100</x:v>
      </x:c>
      <x:c r="AI34" s="331" t="str">
        <x:f>IF(COUNT(Scoring!I111:I113)&gt;0,MEDIAN(Scoring!I111:I113),"")</x:f>
      </x:c>
      <x:c r="AJ34" s="341" t="n">
        <x:f>COUNT(Scoring!I111:I113)</x:f>
        <x:v>0</x:v>
      </x:c>
      <x:c r="AK34" s="341" t="n">
        <x:f>COUNT(Scoring!H111:H113)</x:f>
        <x:v>3</x:v>
      </x:c>
    </x:row>
    <x:row r="35" ht="88" hidden="0" customHeight="1">
      <x:c r="A35" s="228" t="n">
        <x:f aca="0">Strategy!$E$3+56</x:f>
        <x:v>46377.5</x:v>
      </x:c>
      <x:c r="B35" s="229" t="s">
        <x:v>53</x:v>
      </x:c>
      <x:c r="C35" s="289" t="str">
        <x:f aca="0">SUBSTITUTE(SUBSTITUTE(SUBSTITUTE("35 min skills"&amp;CHAR(10)&amp;Strategy!H29,", B)",CHAR(10)&amp;"B)"),", C)",CHAR(10)&amp;"C)"),", Core:",CHAR(10)&amp;"Core:")</x:f>
        <x:v>35 min skills
A) Light-band or strict muscle-up: 3 x 1
B) Stronger-band back-off muscle-up: 2 x 2
C) Unassisted pistol: 3 x 1/leg
Core: 5 rounds</x:v>
      </x:c>
      <x:c r="D35" s="229" t="s">
        <x:v>206</x:v>
      </x:c>
      <x:c r="E35" s="229" t="n">
        <x:v>65</x:v>
      </x:c>
      <x:c r="F35" s="256"/>
      <x:c r="G35" s="256" t="s">
        <x:v>207</x:v>
      </x:c>
      <x:c r="H35" s="258" t="b">
        <x:f aca="0">FALSE()</x:f>
        <x:v>0</x:v>
      </x:c>
      <x:c r="I35" s="259" t="n">
        <x:v>1</x:v>
      </x:c>
      <x:c r="J35" s="259" t="n">
        <x:v>1</x:v>
      </x:c>
      <x:c r="K35" s="259" t="n">
        <x:v>1</x:v>
      </x:c>
      <x:c r="L35" s="260"/>
      <x:c r="M35" s="260"/>
      <x:c r="N35" s="258" t="b">
        <x:f aca="0">FALSE()</x:f>
        <x:v>0</x:v>
      </x:c>
      <x:c r="O35" s="259" t="n">
        <x:v>2</x:v>
      </x:c>
      <x:c r="P35" s="259" t="n">
        <x:v>2</x:v>
      </x:c>
      <x:c r="Q35" s="260"/>
      <x:c r="R35" s="260"/>
      <x:c r="S35" s="260"/>
      <x:c r="T35" s="258" t="b">
        <x:f aca="0">FALSE()</x:f>
        <x:v>0</x:v>
      </x:c>
      <x:c r="U35" s="259" t="n">
        <x:v>1</x:v>
      </x:c>
      <x:c r="V35" s="259" t="n">
        <x:v>1</x:v>
      </x:c>
      <x:c r="W35" s="259" t="n">
        <x:v>1</x:v>
      </x:c>
      <x:c r="X35" s="260"/>
      <x:c r="Y35" s="260"/>
      <x:c r="Z35" s="261" t="b">
        <x:v>0</x:v>
      </x:c>
      <x:c r="AA35" s="259" t="n">
        <x:v>5</x:v>
      </x:c>
      <x:c r="AB35" s="262"/>
      <x:c r="AC35" s="287"/>
      <x:c r="AD35" s="287"/>
      <x:c r="AE35" s="287"/>
      <x:c r="AF35" s="328"/>
      <x:c r="AG35" s="328"/>
      <x:c r="AH35" s="329" t="n">
        <x:f>IF(COUNT(Scoring!H114:H117)&gt;0,MEDIAN(Scoring!H114:H117),"")</x:f>
        <x:v>100</x:v>
      </x:c>
      <x:c r="AI35" s="329" t="str">
        <x:f>IF(COUNT(Scoring!I114:I117)&gt;0,MEDIAN(Scoring!I114:I117),"")</x:f>
      </x:c>
      <x:c r="AJ35" s="340" t="n">
        <x:f>COUNT(Scoring!I114:I117)</x:f>
        <x:v>0</x:v>
      </x:c>
      <x:c r="AK35" s="340" t="n">
        <x:f>COUNT(Scoring!H114:H117)</x:f>
        <x:v>4</x:v>
      </x:c>
    </x:row>
    <x:row r="36" ht="88" hidden="0" customHeight="1">
      <x:c r="A36" s="223" t="n">
        <x:f aca="0">Strategy!$E$3+57</x:f>
        <x:v>46378.5</x:v>
      </x:c>
      <x:c r="B36" s="224" t="s">
        <x:v>61</x:v>
      </x:c>
      <x:c r="C36" s="224" t="s">
        <x:v>208</x:v>
      </x:c>
      <x:c r="D36" s="224" t="s">
        <x:v>209</x:v>
      </x:c>
      <x:c r="E36" s="224" t="n">
        <x:v>10</x:v>
      </x:c>
      <x:c r="F36" s="257"/>
      <x:c r="G36" s="257" t="s">
        <x:v>207</x:v>
      </x:c>
      <x:c r="H36" s="263" t="b">
        <x:f aca="0">FALSE()</x:f>
        <x:v>0</x:v>
      </x:c>
      <x:c r="I36" s="264" t="n">
        <x:v>0.001388888888888889</x:v>
      </x:c>
      <x:c r="J36" s="265"/>
      <x:c r="K36" s="265"/>
      <x:c r="L36" s="265"/>
      <x:c r="M36" s="265"/>
      <x:c r="N36" s="263" t="b">
        <x:f aca="0">FALSE()</x:f>
        <x:v>0</x:v>
      </x:c>
      <x:c r="O36" s="264" t="n">
        <x:v>0.00017361111111111112</x:v>
      </x:c>
      <x:c r="P36" s="264" t="n">
        <x:v>0.00017361111111111112</x:v>
      </x:c>
      <x:c r="Q36" s="264" t="n">
        <x:v>0.00017361111111111112</x:v>
      </x:c>
      <x:c r="R36" s="265"/>
      <x:c r="S36" s="265"/>
      <x:c r="T36" s="263" t="b">
        <x:f aca="0">FALSE()</x:f>
        <x:v>0</x:v>
      </x:c>
      <x:c r="U36" s="264" t="n">
        <x:v>0.00017361111111111112</x:v>
      </x:c>
      <x:c r="V36" s="264" t="n">
        <x:v>0.00017361111111111112</x:v>
      </x:c>
      <x:c r="W36" s="265"/>
      <x:c r="X36" s="265"/>
      <x:c r="Y36" s="265"/>
      <x:c r="Z36" s="266" t="b">
        <x:v>0</x:v>
      </x:c>
      <x:c r="AA36" s="267"/>
      <x:c r="AB36" s="268"/>
      <x:c r="AC36" s="288"/>
      <x:c r="AD36" s="288"/>
      <x:c r="AE36" s="288"/>
      <x:c r="AF36" s="330"/>
      <x:c r="AG36" s="330"/>
      <x:c r="AH36" s="331" t="n">
        <x:f>IF(COUNT(Scoring!H118:H120)&gt;0,MEDIAN(Scoring!H118:H120),"")</x:f>
        <x:v>100</x:v>
      </x:c>
      <x:c r="AI36" s="331" t="str">
        <x:f>IF(COUNT(Scoring!I118:I120)&gt;0,MEDIAN(Scoring!I118:I120),"")</x:f>
      </x:c>
      <x:c r="AJ36" s="341" t="n">
        <x:f>COUNT(Scoring!I118:I120)</x:f>
        <x:v>0</x:v>
      </x:c>
      <x:c r="AK36" s="341" t="n">
        <x:f>COUNT(Scoring!H118:H120)</x:f>
        <x:v>3</x:v>
      </x:c>
    </x:row>
    <x:row r="37" ht="88" hidden="0" customHeight="1">
      <x:c r="A37" s="228" t="n">
        <x:f aca="0">Strategy!$E$3+59</x:f>
        <x:v>46380.5</x:v>
      </x:c>
      <x:c r="B37" s="229" t="s">
        <x:v>57</x:v>
      </x:c>
      <x:c r="C37" s="289" t="str">
        <x:f aca="0">SUBSTITUTE(SUBSTITUTE(SUBSTITUTE("35 min skills"&amp;CHAR(10)&amp;Strategy!I29,", B)",CHAR(10)&amp;"B)"),", C)",CHAR(10)&amp;"C)"),", Core:",CHAR(10)&amp;"Core:")</x:f>
        <x:v>35 min skills
A) Full-ROM wall HSPU negative: 3 x 1
B) Partial wall HSPU: 3 x 3
C) Unassisted pistol: 3 x 1/leg
Core: 5 rounds</x:v>
      </x:c>
      <x:c r="D37" s="229" t="s">
        <x:v>210</x:v>
      </x:c>
      <x:c r="E37" s="229" t="n">
        <x:v>65</x:v>
      </x:c>
      <x:c r="F37" s="256"/>
      <x:c r="G37" s="256" t="s">
        <x:v>207</x:v>
      </x:c>
      <x:c r="H37" s="258" t="b">
        <x:f aca="0">FALSE()</x:f>
        <x:v>0</x:v>
      </x:c>
      <x:c r="I37" s="259" t="n">
        <x:v>1</x:v>
      </x:c>
      <x:c r="J37" s="259" t="n">
        <x:v>1</x:v>
      </x:c>
      <x:c r="K37" s="259" t="n">
        <x:v>1</x:v>
      </x:c>
      <x:c r="L37" s="260"/>
      <x:c r="M37" s="260"/>
      <x:c r="N37" s="258" t="b">
        <x:f aca="0">FALSE()</x:f>
        <x:v>0</x:v>
      </x:c>
      <x:c r="O37" s="259" t="n">
        <x:v>3</x:v>
      </x:c>
      <x:c r="P37" s="259" t="n">
        <x:v>3</x:v>
      </x:c>
      <x:c r="Q37" s="259" t="n">
        <x:v>3</x:v>
      </x:c>
      <x:c r="R37" s="260"/>
      <x:c r="S37" s="260"/>
      <x:c r="T37" s="258" t="b">
        <x:f aca="0">FALSE()</x:f>
        <x:v>0</x:v>
      </x:c>
      <x:c r="U37" s="259" t="n">
        <x:v>1</x:v>
      </x:c>
      <x:c r="V37" s="259" t="n">
        <x:v>1</x:v>
      </x:c>
      <x:c r="W37" s="259" t="n">
        <x:v>1</x:v>
      </x:c>
      <x:c r="X37" s="260"/>
      <x:c r="Y37" s="260"/>
      <x:c r="Z37" s="261" t="b">
        <x:v>0</x:v>
      </x:c>
      <x:c r="AA37" s="259" t="n">
        <x:v>5</x:v>
      </x:c>
      <x:c r="AB37" s="262"/>
      <x:c r="AC37" s="287"/>
      <x:c r="AD37" s="287"/>
      <x:c r="AE37" s="287"/>
      <x:c r="AF37" s="328"/>
      <x:c r="AG37" s="328"/>
      <x:c r="AH37" s="329" t="n">
        <x:f>IF(COUNT(Scoring!H121:H124)&gt;0,MEDIAN(Scoring!H121:H124),"")</x:f>
        <x:v>100</x:v>
      </x:c>
      <x:c r="AI37" s="329" t="str">
        <x:f>IF(COUNT(Scoring!I121:I124)&gt;0,MEDIAN(Scoring!I121:I124),"")</x:f>
      </x:c>
      <x:c r="AJ37" s="340" t="n">
        <x:f>COUNT(Scoring!I121:I124)</x:f>
        <x:v>0</x:v>
      </x:c>
      <x:c r="AK37" s="340" t="n">
        <x:f>COUNT(Scoring!H121:H124)</x:f>
        <x:v>4</x:v>
      </x:c>
    </x:row>
    <x:row r="38" ht="88" hidden="0" customHeight="1">
      <x:c r="A38" s="223" t="n">
        <x:f aca="0">Strategy!$E$3+61</x:f>
        <x:v>46382.5</x:v>
      </x:c>
      <x:c r="B38" s="224" t="s">
        <x:v>61</x:v>
      </x:c>
      <x:c r="C38" s="224" t="s">
        <x:v>211</x:v>
      </x:c>
      <x:c r="D38" s="224" t="s">
        <x:v>212</x:v>
      </x:c>
      <x:c r="E38" s="224" t="n">
        <x:v>20</x:v>
      </x:c>
      <x:c r="F38" s="257"/>
      <x:c r="G38" s="257" t="s">
        <x:v>207</x:v>
      </x:c>
      <x:c r="H38" s="263" t="b">
        <x:f aca="0">FALSE()</x:f>
        <x:v>0</x:v>
      </x:c>
      <x:c r="I38" s="264" t="n">
        <x:v>0.001388888888888889</x:v>
      </x:c>
      <x:c r="J38" s="265"/>
      <x:c r="K38" s="265"/>
      <x:c r="L38" s="265"/>
      <x:c r="M38" s="265"/>
      <x:c r="N38" s="263" t="b">
        <x:f aca="0">FALSE()</x:f>
        <x:v>0</x:v>
      </x:c>
      <x:c r="O38" s="264" t="n">
        <x:v>0.00017361111111111112</x:v>
      </x:c>
      <x:c r="P38" s="264" t="n">
        <x:v>0.00017361111111111112</x:v>
      </x:c>
      <x:c r="Q38" s="264" t="n">
        <x:v>0.00017361111111111112</x:v>
      </x:c>
      <x:c r="R38" s="265"/>
      <x:c r="S38" s="265"/>
      <x:c r="T38" s="263" t="b">
        <x:f aca="0">FALSE()</x:f>
        <x:v>0</x:v>
      </x:c>
      <x:c r="U38" s="264" t="n">
        <x:v>0.00017361111111111112</x:v>
      </x:c>
      <x:c r="V38" s="264" t="n">
        <x:v>0.00017361111111111112</x:v>
      </x:c>
      <x:c r="W38" s="264" t="n">
        <x:v>0.00017361111111111112</x:v>
      </x:c>
      <x:c r="X38" s="265"/>
      <x:c r="Y38" s="265"/>
      <x:c r="Z38" s="266" t="b">
        <x:v>0</x:v>
      </x:c>
      <x:c r="AA38" s="267"/>
      <x:c r="AB38" s="268"/>
      <x:c r="AC38" s="288"/>
      <x:c r="AD38" s="288"/>
      <x:c r="AE38" s="288"/>
      <x:c r="AF38" s="330"/>
      <x:c r="AG38" s="330"/>
      <x:c r="AH38" s="331" t="n">
        <x:f>IF(COUNT(Scoring!H125:H127)&gt;0,MEDIAN(Scoring!H125:H127),"")</x:f>
        <x:v>100</x:v>
      </x:c>
      <x:c r="AI38" s="331" t="str">
        <x:f>IF(COUNT(Scoring!I125:I127)&gt;0,MEDIAN(Scoring!I125:I127),"")</x:f>
      </x:c>
      <x:c r="AJ38" s="341" t="n">
        <x:f>COUNT(Scoring!I125:I127)</x:f>
        <x:v>0</x:v>
      </x:c>
      <x:c r="AK38" s="341" t="n">
        <x:f>COUNT(Scoring!H125:H127)</x:f>
        <x:v>3</x:v>
      </x:c>
    </x:row>
    <x:row r="39" ht="88" hidden="0" customHeight="1">
      <x:c r="A39" s="228" t="n">
        <x:f aca="0">Strategy!$E$3+63</x:f>
        <x:v>46384.5</x:v>
      </x:c>
      <x:c r="B39" s="229" t="s">
        <x:v>53</x:v>
      </x:c>
      <x:c r="C39" s="289" t="str">
        <x:f aca="0">SUBSTITUTE(SUBSTITUTE(SUBSTITUTE("35 min skills"&amp;CHAR(10)&amp;Strategy!H30,", B)",CHAR(10)&amp;"B)"),", C)",CHAR(10)&amp;"C)"),", Core:",CHAR(10)&amp;"Core:")</x:f>
        <x:v>35 min skills
A) Quality muscle-up attempts: 3-5 singles
B) Band-assisted muscle-up: 2 x 2
C) Pistol clusters: 3 x (1+1)/leg (20 sec between reps)
Core: 5 rounds</x:v>
      </x:c>
      <x:c r="D39" s="229" t="s">
        <x:v>206</x:v>
      </x:c>
      <x:c r="E39" s="229" t="n">
        <x:v>65</x:v>
      </x:c>
      <x:c r="F39" s="256"/>
      <x:c r="G39" s="256" t="s">
        <x:v>207</x:v>
      </x:c>
      <x:c r="H39" s="258" t="b">
        <x:f aca="0">FALSE()</x:f>
        <x:v>0</x:v>
      </x:c>
      <x:c r="I39" s="259" t="n">
        <x:v>1</x:v>
      </x:c>
      <x:c r="J39" s="259" t="n">
        <x:v>1</x:v>
      </x:c>
      <x:c r="K39" s="259" t="n">
        <x:v>1</x:v>
      </x:c>
      <x:c r="L39" s="260"/>
      <x:c r="M39" s="260"/>
      <x:c r="N39" s="258" t="b">
        <x:f aca="0">FALSE()</x:f>
        <x:v>0</x:v>
      </x:c>
      <x:c r="O39" s="259" t="n">
        <x:v>2</x:v>
      </x:c>
      <x:c r="P39" s="259" t="n">
        <x:v>2</x:v>
      </x:c>
      <x:c r="Q39" s="260"/>
      <x:c r="R39" s="260"/>
      <x:c r="S39" s="260"/>
      <x:c r="T39" s="258" t="b">
        <x:f aca="0">FALSE()</x:f>
        <x:v>0</x:v>
      </x:c>
      <x:c r="U39" s="259" t="n">
        <x:v>2</x:v>
      </x:c>
      <x:c r="V39" s="259" t="n">
        <x:v>2</x:v>
      </x:c>
      <x:c r="W39" s="259" t="n">
        <x:v>2</x:v>
      </x:c>
      <x:c r="X39" s="260"/>
      <x:c r="Y39" s="260"/>
      <x:c r="Z39" s="261" t="b">
        <x:v>0</x:v>
      </x:c>
      <x:c r="AA39" s="259" t="n">
        <x:v>5</x:v>
      </x:c>
      <x:c r="AB39" s="262"/>
      <x:c r="AC39" s="287"/>
      <x:c r="AD39" s="287"/>
      <x:c r="AE39" s="287"/>
      <x:c r="AF39" s="328"/>
      <x:c r="AG39" s="328"/>
      <x:c r="AH39" s="329" t="n">
        <x:f>IF(COUNT(Scoring!H128:H129)&gt;0,MEDIAN(Scoring!H128:H129),"")</x:f>
        <x:v>100</x:v>
      </x:c>
      <x:c r="AI39" s="329" t="str">
        <x:f>IF(COUNT(Scoring!I128:I129)&gt;0,MEDIAN(Scoring!I128:I129),"")</x:f>
      </x:c>
      <x:c r="AJ39" s="340" t="n">
        <x:f>COUNT(Scoring!I128:I129)</x:f>
        <x:v>0</x:v>
      </x:c>
      <x:c r="AK39" s="340" t="n">
        <x:f>COUNT(Scoring!H128:H129)</x:f>
        <x:v>2</x:v>
      </x:c>
    </x:row>
    <x:row r="40" ht="88" hidden="0" customHeight="1">
      <x:c r="A40" s="223" t="n">
        <x:f aca="0">Strategy!$E$3+64</x:f>
        <x:v>46385.5</x:v>
      </x:c>
      <x:c r="B40" s="224" t="s">
        <x:v>61</x:v>
      </x:c>
      <x:c r="C40" s="224" t="s">
        <x:v>208</x:v>
      </x:c>
      <x:c r="D40" s="224" t="s">
        <x:v>209</x:v>
      </x:c>
      <x:c r="E40" s="224" t="n">
        <x:v>10</x:v>
      </x:c>
      <x:c r="F40" s="257"/>
      <x:c r="G40" s="257" t="s">
        <x:v>207</x:v>
      </x:c>
      <x:c r="H40" s="263" t="b">
        <x:f aca="0">FALSE()</x:f>
        <x:v>0</x:v>
      </x:c>
      <x:c r="I40" s="264" t="n">
        <x:v>0.001388888888888889</x:v>
      </x:c>
      <x:c r="J40" s="265"/>
      <x:c r="K40" s="265"/>
      <x:c r="L40" s="265"/>
      <x:c r="M40" s="265"/>
      <x:c r="N40" s="263" t="b">
        <x:f aca="0">FALSE()</x:f>
        <x:v>0</x:v>
      </x:c>
      <x:c r="O40" s="264" t="n">
        <x:v>0.00017361111111111112</x:v>
      </x:c>
      <x:c r="P40" s="264" t="n">
        <x:v>0.00017361111111111112</x:v>
      </x:c>
      <x:c r="Q40" s="264" t="n">
        <x:v>0.00017361111111111112</x:v>
      </x:c>
      <x:c r="R40" s="265"/>
      <x:c r="S40" s="265"/>
      <x:c r="T40" s="263" t="b">
        <x:f aca="0">FALSE()</x:f>
        <x:v>0</x:v>
      </x:c>
      <x:c r="U40" s="264" t="n">
        <x:v>0.00017361111111111112</x:v>
      </x:c>
      <x:c r="V40" s="264" t="n">
        <x:v>0.00017361111111111112</x:v>
      </x:c>
      <x:c r="W40" s="265"/>
      <x:c r="X40" s="265"/>
      <x:c r="Y40" s="265"/>
      <x:c r="Z40" s="266" t="b">
        <x:v>0</x:v>
      </x:c>
      <x:c r="AA40" s="267"/>
      <x:c r="AB40" s="268"/>
      <x:c r="AC40" s="288"/>
      <x:c r="AD40" s="288"/>
      <x:c r="AE40" s="288"/>
      <x:c r="AF40" s="330"/>
      <x:c r="AG40" s="330"/>
      <x:c r="AH40" s="331" t="n">
        <x:f>IF(COUNT(Scoring!H130:H132)&gt;0,MEDIAN(Scoring!H130:H132),"")</x:f>
        <x:v>100</x:v>
      </x:c>
      <x:c r="AI40" s="331" t="str">
        <x:f>IF(COUNT(Scoring!I130:I132)&gt;0,MEDIAN(Scoring!I130:I132),"")</x:f>
      </x:c>
      <x:c r="AJ40" s="341" t="n">
        <x:f>COUNT(Scoring!I130:I132)</x:f>
        <x:v>0</x:v>
      </x:c>
      <x:c r="AK40" s="341" t="n">
        <x:f>COUNT(Scoring!H130:H132)</x:f>
        <x:v>3</x:v>
      </x:c>
    </x:row>
    <x:row r="41" ht="88" hidden="0" customHeight="1">
      <x:c r="A41" s="228" t="n">
        <x:f aca="0">Strategy!$E$3+66</x:f>
        <x:v>46387.5</x:v>
      </x:c>
      <x:c r="B41" s="229" t="s">
        <x:v>57</x:v>
      </x:c>
      <x:c r="C41" s="289" t="str">
        <x:f aca="0">SUBSTITUTE(SUBSTITUTE(SUBSTITUTE("35 min skills"&amp;CHAR(10)&amp;Strategy!I30,", B)",CHAR(10)&amp;"B)"),", C)",CHAR(10)&amp;"C)"),", Core:",CHAR(10)&amp;"Core:")</x:f>
        <x:v>35 min skills
A) Wall HSPU clusters: 3 x (1+1) (20 sec between reps)
B) Easy wall handstand: 2 x 20 sec
C) Pistol clusters: 3 x (1+1)/leg (20 sec between reps)
Core: 5 rounds</x:v>
      </x:c>
      <x:c r="D41" s="229" t="s">
        <x:v>210</x:v>
      </x:c>
      <x:c r="E41" s="229" t="n">
        <x:v>65</x:v>
      </x:c>
      <x:c r="F41" s="256"/>
      <x:c r="G41" s="256" t="s">
        <x:v>207</x:v>
      </x:c>
      <x:c r="H41" s="258" t="b">
        <x:f aca="0">FALSE()</x:f>
        <x:v>0</x:v>
      </x:c>
      <x:c r="I41" s="259" t="n">
        <x:v>2</x:v>
      </x:c>
      <x:c r="J41" s="259" t="n">
        <x:v>2</x:v>
      </x:c>
      <x:c r="K41" s="259" t="n">
        <x:v>2</x:v>
      </x:c>
      <x:c r="L41" s="260"/>
      <x:c r="M41" s="260"/>
      <x:c r="N41" s="258" t="b">
        <x:f aca="0">FALSE()</x:f>
        <x:v>0</x:v>
      </x:c>
      <x:c r="O41" s="269" t="n">
        <x:v>0.0002314814814814815</x:v>
      </x:c>
      <x:c r="P41" s="269" t="n">
        <x:v>0.0002314814814814815</x:v>
      </x:c>
      <x:c r="Q41" s="260"/>
      <x:c r="R41" s="260"/>
      <x:c r="S41" s="260"/>
      <x:c r="T41" s="258" t="b">
        <x:f aca="0">FALSE()</x:f>
        <x:v>0</x:v>
      </x:c>
      <x:c r="U41" s="259" t="n">
        <x:v>2</x:v>
      </x:c>
      <x:c r="V41" s="259" t="n">
        <x:v>2</x:v>
      </x:c>
      <x:c r="W41" s="259" t="n">
        <x:v>2</x:v>
      </x:c>
      <x:c r="X41" s="260"/>
      <x:c r="Y41" s="260"/>
      <x:c r="Z41" s="261" t="b">
        <x:v>0</x:v>
      </x:c>
      <x:c r="AA41" s="259" t="n">
        <x:v>5</x:v>
      </x:c>
      <x:c r="AB41" s="262"/>
      <x:c r="AC41" s="287"/>
      <x:c r="AD41" s="287"/>
      <x:c r="AE41" s="287"/>
      <x:c r="AF41" s="328"/>
      <x:c r="AG41" s="328"/>
      <x:c r="AH41" s="329" t="n">
        <x:f>IF(COUNT(Scoring!H133:H134)&gt;0,MEDIAN(Scoring!H133:H134),"")</x:f>
        <x:v>100</x:v>
      </x:c>
      <x:c r="AI41" s="329" t="str">
        <x:f>IF(COUNT(Scoring!I133:I134)&gt;0,MEDIAN(Scoring!I133:I134),"")</x:f>
      </x:c>
      <x:c r="AJ41" s="340" t="n">
        <x:f>COUNT(Scoring!I133:I134)</x:f>
        <x:v>0</x:v>
      </x:c>
      <x:c r="AK41" s="340" t="n">
        <x:f>COUNT(Scoring!H133:H134)</x:f>
        <x:v>2</x:v>
      </x:c>
    </x:row>
    <x:row r="42" ht="88" hidden="0" customHeight="1">
      <x:c r="A42" s="223" t="n">
        <x:f aca="0">Strategy!$E$3+68</x:f>
        <x:v>46389.5</x:v>
      </x:c>
      <x:c r="B42" s="224" t="s">
        <x:v>61</x:v>
      </x:c>
      <x:c r="C42" s="224" t="s">
        <x:v>211</x:v>
      </x:c>
      <x:c r="D42" s="224" t="s">
        <x:v>212</x:v>
      </x:c>
      <x:c r="E42" s="224" t="n">
        <x:v>20</x:v>
      </x:c>
      <x:c r="F42" s="257"/>
      <x:c r="G42" s="257" t="s">
        <x:v>207</x:v>
      </x:c>
      <x:c r="H42" s="263" t="b">
        <x:f aca="0">FALSE()</x:f>
        <x:v>0</x:v>
      </x:c>
      <x:c r="I42" s="264" t="n">
        <x:v>0.001388888888888889</x:v>
      </x:c>
      <x:c r="J42" s="265"/>
      <x:c r="K42" s="265"/>
      <x:c r="L42" s="265"/>
      <x:c r="M42" s="265"/>
      <x:c r="N42" s="263" t="b">
        <x:f aca="0">FALSE()</x:f>
        <x:v>0</x:v>
      </x:c>
      <x:c r="O42" s="264" t="n">
        <x:v>0.00017361111111111112</x:v>
      </x:c>
      <x:c r="P42" s="264" t="n">
        <x:v>0.00017361111111111112</x:v>
      </x:c>
      <x:c r="Q42" s="264" t="n">
        <x:v>0.00017361111111111112</x:v>
      </x:c>
      <x:c r="R42" s="265"/>
      <x:c r="S42" s="265"/>
      <x:c r="T42" s="263" t="b">
        <x:f aca="0">FALSE()</x:f>
        <x:v>0</x:v>
      </x:c>
      <x:c r="U42" s="264" t="n">
        <x:v>0.00017361111111111112</x:v>
      </x:c>
      <x:c r="V42" s="264" t="n">
        <x:v>0.00017361111111111112</x:v>
      </x:c>
      <x:c r="W42" s="264" t="n">
        <x:v>0.00017361111111111112</x:v>
      </x:c>
      <x:c r="X42" s="265"/>
      <x:c r="Y42" s="265"/>
      <x:c r="Z42" s="266" t="b">
        <x:v>0</x:v>
      </x:c>
      <x:c r="AA42" s="267"/>
      <x:c r="AB42" s="268"/>
      <x:c r="AC42" s="288"/>
      <x:c r="AD42" s="288"/>
      <x:c r="AE42" s="288"/>
      <x:c r="AF42" s="330"/>
      <x:c r="AG42" s="330"/>
      <x:c r="AH42" s="331" t="n">
        <x:f>IF(COUNT(Scoring!H135:H137)&gt;0,MEDIAN(Scoring!H135:H137),"")</x:f>
        <x:v>100</x:v>
      </x:c>
      <x:c r="AI42" s="331" t="str">
        <x:f>IF(COUNT(Scoring!I135:I137)&gt;0,MEDIAN(Scoring!I135:I137),"")</x:f>
      </x:c>
      <x:c r="AJ42" s="341" t="n">
        <x:f>COUNT(Scoring!I135:I137)</x:f>
        <x:v>0</x:v>
      </x:c>
      <x:c r="AK42" s="341" t="n">
        <x:f>COUNT(Scoring!H135:H137)</x:f>
        <x:v>3</x:v>
      </x:c>
    </x:row>
    <x:row r="43" ht="88" hidden="0" customHeight="1">
      <x:c r="A43" s="228" t="n">
        <x:f aca="0">Strategy!$E$3+70</x:f>
        <x:v>46391.5</x:v>
      </x:c>
      <x:c r="B43" s="229" t="s">
        <x:v>53</x:v>
      </x:c>
      <x:c r="C43" s="289" t="str">
        <x:f aca="0">SUBSTITUTE(SUBSTITUTE(SUBSTITUTE("35 min skills"&amp;CHAR(10)&amp;Strategy!H31,", B)",CHAR(10)&amp;"B)"),", C)",CHAR(10)&amp;"C)"),", Core:",CHAR(10)&amp;"Core:")</x:f>
        <x:v>35 min skills
A) Quality muscle-up attempts: 3 singles
B) Crisp high pull: 3 x 2
C) Clean pistol: 3 x 2/leg
Core: 5 rounds</x:v>
      </x:c>
      <x:c r="D43" s="229" t="s">
        <x:v>206</x:v>
      </x:c>
      <x:c r="E43" s="229" t="n">
        <x:v>65</x:v>
      </x:c>
      <x:c r="F43" s="256"/>
      <x:c r="G43" s="256" t="s">
        <x:v>207</x:v>
      </x:c>
      <x:c r="H43" s="258" t="b">
        <x:f aca="0">FALSE()</x:f>
        <x:v>0</x:v>
      </x:c>
      <x:c r="I43" s="259" t="n">
        <x:v>1</x:v>
      </x:c>
      <x:c r="J43" s="259" t="n">
        <x:v>1</x:v>
      </x:c>
      <x:c r="K43" s="259" t="n">
        <x:v>1</x:v>
      </x:c>
      <x:c r="L43" s="260"/>
      <x:c r="M43" s="260"/>
      <x:c r="N43" s="258" t="b">
        <x:f aca="0">FALSE()</x:f>
        <x:v>0</x:v>
      </x:c>
      <x:c r="O43" s="259" t="n">
        <x:v>2</x:v>
      </x:c>
      <x:c r="P43" s="259" t="n">
        <x:v>2</x:v>
      </x:c>
      <x:c r="Q43" s="259" t="n">
        <x:v>2</x:v>
      </x:c>
      <x:c r="R43" s="260"/>
      <x:c r="S43" s="260"/>
      <x:c r="T43" s="258" t="b">
        <x:f aca="0">FALSE()</x:f>
        <x:v>0</x:v>
      </x:c>
      <x:c r="U43" s="259" t="n">
        <x:v>2</x:v>
      </x:c>
      <x:c r="V43" s="259" t="n">
        <x:v>2</x:v>
      </x:c>
      <x:c r="W43" s="259" t="n">
        <x:v>2</x:v>
      </x:c>
      <x:c r="X43" s="260"/>
      <x:c r="Y43" s="260"/>
      <x:c r="Z43" s="261" t="b">
        <x:v>0</x:v>
      </x:c>
      <x:c r="AA43" s="259" t="n">
        <x:v>5</x:v>
      </x:c>
      <x:c r="AB43" s="262"/>
      <x:c r="AC43" s="287"/>
      <x:c r="AD43" s="287"/>
      <x:c r="AE43" s="287"/>
      <x:c r="AF43" s="328"/>
      <x:c r="AG43" s="328"/>
      <x:c r="AH43" s="329" t="n">
        <x:f>IF(COUNT(Scoring!H138:H141)&gt;0,MEDIAN(Scoring!H138:H141),"")</x:f>
        <x:v>100</x:v>
      </x:c>
      <x:c r="AI43" s="329" t="str">
        <x:f>IF(COUNT(Scoring!I138:I141)&gt;0,MEDIAN(Scoring!I138:I141),"")</x:f>
      </x:c>
      <x:c r="AJ43" s="340" t="n">
        <x:f>COUNT(Scoring!I138:I141)</x:f>
        <x:v>0</x:v>
      </x:c>
      <x:c r="AK43" s="340" t="n">
        <x:f>COUNT(Scoring!H138:H141)</x:f>
        <x:v>4</x:v>
      </x:c>
    </x:row>
    <x:row r="44" ht="88" hidden="0" customHeight="1">
      <x:c r="A44" s="223" t="n">
        <x:f aca="0">Strategy!$E$3+71</x:f>
        <x:v>46392.5</x:v>
      </x:c>
      <x:c r="B44" s="224" t="s">
        <x:v>61</x:v>
      </x:c>
      <x:c r="C44" s="224" t="s">
        <x:v>208</x:v>
      </x:c>
      <x:c r="D44" s="224" t="s">
        <x:v>209</x:v>
      </x:c>
      <x:c r="E44" s="224" t="n">
        <x:v>10</x:v>
      </x:c>
      <x:c r="F44" s="257"/>
      <x:c r="G44" s="257" t="s">
        <x:v>207</x:v>
      </x:c>
      <x:c r="H44" s="263" t="b">
        <x:f aca="0">FALSE()</x:f>
        <x:v>0</x:v>
      </x:c>
      <x:c r="I44" s="264" t="n">
        <x:v>0.001388888888888889</x:v>
      </x:c>
      <x:c r="J44" s="265"/>
      <x:c r="K44" s="265"/>
      <x:c r="L44" s="265"/>
      <x:c r="M44" s="265"/>
      <x:c r="N44" s="263" t="b">
        <x:f aca="0">FALSE()</x:f>
        <x:v>0</x:v>
      </x:c>
      <x:c r="O44" s="264" t="n">
        <x:v>0.00017361111111111112</x:v>
      </x:c>
      <x:c r="P44" s="264" t="n">
        <x:v>0.00017361111111111112</x:v>
      </x:c>
      <x:c r="Q44" s="264" t="n">
        <x:v>0.00017361111111111112</x:v>
      </x:c>
      <x:c r="R44" s="265"/>
      <x:c r="S44" s="265"/>
      <x:c r="T44" s="263" t="b">
        <x:f aca="0">FALSE()</x:f>
        <x:v>0</x:v>
      </x:c>
      <x:c r="U44" s="264" t="n">
        <x:v>0.00017361111111111112</x:v>
      </x:c>
      <x:c r="V44" s="264" t="n">
        <x:v>0.00017361111111111112</x:v>
      </x:c>
      <x:c r="W44" s="265"/>
      <x:c r="X44" s="265"/>
      <x:c r="Y44" s="265"/>
      <x:c r="Z44" s="266" t="b">
        <x:v>0</x:v>
      </x:c>
      <x:c r="AA44" s="267"/>
      <x:c r="AB44" s="268"/>
      <x:c r="AC44" s="288"/>
      <x:c r="AD44" s="288"/>
      <x:c r="AE44" s="288"/>
      <x:c r="AF44" s="330"/>
      <x:c r="AG44" s="330"/>
      <x:c r="AH44" s="331" t="n">
        <x:f>IF(COUNT(Scoring!H142:H144)&gt;0,MEDIAN(Scoring!H142:H144),"")</x:f>
        <x:v>100</x:v>
      </x:c>
      <x:c r="AI44" s="331" t="str">
        <x:f>IF(COUNT(Scoring!I142:I144)&gt;0,MEDIAN(Scoring!I142:I144),"")</x:f>
      </x:c>
      <x:c r="AJ44" s="341" t="n">
        <x:f>COUNT(Scoring!I142:I144)</x:f>
        <x:v>0</x:v>
      </x:c>
      <x:c r="AK44" s="341" t="n">
        <x:f>COUNT(Scoring!H142:H144)</x:f>
        <x:v>3</x:v>
      </x:c>
    </x:row>
    <x:row r="45" ht="88" hidden="0" customHeight="1">
      <x:c r="A45" s="228" t="n">
        <x:f aca="0">Strategy!$E$3+73</x:f>
        <x:v>46394.5</x:v>
      </x:c>
      <x:c r="B45" s="229" t="s">
        <x:v>57</x:v>
      </x:c>
      <x:c r="C45" s="289" t="str">
        <x:f aca="0">SUBSTITUTE(SUBSTITUTE(SUBSTITUTE("35 min skills"&amp;CHAR(10)&amp;Strategy!I31,", B)",CHAR(10)&amp;"B)"),", C)",CHAR(10)&amp;"C)"),", Core:",CHAR(10)&amp;"Core:")</x:f>
        <x:v>35 min skills
A) Full-ROM wall HSPU: 3 single attempts
B) Pike push-up back-off: 2 x 4
C) Clean pistol: 3 x 2/leg
Core: 5 rounds</x:v>
      </x:c>
      <x:c r="D45" s="229" t="s">
        <x:v>210</x:v>
      </x:c>
      <x:c r="E45" s="229" t="n">
        <x:v>65</x:v>
      </x:c>
      <x:c r="F45" s="256"/>
      <x:c r="G45" s="256" t="s">
        <x:v>207</x:v>
      </x:c>
      <x:c r="H45" s="258" t="b">
        <x:f aca="0">FALSE()</x:f>
        <x:v>0</x:v>
      </x:c>
      <x:c r="I45" s="259" t="n">
        <x:v>1</x:v>
      </x:c>
      <x:c r="J45" s="259" t="n">
        <x:v>1</x:v>
      </x:c>
      <x:c r="K45" s="259" t="n">
        <x:v>1</x:v>
      </x:c>
      <x:c r="L45" s="260"/>
      <x:c r="M45" s="260"/>
      <x:c r="N45" s="258" t="b">
        <x:f aca="0">FALSE()</x:f>
        <x:v>0</x:v>
      </x:c>
      <x:c r="O45" s="259" t="n">
        <x:v>4</x:v>
      </x:c>
      <x:c r="P45" s="259" t="n">
        <x:v>4</x:v>
      </x:c>
      <x:c r="Q45" s="260"/>
      <x:c r="R45" s="260"/>
      <x:c r="S45" s="260"/>
      <x:c r="T45" s="258" t="b">
        <x:f aca="0">FALSE()</x:f>
        <x:v>0</x:v>
      </x:c>
      <x:c r="U45" s="259" t="n">
        <x:v>2</x:v>
      </x:c>
      <x:c r="V45" s="259" t="n">
        <x:v>2</x:v>
      </x:c>
      <x:c r="W45" s="259" t="n">
        <x:v>2</x:v>
      </x:c>
      <x:c r="X45" s="260"/>
      <x:c r="Y45" s="260"/>
      <x:c r="Z45" s="261" t="b">
        <x:v>0</x:v>
      </x:c>
      <x:c r="AA45" s="259" t="n">
        <x:v>5</x:v>
      </x:c>
      <x:c r="AB45" s="262"/>
      <x:c r="AC45" s="287"/>
      <x:c r="AD45" s="287"/>
      <x:c r="AE45" s="287"/>
      <x:c r="AF45" s="328"/>
      <x:c r="AG45" s="328"/>
      <x:c r="AH45" s="329" t="n">
        <x:f>IF(COUNT(Scoring!H145:H147)&gt;0,MEDIAN(Scoring!H145:H147),"")</x:f>
        <x:v>100</x:v>
      </x:c>
      <x:c r="AI45" s="329" t="str">
        <x:f>IF(COUNT(Scoring!I145:I147)&gt;0,MEDIAN(Scoring!I145:I147),"")</x:f>
      </x:c>
      <x:c r="AJ45" s="340" t="n">
        <x:f>COUNT(Scoring!I145:I147)</x:f>
        <x:v>0</x:v>
      </x:c>
      <x:c r="AK45" s="340" t="n">
        <x:f>COUNT(Scoring!H145:H147)</x:f>
        <x:v>3</x:v>
      </x:c>
    </x:row>
    <x:row r="46" ht="88" hidden="0" customHeight="1">
      <x:c r="A46" s="223" t="n">
        <x:f aca="0">Strategy!$E$3+75</x:f>
        <x:v>46396.5</x:v>
      </x:c>
      <x:c r="B46" s="224" t="s">
        <x:v>61</x:v>
      </x:c>
      <x:c r="C46" s="224" t="s">
        <x:v>211</x:v>
      </x:c>
      <x:c r="D46" s="224" t="s">
        <x:v>212</x:v>
      </x:c>
      <x:c r="E46" s="224" t="n">
        <x:v>20</x:v>
      </x:c>
      <x:c r="F46" s="257"/>
      <x:c r="G46" s="257" t="s">
        <x:v>207</x:v>
      </x:c>
      <x:c r="H46" s="263" t="b">
        <x:f aca="0">FALSE()</x:f>
        <x:v>0</x:v>
      </x:c>
      <x:c r="I46" s="264" t="n">
        <x:v>0.001388888888888889</x:v>
      </x:c>
      <x:c r="J46" s="265"/>
      <x:c r="K46" s="265"/>
      <x:c r="L46" s="265"/>
      <x:c r="M46" s="265"/>
      <x:c r="N46" s="263" t="b">
        <x:f aca="0">FALSE()</x:f>
        <x:v>0</x:v>
      </x:c>
      <x:c r="O46" s="264" t="n">
        <x:v>0.00017361111111111112</x:v>
      </x:c>
      <x:c r="P46" s="264" t="n">
        <x:v>0.00017361111111111112</x:v>
      </x:c>
      <x:c r="Q46" s="264" t="n">
        <x:v>0.00017361111111111112</x:v>
      </x:c>
      <x:c r="R46" s="265"/>
      <x:c r="S46" s="265"/>
      <x:c r="T46" s="263" t="b">
        <x:f aca="0">FALSE()</x:f>
        <x:v>0</x:v>
      </x:c>
      <x:c r="U46" s="264" t="n">
        <x:v>0.00017361111111111112</x:v>
      </x:c>
      <x:c r="V46" s="264" t="n">
        <x:v>0.00017361111111111112</x:v>
      </x:c>
      <x:c r="W46" s="264" t="n">
        <x:v>0.00017361111111111112</x:v>
      </x:c>
      <x:c r="X46" s="265"/>
      <x:c r="Y46" s="265"/>
      <x:c r="Z46" s="266" t="b">
        <x:v>0</x:v>
      </x:c>
      <x:c r="AA46" s="267"/>
      <x:c r="AB46" s="268"/>
      <x:c r="AC46" s="288"/>
      <x:c r="AD46" s="288"/>
      <x:c r="AE46" s="288"/>
      <x:c r="AF46" s="330"/>
      <x:c r="AG46" s="330"/>
      <x:c r="AH46" s="331" t="n">
        <x:f>IF(COUNT(Scoring!H148:H150)&gt;0,MEDIAN(Scoring!H148:H150),"")</x:f>
        <x:v>100</x:v>
      </x:c>
      <x:c r="AI46" s="331" t="str">
        <x:f>IF(COUNT(Scoring!I148:I150)&gt;0,MEDIAN(Scoring!I148:I150),"")</x:f>
      </x:c>
      <x:c r="AJ46" s="341" t="n">
        <x:f>COUNT(Scoring!I148:I150)</x:f>
        <x:v>0</x:v>
      </x:c>
      <x:c r="AK46" s="341" t="n">
        <x:f>COUNT(Scoring!H148:H150)</x:f>
        <x:v>3</x:v>
      </x:c>
    </x:row>
    <x:row r="47" ht="88" hidden="0" customHeight="1">
      <x:c r="A47" s="228" t="n">
        <x:f aca="0">Strategy!$E$3+77</x:f>
        <x:v>46398.5</x:v>
      </x:c>
      <x:c r="B47" s="229" t="s">
        <x:v>53</x:v>
      </x:c>
      <x:c r="C47" s="289" t="str">
        <x:f aca="0">SUBSTITUTE(SUBSTITUTE(SUBSTITUTE("10 min skills"&amp;CHAR(10)&amp;Strategy!H32,", B)",CHAR(10)&amp;"B)"),", C)",CHAR(10)&amp;"C)"),", Core:",CHAR(10)&amp;"Core:")</x:f>
        <x:v>10 min skills
A) Muscle-up test: up to 3 rested singles
B) Pistol test: 1 clean set/leg (cap at 5)
C) Easy scapular pull-up: 1 x 5 if time remains
Core: 2 rounds</x:v>
      </x:c>
      <x:c r="D47" s="229" t="s">
        <x:v>206</x:v>
      </x:c>
      <x:c r="E47" s="229" t="n">
        <x:v>30</x:v>
      </x:c>
      <x:c r="F47" s="256"/>
      <x:c r="G47" s="256" t="s">
        <x:v>207</x:v>
      </x:c>
      <x:c r="H47" s="258" t="b">
        <x:f aca="0">FALSE()</x:f>
        <x:v>0</x:v>
      </x:c>
      <x:c r="I47" s="259" t="n">
        <x:v>1</x:v>
      </x:c>
      <x:c r="J47" s="259" t="n">
        <x:v>1</x:v>
      </x:c>
      <x:c r="K47" s="259" t="n">
        <x:v>1</x:v>
      </x:c>
      <x:c r="L47" s="260"/>
      <x:c r="M47" s="260"/>
      <x:c r="N47" s="258" t="b">
        <x:f aca="0">FALSE()</x:f>
        <x:v>0</x:v>
      </x:c>
      <x:c r="O47" s="259" t="n">
        <x:v>5</x:v>
      </x:c>
      <x:c r="P47" s="260"/>
      <x:c r="Q47" s="260"/>
      <x:c r="R47" s="260"/>
      <x:c r="S47" s="260"/>
      <x:c r="T47" s="258" t="b">
        <x:f aca="0">FALSE()</x:f>
        <x:v>0</x:v>
      </x:c>
      <x:c r="U47" s="259" t="n">
        <x:v>5</x:v>
      </x:c>
      <x:c r="V47" s="260"/>
      <x:c r="W47" s="260"/>
      <x:c r="X47" s="260"/>
      <x:c r="Y47" s="260"/>
      <x:c r="Z47" s="261" t="b">
        <x:v>0</x:v>
      </x:c>
      <x:c r="AA47" s="259" t="n">
        <x:v>2</x:v>
      </x:c>
      <x:c r="AB47" s="262"/>
      <x:c r="AC47" s="287"/>
      <x:c r="AD47" s="287"/>
      <x:c r="AE47" s="287"/>
      <x:c r="AF47" s="328"/>
      <x:c r="AG47" s="328"/>
      <x:c r="AH47" s="329" t="n">
        <x:f>IF(COUNT(Scoring!H151:H151)&gt;0,MEDIAN(Scoring!H151:H151),"")</x:f>
        <x:v>100</x:v>
      </x:c>
      <x:c r="AI47" s="329" t="str">
        <x:f>IF(COUNT(Scoring!I151:I151)&gt;0,MEDIAN(Scoring!I151:I151),"")</x:f>
      </x:c>
      <x:c r="AJ47" s="340" t="n">
        <x:f>COUNT(Scoring!I151:I151)</x:f>
        <x:v>0</x:v>
      </x:c>
      <x:c r="AK47" s="340" t="n">
        <x:f>COUNT(Scoring!H151:H151)</x:f>
        <x:v>1</x:v>
      </x:c>
    </x:row>
    <x:row r="48" ht="88" hidden="0" customHeight="1">
      <x:c r="A48" s="223" t="n">
        <x:f aca="0">Strategy!$E$3+78</x:f>
        <x:v>46399.5</x:v>
      </x:c>
      <x:c r="B48" s="224" t="s">
        <x:v>61</x:v>
      </x:c>
      <x:c r="C48" s="224" t="s">
        <x:v>213</x:v>
      </x:c>
      <x:c r="D48" s="224" t="s">
        <x:v>209</x:v>
      </x:c>
      <x:c r="E48" s="224" t="n">
        <x:v>5</x:v>
      </x:c>
      <x:c r="F48" s="257"/>
      <x:c r="G48" s="257" t="s">
        <x:v>207</x:v>
      </x:c>
      <x:c r="H48" s="263" t="b">
        <x:f aca="0">FALSE()</x:f>
        <x:v>0</x:v>
      </x:c>
      <x:c r="I48" s="264" t="n">
        <x:v>0.0006944444444444445</x:v>
      </x:c>
      <x:c r="J48" s="265"/>
      <x:c r="K48" s="265"/>
      <x:c r="L48" s="265"/>
      <x:c r="M48" s="265"/>
      <x:c r="N48" s="263" t="b">
        <x:f aca="0">FALSE()</x:f>
        <x:v>0</x:v>
      </x:c>
      <x:c r="O48" s="264" t="n">
        <x:v>0.00011574074074074075</x:v>
      </x:c>
      <x:c r="P48" s="264" t="n">
        <x:v>0.00011574074074074075</x:v>
      </x:c>
      <x:c r="Q48" s="265"/>
      <x:c r="R48" s="265"/>
      <x:c r="S48" s="265"/>
      <x:c r="T48" s="263" t="b">
        <x:f aca="0">FALSE()</x:f>
        <x:v>0</x:v>
      </x:c>
      <x:c r="U48" s="264" t="n">
        <x:v>0.00011574074074074075</x:v>
      </x:c>
      <x:c r="V48" s="265"/>
      <x:c r="W48" s="265"/>
      <x:c r="X48" s="265"/>
      <x:c r="Y48" s="265"/>
      <x:c r="Z48" s="266" t="b">
        <x:v>0</x:v>
      </x:c>
      <x:c r="AA48" s="267"/>
      <x:c r="AB48" s="268"/>
      <x:c r="AC48" s="288"/>
      <x:c r="AD48" s="288"/>
      <x:c r="AE48" s="288"/>
      <x:c r="AF48" s="330"/>
      <x:c r="AG48" s="330"/>
      <x:c r="AH48" s="331" t="n">
        <x:f>IF(COUNT(Scoring!H152:H154)&gt;0,MEDIAN(Scoring!H152:H154),"")</x:f>
        <x:v>100</x:v>
      </x:c>
      <x:c r="AI48" s="331" t="str">
        <x:f>IF(COUNT(Scoring!I152:I154)&gt;0,MEDIAN(Scoring!I152:I154),"")</x:f>
      </x:c>
      <x:c r="AJ48" s="341" t="n">
        <x:f>COUNT(Scoring!I152:I154)</x:f>
        <x:v>0</x:v>
      </x:c>
      <x:c r="AK48" s="341" t="n">
        <x:f>COUNT(Scoring!H152:H154)</x:f>
        <x:v>3</x:v>
      </x:c>
    </x:row>
    <x:row r="49" ht="88" hidden="0" customHeight="1">
      <x:c r="A49" s="228" t="n">
        <x:f aca="0">Strategy!$E$3+80</x:f>
        <x:v>46401.5</x:v>
      </x:c>
      <x:c r="B49" s="229" t="s">
        <x:v>57</x:v>
      </x:c>
      <x:c r="C49" s="289" t="str">
        <x:f aca="0">SUBSTITUTE(SUBSTITUTE(SUBSTITUTE("10 min skills"&amp;CHAR(10)&amp;Strategy!I32,", B)",CHAR(10)&amp;"B)"),", C)",CHAR(10)&amp;"C)"),", Core:",CHAR(10)&amp;"Core:")</x:f>
        <x:v>10 min skills
A) Wall HSPU test: 1 clean set (cap at 5)
B) Easy wall handstand: 1 x 15 sec
C) Gentle wrist/shoulder mobility: 2 min
Core: 2 rounds</x:v>
      </x:c>
      <x:c r="D49" s="229" t="s">
        <x:v>214</x:v>
      </x:c>
      <x:c r="E49" s="229" t="n">
        <x:v>30</x:v>
      </x:c>
      <x:c r="F49" s="256"/>
      <x:c r="G49" s="256" t="s">
        <x:v>207</x:v>
      </x:c>
      <x:c r="H49" s="258" t="b">
        <x:f aca="0">FALSE()</x:f>
        <x:v>0</x:v>
      </x:c>
      <x:c r="I49" s="259" t="n">
        <x:v>5</x:v>
      </x:c>
      <x:c r="J49" s="260"/>
      <x:c r="K49" s="260"/>
      <x:c r="L49" s="260"/>
      <x:c r="M49" s="260"/>
      <x:c r="N49" s="258" t="b">
        <x:f aca="0">FALSE()</x:f>
        <x:v>0</x:v>
      </x:c>
      <x:c r="O49" s="269" t="n">
        <x:v>0.00017361111111111112</x:v>
      </x:c>
      <x:c r="P49" s="260"/>
      <x:c r="Q49" s="260"/>
      <x:c r="R49" s="260"/>
      <x:c r="S49" s="260"/>
      <x:c r="T49" s="258" t="b">
        <x:f aca="0">FALSE()</x:f>
        <x:v>0</x:v>
      </x:c>
      <x:c r="U49" s="269" t="n">
        <x:v>0.001388888888888889</x:v>
      </x:c>
      <x:c r="V49" s="260"/>
      <x:c r="W49" s="260"/>
      <x:c r="X49" s="260"/>
      <x:c r="Y49" s="260"/>
      <x:c r="Z49" s="261" t="b">
        <x:v>0</x:v>
      </x:c>
      <x:c r="AA49" s="259" t="n">
        <x:v>2</x:v>
      </x:c>
      <x:c r="AB49" s="262"/>
      <x:c r="AC49" s="287"/>
      <x:c r="AD49" s="287"/>
      <x:c r="AE49" s="287"/>
      <x:c r="AF49" s="328"/>
      <x:c r="AG49" s="328"/>
      <x:c r="AH49" s="329" t="n">
        <x:f>IF(COUNT(Scoring!H155:H157)&gt;0,MEDIAN(Scoring!H155:H157),"")</x:f>
        <x:v>100</x:v>
      </x:c>
      <x:c r="AI49" s="329" t="str">
        <x:f>IF(COUNT(Scoring!I155:I157)&gt;0,MEDIAN(Scoring!I155:I157),"")</x:f>
      </x:c>
      <x:c r="AJ49" s="340" t="n">
        <x:f>COUNT(Scoring!I155:I157)</x:f>
        <x:v>0</x:v>
      </x:c>
      <x:c r="AK49" s="340" t="n">
        <x:f>COUNT(Scoring!H155:H157)</x:f>
        <x:v>3</x:v>
      </x:c>
    </x:row>
    <x:row r="50" ht="88" hidden="0" customHeight="1">
      <x:c r="A50" s="223" t="n">
        <x:f aca="0">Strategy!$E$3+82</x:f>
        <x:v>46403.5</x:v>
      </x:c>
      <x:c r="B50" s="224" t="s">
        <x:v>61</x:v>
      </x:c>
      <x:c r="C50" s="224" t="s">
        <x:v>215</x:v>
      </x:c>
      <x:c r="D50" s="224" t="s">
        <x:v>212</x:v>
      </x:c>
      <x:c r="E50" s="224" t="n">
        <x:v>10</x:v>
      </x:c>
      <x:c r="F50" s="257"/>
      <x:c r="G50" s="257" t="s">
        <x:v>207</x:v>
      </x:c>
      <x:c r="H50" s="263" t="b">
        <x:f aca="0">FALSE()</x:f>
        <x:v>0</x:v>
      </x:c>
      <x:c r="I50" s="264" t="n">
        <x:v>0.0006944444444444445</x:v>
      </x:c>
      <x:c r="J50" s="265"/>
      <x:c r="K50" s="265"/>
      <x:c r="L50" s="265"/>
      <x:c r="M50" s="265"/>
      <x:c r="N50" s="263" t="b">
        <x:f aca="0">FALSE()</x:f>
        <x:v>0</x:v>
      </x:c>
      <x:c r="O50" s="264" t="n">
        <x:v>0.00011574074074074075</x:v>
      </x:c>
      <x:c r="P50" s="264" t="n">
        <x:v>0.00011574074074074075</x:v>
      </x:c>
      <x:c r="Q50" s="265"/>
      <x:c r="R50" s="265"/>
      <x:c r="S50" s="265"/>
      <x:c r="T50" s="263" t="b">
        <x:f aca="0">FALSE()</x:f>
        <x:v>0</x:v>
      </x:c>
      <x:c r="U50" s="264" t="n">
        <x:v>0.00011574074074074075</x:v>
      </x:c>
      <x:c r="V50" s="265"/>
      <x:c r="W50" s="265"/>
      <x:c r="X50" s="265"/>
      <x:c r="Y50" s="265"/>
      <x:c r="Z50" s="266" t="b">
        <x:v>0</x:v>
      </x:c>
      <x:c r="AA50" s="267"/>
      <x:c r="AB50" s="268"/>
      <x:c r="AC50" s="288"/>
      <x:c r="AD50" s="288"/>
      <x:c r="AE50" s="288"/>
      <x:c r="AF50" s="330"/>
      <x:c r="AG50" s="330"/>
      <x:c r="AH50" s="331" t="n">
        <x:f>IF(COUNT(Scoring!H158:H160)&gt;0,MEDIAN(Scoring!H158:H160),"")</x:f>
        <x:v>100</x:v>
      </x:c>
      <x:c r="AI50" s="331" t="str">
        <x:f>IF(COUNT(Scoring!I158:I160)&gt;0,MEDIAN(Scoring!I158:I160),"")</x:f>
      </x:c>
      <x:c r="AJ50" s="341" t="n">
        <x:f>COUNT(Scoring!I158:I160)</x:f>
        <x:v>0</x:v>
      </x:c>
      <x:c r="AK50" s="341" t="n">
        <x:f>COUNT(Scoring!H158:H160)</x:f>
        <x:v>3</x:v>
      </x:c>
    </x:row>
  </x:sheetData>
  <x:mergeCells>
    <x:mergeCell ref="H1:M1"/>
    <x:mergeCell ref="N1:S1"/>
    <x:mergeCell ref="T1:Y1"/>
    <x:mergeCell ref="Z1:AA1"/>
    <x:mergeCell ref="A1:G1"/>
    <x:mergeCell ref="AB1:AE1"/>
    <x:mergeCell ref="AF1:AK1"/>
  </x:mergeCells>
  <x:conditionalFormatting sqref="G2:G49">
    <x:cfRule type="containsText" dxfId="4" priority="2" aboveAverage="0" percent="0" bottom="0" operator="containsText" text="completed" rank="0" equalAverage="0">
      <x:formula>NOT(ISERROR(SEARCH("completed",G2)))</x:formula>
    </x:cfRule>
  </x:conditionalFormatting>
  <x:conditionalFormatting sqref="H3:H50">
    <x:cfRule type="expression" dxfId="5" priority="3">
      <x:formula>OR(H3=TRUE,H3="TRUE")</x:formula>
    </x:cfRule>
  </x:conditionalFormatting>
  <x:conditionalFormatting sqref="N3:N50">
    <x:cfRule type="expression" dxfId="6" priority="4">
      <x:formula>OR(N3=TRUE,N3="TRUE")</x:formula>
    </x:cfRule>
  </x:conditionalFormatting>
  <x:conditionalFormatting sqref="T3:T50">
    <x:cfRule type="expression" dxfId="7" priority="5">
      <x:formula>OR(T3=TRUE,T3="TRUE")</x:formula>
    </x:cfRule>
  </x:conditionalFormatting>
  <x:conditionalFormatting sqref="Z3:Z50">
    <x:cfRule type="expression" dxfId="8" priority="6">
      <x:formula>OR(Z3=TRUE,Z3="TRUE")</x:formula>
    </x:cfRule>
  </x:conditionalFormatting>
  <x:dataValidations count="8">
    <x:dataValidation type="list" errorStyle="stop" operator="between" allowBlank="0" showDropDown="0" showInputMessage="0" showErrorMessage="0" sqref="G3:G49">
      <x:formula1>"planned,in-progress,completed,incomplete,skipped,cancelled"</x:formula1>
      <x:formula2>0</x:formula2>
    </x:dataValidation>
    <x:dataValidation type="list" errorStyle="stop" operator="between" allowBlank="0" showDropDown="0" showInputMessage="0" showErrorMessage="0" sqref="B3:B133">
      <x:formula1>"A,B,Technique,Core,Empty"</x:formula1>
      <x:formula2>0</x:formula2>
    </x:dataValidation>
    <x:dataValidation type="list" sqref="H3:H50">
      <x:formula1>"TRUE,FALSE"</x:formula1>
    </x:dataValidation>
    <x:dataValidation type="list" sqref="N3:N50">
      <x:formula1>"TRUE,FALSE"</x:formula1>
    </x:dataValidation>
    <x:dataValidation type="list" sqref="T3:T50">
      <x:formula1>"TRUE,FALSE"</x:formula1>
    </x:dataValidation>
    <x:dataValidation type="list" sqref="Z3:Z50">
      <x:formula1>"TRUE,FALSE"</x:formula1>
    </x:dataValidation>
    <x:dataValidation type="whole" operator="between" sqref="AA3:AA50">
      <x:formula1>0</x:formula1>
      <x:formula2>100</x:formula2>
    </x:dataValidation>
    <x:dataValidation type="whole" operator="between" sqref="AF3:AG50">
      <x:formula1>1</x:formula1>
      <x:formula2>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96E6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2" max="12" width="95" hidden="0" customWidth="1"/>
    <x:col min="1" max="1" width="14" hidden="0" customWidth="1"/>
    <x:col min="2" max="2" width="31" hidden="0" customWidth="1"/>
    <x:col min="3" max="3" width="47" hidden="0" customWidth="1"/>
    <x:col min="4" max="4" width="14" hidden="0" customWidth="1"/>
    <x:col min="5" max="5" width="10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3" hidden="0" customWidth="1"/>
  </x:cols>
  <x:sheetData>
    <x:row r="2">
      <x:c r="A2" s="308" t="str">
        <x:v>Daily performance scoring</x:v>
      </x:c>
      <x:c r="B2" s="308"/>
      <x:c r="C2" s="308"/>
      <x:c r="D2" s="308"/>
      <x:c r="E2" s="308"/>
      <x:c r="F2" s="308"/>
      <x:c r="G2" s="308"/>
      <x:c r="H2" s="308"/>
      <x:c r="I2" s="308"/>
      <x:c r="J2" s="308"/>
    </x:row>
    <x:row r="4" ht="32" customHeight="1">
      <x:c r="A4" s="317" t="str">
        <x:v>Date</x:v>
      </x:c>
      <x:c r="B4" s="317" t="str">
        <x:v>Session</x:v>
      </x:c>
      <x:c r="C4" s="317" t="str">
        <x:v>Exercise</x:v>
      </x:c>
      <x:c r="D4" s="317" t="str">
        <x:v>Unit</x:v>
      </x:c>
      <x:c r="E4" s="317" t="str">
        <x:v>Include</x:v>
      </x:c>
      <x:c r="F4" s="317" t="str">
        <x:v>Target</x:v>
      </x:c>
      <x:c r="G4" s="317" t="str">
        <x:v>Actual</x:v>
      </x:c>
      <x:c r="H4" s="317" t="str">
        <x:v>Expected score</x:v>
      </x:c>
      <x:c r="I4" s="317" t="str">
        <x:v>Actual score</x:v>
      </x:c>
      <x:c r="J4" s="317" t="str">
        <x:v>Direction</x:v>
      </x:c>
      <x:c r="L4" s="310" t="str">
        <x:v>How scoring works</x:v>
      </x:c>
    </x:row>
    <x:row r="5" ht="24" customHeight="1">
      <x:c r="A5" s="326" t="n">
        <x:f>Daily!A3</x:f>
        <x:v>46321.5</x:v>
      </x:c>
      <x:c r="B5" s="318" t="str">
        <x:f>Daily!D3</x:f>
        <x:v>Skill A + interval circuit</x:v>
      </x:c>
      <x:c r="C5" s="318" t="str">
        <x:v>A · Scapular pull-up</x:v>
      </x:c>
      <x:c r="D5" s="318" t="str">
        <x:v>reps</x:v>
      </x:c>
      <x:c r="E5" s="320" t="b">
        <x:v>1</x:v>
      </x:c>
      <x:c r="F5" s="328" t="n">
        <x:v>15</x:v>
      </x:c>
      <x:c r="G5" s="329" t="str">
        <x:f>IF(AND(Daily!H3=TRUE,COUNT(Daily!I3,Daily!J3,Daily!K3)&gt;0),SUM(Daily!I3,Daily!J3,Daily!K3),"")</x:f>
      </x:c>
      <x:c r="H5" s="329" t="n">
        <x:f>IF(AND(E5=TRUE,ISNUMBER(F5),F5&gt;0),100,"")</x:f>
        <x:v>100</x:v>
      </x:c>
      <x:c r="I5" s="329" t="str">
        <x:f>IF(AND(ISNUMBER(H5),ISNUMBER(G5)),IF(J5="lower",IF(G5&gt;0,100*F5/G5,""),100*G5/F5),"")</x:f>
      </x:c>
      <x:c r="J5" s="321" t="str">
        <x:v>higher</x:v>
      </x:c>
      <x:c r="L5" s="309" t="str">
        <x:v>Daily performance = median of included metric scores; 100 meets target.</x:v>
      </x:c>
    </x:row>
    <x:row r="6" ht="24" customHeight="1">
      <x:c r="A6" s="327" t="n">
        <x:f>Daily!A3</x:f>
        <x:v>46321.5</x:v>
      </x:c>
      <x:c r="B6" s="322" t="str">
        <x:f>Daily!D3</x:f>
        <x:v>Skill A + interval circuit</x:v>
      </x:c>
      <x:c r="C6" s="322" t="str">
        <x:v>B · High pull (chest-to-bar intent)</x:v>
      </x:c>
      <x:c r="D6" s="322" t="str">
        <x:v>reps</x:v>
      </x:c>
      <x:c r="E6" s="324" t="b">
        <x:v>1</x:v>
      </x:c>
      <x:c r="F6" s="330" t="n">
        <x:v>9</x:v>
      </x:c>
      <x:c r="G6" s="331" t="str">
        <x:f>IF(AND(Daily!N3=TRUE,COUNT(Daily!O3,Daily!P3,Daily!Q3)&gt;0),SUM(Daily!O3,Daily!P3,Daily!Q3),"")</x:f>
      </x:c>
      <x:c r="H6" s="331" t="n">
        <x:f>IF(AND(E6=TRUE,ISNUMBER(F6),F6&gt;0),100,"")</x:f>
        <x:v>100</x:v>
      </x:c>
      <x:c r="I6" s="331" t="str">
        <x:f>IF(AND(ISNUMBER(H6),ISNUMBER(G6)),IF(J6="lower",IF(G6&gt;0,100*F6/G6,""),100*G6/F6),"")</x:f>
      </x:c>
      <x:c r="J6" s="325" t="str">
        <x:v>higher</x:v>
      </x:c>
      <x:c r="L6" s="309" t="str">
        <x:v>Targets here are explicit score inputs. Update them when changing the plan.</x:v>
      </x:c>
    </x:row>
    <x:row r="7" ht="24" customHeight="1">
      <x:c r="A7" s="326" t="n">
        <x:f>Daily!A3</x:f>
        <x:v>46321.5</x:v>
      </x:c>
      <x:c r="B7" s="318" t="str">
        <x:f>Daily!D3</x:f>
        <x:v>Skill A + interval circuit</x:v>
      </x:c>
      <x:c r="C7" s="318" t="str">
        <x:v>C · Box pistol</x:v>
      </x:c>
      <x:c r="D7" s="318" t="str">
        <x:v>reps/leg</x:v>
      </x:c>
      <x:c r="E7" s="320" t="b">
        <x:v>1</x:v>
      </x:c>
      <x:c r="F7" s="328" t="n">
        <x:v>15</x:v>
      </x:c>
      <x:c r="G7" s="329" t="str">
        <x:f>IF(AND(Daily!T3=TRUE,COUNT(Daily!U3,Daily!V3,Daily!W3)&gt;0),SUM(Daily!U3,Daily!V3,Daily!W3),"")</x:f>
      </x:c>
      <x:c r="H7" s="329" t="n">
        <x:f>IF(AND(E7=TRUE,ISNUMBER(F7),F7&gt;0),100,"")</x:f>
        <x:v>100</x:v>
      </x:c>
      <x:c r="I7" s="329" t="str">
        <x:f>IF(AND(ISNUMBER(H7),ISNUMBER(G7)),IF(J7="lower",IF(G7&gt;0,100*F7/G7,""),100*G7/F7),"")</x:f>
      </x:c>
      <x:c r="J7" s="321" t="str">
        <x:v>higher</x:v>
      </x:c>
      <x:c r="L7" s="309" t="str">
        <x:v>Higher: actual / target × 100. Lower: target / actual × 100.</x:v>
      </x:c>
    </x:row>
    <x:row r="8" ht="24" customHeight="1">
      <x:c r="A8" s="327" t="n">
        <x:f>Daily!A3</x:f>
        <x:v>46321.5</x:v>
      </x:c>
      <x:c r="B8" s="322" t="str">
        <x:f>Daily!D3</x:f>
        <x:v>Skill A + interval circuit</x:v>
      </x:c>
      <x:c r="C8" s="322" t="str">
        <x:v>Core</x:v>
      </x:c>
      <x:c r="D8" s="322" t="str">
        <x:v>rounds</x:v>
      </x:c>
      <x:c r="E8" s="324" t="b">
        <x:v>1</x:v>
      </x:c>
      <x:c r="F8" s="330" t="n">
        <x:v>5</x:v>
      </x:c>
      <x:c r="G8" s="331" t="str">
        <x:f>IF(AND(Daily!Z3=TRUE,COUNT(Daily!AA3)&gt;0),SUM(Daily!AA3),"")</x:f>
      </x:c>
      <x:c r="H8" s="331" t="n">
        <x:f>IF(AND(E8=TRUE,ISNUMBER(F8),F8&gt;0),100,"")</x:f>
        <x:v>100</x:v>
      </x:c>
      <x:c r="I8" s="331" t="str">
        <x:f>IF(AND(ISNUMBER(H8),ISNUMBER(G8)),IF(J8="lower",IF(G8&gt;0,100*F8/G8,""),100*G8/F8),"")</x:f>
      </x:c>
      <x:c r="J8" s="325" t="str">
        <x:v>higher</x:v>
      </x:c>
      <x:c r="L8" s="309" t="str">
        <x:v>Unchecked exercises and blank results stay unrecorded. Partial metrics can score.</x:v>
      </x:c>
    </x:row>
    <x:row r="9" ht="24" customHeight="1">
      <x:c r="A9" s="326" t="n">
        <x:f>Daily!A4</x:f>
        <x:v>46322.5</x:v>
      </x:c>
      <x:c r="B9" s="318" t="str">
        <x:f>Daily!D4</x:f>
        <x:v>Handstand technique</x:v>
      </x:c>
      <x:c r="C9" s="318" t="str">
        <x:v>A · Wrist/shoulder mobility</x:v>
      </x:c>
      <x:c r="D9" s="318" t="str">
        <x:v>seconds</x:v>
      </x:c>
      <x:c r="E9" s="320" t="b">
        <x:v>1</x:v>
      </x:c>
      <x:c r="F9" s="328" t="n">
        <x:v>120</x:v>
      </x:c>
      <x:c r="G9" s="329" t="str">
        <x:f>IF(AND(Daily!H4=TRUE,COUNT(Daily!I4)&gt;0),SUM(Daily!I4)*86400,"")</x:f>
      </x:c>
      <x:c r="H9" s="329" t="n">
        <x:f>IF(AND(E9=TRUE,ISNUMBER(F9),F9&gt;0),100,"")</x:f>
        <x:v>100</x:v>
      </x:c>
      <x:c r="I9" s="329" t="str">
        <x:f>IF(AND(ISNUMBER(H9),ISNUMBER(G9)),IF(J9="lower",IF(G9&gt;0,100*F9/G9,""),100*G9/F9),"")</x:f>
      </x:c>
      <x:c r="J9" s="321" t="str">
        <x:v>higher</x:v>
      </x:c>
      <x:c r="L9" s="309" t="str">
        <x:v>Daily: plan intensity 1–5; optionally rate felt effort 1–5 after training.</x:v>
      </x:c>
    </x:row>
    <x:row r="10" ht="24" customHeight="1">
      <x:c r="A10" s="327" t="n">
        <x:f>Daily!A4</x:f>
        <x:v>46322.5</x:v>
      </x:c>
      <x:c r="B10" s="322" t="str">
        <x:f>Daily!D4</x:f>
        <x:v>Handstand technique</x:v>
      </x:c>
      <x:c r="C10" s="322" t="str">
        <x:v>B · Easy chest-to-wall hold</x:v>
      </x:c>
      <x:c r="D10" s="322" t="str">
        <x:v>seconds</x:v>
      </x:c>
      <x:c r="E10" s="324" t="b">
        <x:v>1</x:v>
      </x:c>
      <x:c r="F10" s="330" t="n">
        <x:v>45</x:v>
      </x:c>
      <x:c r="G10" s="331" t="str">
        <x:f>IF(AND(Daily!N4=TRUE,COUNT(Daily!O4,Daily!P4,Daily!Q4)&gt;0),SUM(Daily!O4,Daily!P4,Daily!Q4)*86400,"")</x:f>
      </x:c>
      <x:c r="H10" s="331" t="n">
        <x:f>IF(AND(E10=TRUE,ISNUMBER(F10),F10&gt;0),100,"")</x:f>
        <x:v>100</x:v>
      </x:c>
      <x:c r="I10" s="331" t="str">
        <x:f>IF(AND(ISNUMBER(H10),ISNUMBER(G10)),IF(J10="lower",IF(G10&gt;0,100*F10/G10,""),100*G10/F10),"")</x:f>
      </x:c>
      <x:c r="J10" s="325" t="str">
        <x:v>higher</x:v>
      </x:c>
      <x:c r="L10" s="309" t="str">
        <x:v>Green = editable. Neutral = formulas. Nothing here proves session completion.</x:v>
      </x:c>
    </x:row>
    <x:row r="11" ht="24" customHeight="1">
      <x:c r="A11" s="326" t="n">
        <x:f>Daily!A4</x:f>
        <x:v>46322.5</x:v>
      </x:c>
      <x:c r="B11" s="318" t="str">
        <x:f>Daily!D4</x:f>
        <x:v>Handstand technique</x:v>
      </x:c>
      <x:c r="C11" s="318" t="str">
        <x:v>C · Wall handstand line drill</x:v>
      </x:c>
      <x:c r="D11" s="318" t="str">
        <x:v>seconds</x:v>
      </x:c>
      <x:c r="E11" s="320" t="b">
        <x:v>1</x:v>
      </x:c>
      <x:c r="F11" s="328" t="n">
        <x:v>30</x:v>
      </x:c>
      <x:c r="G11" s="329" t="str">
        <x:f>IF(AND(Daily!T4=TRUE,COUNT(Daily!U4,Daily!V4)&gt;0),SUM(Daily!U4,Daily!V4)*86400,"")</x:f>
      </x:c>
      <x:c r="H11" s="329" t="n">
        <x:f>IF(AND(E11=TRUE,ISNUMBER(F11),F11&gt;0),100,"")</x:f>
        <x:v>100</x:v>
      </x:c>
      <x:c r="I11" s="329" t="str">
        <x:f>IF(AND(ISNUMBER(H11),ISNUMBER(G11)),IF(J11="lower",IF(G11&gt;0,100*F11/G11,""),100*G11/F11),"")</x:f>
      </x:c>
      <x:c r="J11" s="321" t="str">
        <x:v>higher</x:v>
      </x:c>
      <x:c r="L11" s="309" t="str">
        <x:v>Lower-direction metrics with an actual zero cannot have a finite ratio.</x:v>
      </x:c>
    </x:row>
    <x:row r="12" ht="24" customHeight="1">
      <x:c r="A12" s="327" t="n">
        <x:f>Daily!A5</x:f>
        <x:v>46324.5</x:v>
      </x:c>
      <x:c r="B12" s="322" t="str">
        <x:f>Daily!D5</x:f>
        <x:v>Skill B + circuit</x:v>
      </x:c>
      <x:c r="C12" s="322" t="str">
        <x:v>A · Chest-to-wall handstand</x:v>
      </x:c>
      <x:c r="D12" s="322" t="str">
        <x:v>seconds</x:v>
      </x:c>
      <x:c r="E12" s="324" t="b">
        <x:v>1</x:v>
      </x:c>
      <x:c r="F12" s="330" t="n">
        <x:v>60</x:v>
      </x:c>
      <x:c r="G12" s="331" t="str">
        <x:f>IF(AND(Daily!H5=TRUE,COUNT(Daily!I5,Daily!J5,Daily!K5)&gt;0),SUM(Daily!I5,Daily!J5,Daily!K5)*86400,"")</x:f>
      </x:c>
      <x:c r="H12" s="331" t="n">
        <x:f>IF(AND(E12=TRUE,ISNUMBER(F12),F12&gt;0),100,"")</x:f>
        <x:v>100</x:v>
      </x:c>
      <x:c r="I12" s="331" t="str">
        <x:f>IF(AND(ISNUMBER(H12),ISNUMBER(G12)),IF(J12="lower",IF(G12&gt;0,100*F12/G12,""),100*G12/F12),"")</x:f>
      </x:c>
      <x:c r="J12" s="325" t="str">
        <x:v>higher</x:v>
      </x:c>
    </x:row>
    <x:row r="13" ht="24" customHeight="1">
      <x:c r="A13" s="326" t="n">
        <x:f>Daily!A5</x:f>
        <x:v>46324.5</x:v>
      </x:c>
      <x:c r="B13" s="318" t="str">
        <x:f>Daily!D5</x:f>
        <x:v>Skill B + circuit</x:v>
      </x:c>
      <x:c r="C13" s="318" t="str">
        <x:v>B · Pike push-up</x:v>
      </x:c>
      <x:c r="D13" s="318" t="str">
        <x:v>reps</x:v>
      </x:c>
      <x:c r="E13" s="320" t="b">
        <x:v>1</x:v>
      </x:c>
      <x:c r="F13" s="328" t="n">
        <x:v>15</x:v>
      </x:c>
      <x:c r="G13" s="329" t="str">
        <x:f>IF(AND(Daily!N5=TRUE,COUNT(Daily!O5,Daily!P5,Daily!Q5)&gt;0),SUM(Daily!O5,Daily!P5,Daily!Q5),"")</x:f>
      </x:c>
      <x:c r="H13" s="329" t="n">
        <x:f>IF(AND(E13=TRUE,ISNUMBER(F13),F13&gt;0),100,"")</x:f>
        <x:v>100</x:v>
      </x:c>
      <x:c r="I13" s="329" t="str">
        <x:f>IF(AND(ISNUMBER(H13),ISNUMBER(G13)),IF(J13="lower",IF(G13&gt;0,100*F13/G13,""),100*G13/F13),"")</x:f>
      </x:c>
      <x:c r="J13" s="321" t="str">
        <x:v>higher</x:v>
      </x:c>
    </x:row>
    <x:row r="14" ht="24" customHeight="1">
      <x:c r="A14" s="327" t="n">
        <x:f>Daily!A5</x:f>
        <x:v>46324.5</x:v>
      </x:c>
      <x:c r="B14" s="322" t="str">
        <x:f>Daily!D5</x:f>
        <x:v>Skill B + circuit</x:v>
      </x:c>
      <x:c r="C14" s="322" t="str">
        <x:v>C · Box pistol</x:v>
      </x:c>
      <x:c r="D14" s="322" t="str">
        <x:v>reps/leg</x:v>
      </x:c>
      <x:c r="E14" s="324" t="b">
        <x:v>1</x:v>
      </x:c>
      <x:c r="F14" s="330" t="n">
        <x:v>15</x:v>
      </x:c>
      <x:c r="G14" s="331" t="str">
        <x:f>IF(AND(Daily!T5=TRUE,COUNT(Daily!U5,Daily!V5,Daily!W5)&gt;0),SUM(Daily!U5,Daily!V5,Daily!W5),"")</x:f>
      </x:c>
      <x:c r="H14" s="331" t="n">
        <x:f>IF(AND(E14=TRUE,ISNUMBER(F14),F14&gt;0),100,"")</x:f>
        <x:v>100</x:v>
      </x:c>
      <x:c r="I14" s="331" t="str">
        <x:f>IF(AND(ISNUMBER(H14),ISNUMBER(G14)),IF(J14="lower",IF(G14&gt;0,100*F14/G14,""),100*G14/F14),"")</x:f>
      </x:c>
      <x:c r="J14" s="325" t="str">
        <x:v>higher</x:v>
      </x:c>
    </x:row>
    <x:row r="15" ht="24" customHeight="1">
      <x:c r="A15" s="326" t="n">
        <x:f>Daily!A5</x:f>
        <x:v>46324.5</x:v>
      </x:c>
      <x:c r="B15" s="318" t="str">
        <x:f>Daily!D5</x:f>
        <x:v>Skill B + circuit</x:v>
      </x:c>
      <x:c r="C15" s="318" t="str">
        <x:v>Core</x:v>
      </x:c>
      <x:c r="D15" s="318" t="str">
        <x:v>rounds</x:v>
      </x:c>
      <x:c r="E15" s="320" t="b">
        <x:v>1</x:v>
      </x:c>
      <x:c r="F15" s="328" t="n">
        <x:v>5</x:v>
      </x:c>
      <x:c r="G15" s="329" t="str">
        <x:f>IF(AND(Daily!Z5=TRUE,COUNT(Daily!AA5)&gt;0),SUM(Daily!AA5),"")</x:f>
      </x:c>
      <x:c r="H15" s="329" t="n">
        <x:f>IF(AND(E15=TRUE,ISNUMBER(F15),F15&gt;0),100,"")</x:f>
        <x:v>100</x:v>
      </x:c>
      <x:c r="I15" s="329" t="str">
        <x:f>IF(AND(ISNUMBER(H15),ISNUMBER(G15)),IF(J15="lower",IF(G15&gt;0,100*F15/G15,""),100*G15/F15),"")</x:f>
      </x:c>
      <x:c r="J15" s="321" t="str">
        <x:v>higher</x:v>
      </x:c>
    </x:row>
    <x:row r="16" ht="24" customHeight="1">
      <x:c r="A16" s="327" t="n">
        <x:f>Daily!A6</x:f>
        <x:v>46326.5</x:v>
      </x:c>
      <x:c r="B16" s="322" t="str">
        <x:f>Daily!D6</x:f>
        <x:v>Skill micro-session</x:v>
      </x:c>
      <x:c r="C16" s="322" t="str">
        <x:v>A · Wrist/shoulder mobility</x:v>
      </x:c>
      <x:c r="D16" s="322" t="str">
        <x:v>seconds</x:v>
      </x:c>
      <x:c r="E16" s="324" t="b">
        <x:v>1</x:v>
      </x:c>
      <x:c r="F16" s="330" t="n">
        <x:v>120</x:v>
      </x:c>
      <x:c r="G16" s="331" t="str">
        <x:f>IF(AND(Daily!H6=TRUE,COUNT(Daily!I6)&gt;0),SUM(Daily!I6)*86400,"")</x:f>
      </x:c>
      <x:c r="H16" s="331" t="n">
        <x:f>IF(AND(E16=TRUE,ISNUMBER(F16),F16&gt;0),100,"")</x:f>
        <x:v>100</x:v>
      </x:c>
      <x:c r="I16" s="331" t="str">
        <x:f>IF(AND(ISNUMBER(H16),ISNUMBER(G16)),IF(J16="lower",IF(G16&gt;0,100*F16/G16,""),100*G16/F16),"")</x:f>
      </x:c>
      <x:c r="J16" s="325" t="str">
        <x:v>higher</x:v>
      </x:c>
    </x:row>
    <x:row r="17" ht="24" customHeight="1">
      <x:c r="A17" s="326" t="n">
        <x:f>Daily!A6</x:f>
        <x:v>46326.5</x:v>
      </x:c>
      <x:c r="B17" s="318" t="str">
        <x:f>Daily!D6</x:f>
        <x:v>Skill micro-session</x:v>
      </x:c>
      <x:c r="C17" s="318" t="str">
        <x:v>B · Easy chest-to-wall hold</x:v>
      </x:c>
      <x:c r="D17" s="318" t="str">
        <x:v>seconds</x:v>
      </x:c>
      <x:c r="E17" s="320" t="b">
        <x:v>1</x:v>
      </x:c>
      <x:c r="F17" s="328" t="n">
        <x:v>45</x:v>
      </x:c>
      <x:c r="G17" s="329" t="str">
        <x:f>IF(AND(Daily!N6=TRUE,COUNT(Daily!O6,Daily!P6,Daily!Q6)&gt;0),SUM(Daily!O6,Daily!P6,Daily!Q6)*86400,"")</x:f>
      </x:c>
      <x:c r="H17" s="329" t="n">
        <x:f>IF(AND(E17=TRUE,ISNUMBER(F17),F17&gt;0),100,"")</x:f>
        <x:v>100</x:v>
      </x:c>
      <x:c r="I17" s="329" t="str">
        <x:f>IF(AND(ISNUMBER(H17),ISNUMBER(G17)),IF(J17="lower",IF(G17&gt;0,100*F17/G17,""),100*G17/F17),"")</x:f>
      </x:c>
      <x:c r="J17" s="321" t="str">
        <x:v>higher</x:v>
      </x:c>
    </x:row>
    <x:row r="18" ht="24" customHeight="1">
      <x:c r="A18" s="327" t="n">
        <x:f>Daily!A6</x:f>
        <x:v>46326.5</x:v>
      </x:c>
      <x:c r="B18" s="322" t="str">
        <x:f>Daily!D6</x:f>
        <x:v>Skill micro-session</x:v>
      </x:c>
      <x:c r="C18" s="322" t="str">
        <x:v>C · Wall handstand line drill</x:v>
      </x:c>
      <x:c r="D18" s="322" t="str">
        <x:v>seconds</x:v>
      </x:c>
      <x:c r="E18" s="324" t="b">
        <x:v>1</x:v>
      </x:c>
      <x:c r="F18" s="330" t="n">
        <x:v>45</x:v>
      </x:c>
      <x:c r="G18" s="331" t="str">
        <x:f>IF(AND(Daily!T6=TRUE,COUNT(Daily!U6,Daily!V6,Daily!W6)&gt;0),SUM(Daily!U6,Daily!V6,Daily!W6)*86400,"")</x:f>
      </x:c>
      <x:c r="H18" s="331" t="n">
        <x:f>IF(AND(E18=TRUE,ISNUMBER(F18),F18&gt;0),100,"")</x:f>
        <x:v>100</x:v>
      </x:c>
      <x:c r="I18" s="331" t="str">
        <x:f>IF(AND(ISNUMBER(H18),ISNUMBER(G18)),IF(J18="lower",IF(G18&gt;0,100*F18/G18,""),100*G18/F18),"")</x:f>
      </x:c>
      <x:c r="J18" s="325" t="str">
        <x:v>higher</x:v>
      </x:c>
    </x:row>
    <x:row r="19" ht="24" customHeight="1">
      <x:c r="A19" s="326" t="n">
        <x:f>Daily!A7</x:f>
        <x:v>46328.5</x:v>
      </x:c>
      <x:c r="B19" s="318" t="str">
        <x:f>Daily!D7</x:f>
        <x:v>Skill A + interval circuit</x:v>
      </x:c>
      <x:c r="C19" s="318" t="str">
        <x:v>A · Band transition drill</x:v>
      </x:c>
      <x:c r="D19" s="318" t="str">
        <x:v>reps</x:v>
      </x:c>
      <x:c r="E19" s="320" t="b">
        <x:v>1</x:v>
      </x:c>
      <x:c r="F19" s="328" t="n">
        <x:v>9</x:v>
      </x:c>
      <x:c r="G19" s="329" t="str">
        <x:f>IF(AND(Daily!H7=TRUE,COUNT(Daily!I7,Daily!J7,Daily!K7)&gt;0),SUM(Daily!I7,Daily!J7,Daily!K7),"")</x:f>
      </x:c>
      <x:c r="H19" s="329" t="n">
        <x:f>IF(AND(E19=TRUE,ISNUMBER(F19),F19&gt;0),100,"")</x:f>
        <x:v>100</x:v>
      </x:c>
      <x:c r="I19" s="329" t="str">
        <x:f>IF(AND(ISNUMBER(H19),ISNUMBER(G19)),IF(J19="lower",IF(G19&gt;0,100*F19/G19,""),100*G19/F19),"")</x:f>
      </x:c>
      <x:c r="J19" s="321" t="str">
        <x:v>higher</x:v>
      </x:c>
    </x:row>
    <x:row r="20" ht="24" customHeight="1">
      <x:c r="A20" s="327" t="n">
        <x:f>Daily!A7</x:f>
        <x:v>46328.5</x:v>
      </x:c>
      <x:c r="B20" s="322" t="str">
        <x:f>Daily!D7</x:f>
        <x:v>Skill A + interval circuit</x:v>
      </x:c>
      <x:c r="C20" s="322" t="str">
        <x:v>B · High pull</x:v>
      </x:c>
      <x:c r="D20" s="322" t="str">
        <x:v>reps</x:v>
      </x:c>
      <x:c r="E20" s="324" t="b">
        <x:v>1</x:v>
      </x:c>
      <x:c r="F20" s="330" t="n">
        <x:v>9</x:v>
      </x:c>
      <x:c r="G20" s="331" t="str">
        <x:f>IF(AND(Daily!N7=TRUE,COUNT(Daily!O7,Daily!P7,Daily!Q7)&gt;0),SUM(Daily!O7,Daily!P7,Daily!Q7),"")</x:f>
      </x:c>
      <x:c r="H20" s="331" t="n">
        <x:f>IF(AND(E20=TRUE,ISNUMBER(F20),F20&gt;0),100,"")</x:f>
        <x:v>100</x:v>
      </x:c>
      <x:c r="I20" s="331" t="str">
        <x:f>IF(AND(ISNUMBER(H20),ISNUMBER(G20)),IF(J20="lower",IF(G20&gt;0,100*F20/G20,""),100*G20/F20),"")</x:f>
      </x:c>
      <x:c r="J20" s="325" t="str">
        <x:v>higher</x:v>
      </x:c>
    </x:row>
    <x:row r="21" ht="24" customHeight="1">
      <x:c r="A21" s="326" t="n">
        <x:f>Daily!A7</x:f>
        <x:v>46328.5</x:v>
      </x:c>
      <x:c r="B21" s="318" t="str">
        <x:f>Daily!D7</x:f>
        <x:v>Skill A + interval circuit</x:v>
      </x:c>
      <x:c r="C21" s="318" t="str">
        <x:v>C · Lower-box pistol with counterweight</x:v>
      </x:c>
      <x:c r="D21" s="318" t="str">
        <x:v>reps/leg</x:v>
      </x:c>
      <x:c r="E21" s="320" t="b">
        <x:v>1</x:v>
      </x:c>
      <x:c r="F21" s="328" t="n">
        <x:v>12</x:v>
      </x:c>
      <x:c r="G21" s="329" t="str">
        <x:f>IF(AND(Daily!T7=TRUE,COUNT(Daily!U7,Daily!V7,Daily!W7)&gt;0),SUM(Daily!U7,Daily!V7,Daily!W7),"")</x:f>
      </x:c>
      <x:c r="H21" s="329" t="n">
        <x:f>IF(AND(E21=TRUE,ISNUMBER(F21),F21&gt;0),100,"")</x:f>
        <x:v>100</x:v>
      </x:c>
      <x:c r="I21" s="329" t="str">
        <x:f>IF(AND(ISNUMBER(H21),ISNUMBER(G21)),IF(J21="lower",IF(G21&gt;0,100*F21/G21,""),100*G21/F21),"")</x:f>
      </x:c>
      <x:c r="J21" s="321" t="str">
        <x:v>higher</x:v>
      </x:c>
    </x:row>
    <x:row r="22" ht="24" customHeight="1">
      <x:c r="A22" s="327" t="n">
        <x:f>Daily!A7</x:f>
        <x:v>46328.5</x:v>
      </x:c>
      <x:c r="B22" s="322" t="str">
        <x:f>Daily!D7</x:f>
        <x:v>Skill A + interval circuit</x:v>
      </x:c>
      <x:c r="C22" s="322" t="str">
        <x:v>Core</x:v>
      </x:c>
      <x:c r="D22" s="322" t="str">
        <x:v>rounds</x:v>
      </x:c>
      <x:c r="E22" s="324" t="b">
        <x:v>1</x:v>
      </x:c>
      <x:c r="F22" s="330" t="n">
        <x:v>5</x:v>
      </x:c>
      <x:c r="G22" s="331" t="str">
        <x:f>IF(AND(Daily!Z7=TRUE,COUNT(Daily!AA7)&gt;0),SUM(Daily!AA7),"")</x:f>
      </x:c>
      <x:c r="H22" s="331" t="n">
        <x:f>IF(AND(E22=TRUE,ISNUMBER(F22),F22&gt;0),100,"")</x:f>
        <x:v>100</x:v>
      </x:c>
      <x:c r="I22" s="331" t="str">
        <x:f>IF(AND(ISNUMBER(H22),ISNUMBER(G22)),IF(J22="lower",IF(G22&gt;0,100*F22/G22,""),100*G22/F22),"")</x:f>
      </x:c>
      <x:c r="J22" s="325" t="str">
        <x:v>higher</x:v>
      </x:c>
    </x:row>
    <x:row r="23" ht="24" customHeight="1">
      <x:c r="A23" s="326" t="n">
        <x:f>Daily!A8</x:f>
        <x:v>46329.5</x:v>
      </x:c>
      <x:c r="B23" s="318" t="str">
        <x:f>Daily!D8</x:f>
        <x:v>Handstand technique</x:v>
      </x:c>
      <x:c r="C23" s="318" t="str">
        <x:v>A · Wrist/shoulder mobility</x:v>
      </x:c>
      <x:c r="D23" s="318" t="str">
        <x:v>seconds</x:v>
      </x:c>
      <x:c r="E23" s="320" t="b">
        <x:v>1</x:v>
      </x:c>
      <x:c r="F23" s="328" t="n">
        <x:v>120</x:v>
      </x:c>
      <x:c r="G23" s="329" t="str">
        <x:f>IF(AND(Daily!H8=TRUE,COUNT(Daily!I8)&gt;0),SUM(Daily!I8)*86400,"")</x:f>
      </x:c>
      <x:c r="H23" s="329" t="n">
        <x:f>IF(AND(E23=TRUE,ISNUMBER(F23),F23&gt;0),100,"")</x:f>
        <x:v>100</x:v>
      </x:c>
      <x:c r="I23" s="329" t="str">
        <x:f>IF(AND(ISNUMBER(H23),ISNUMBER(G23)),IF(J23="lower",IF(G23&gt;0,100*F23/G23,""),100*G23/F23),"")</x:f>
      </x:c>
      <x:c r="J23" s="321" t="str">
        <x:v>higher</x:v>
      </x:c>
    </x:row>
    <x:row r="24" ht="24" customHeight="1">
      <x:c r="A24" s="327" t="n">
        <x:f>Daily!A8</x:f>
        <x:v>46329.5</x:v>
      </x:c>
      <x:c r="B24" s="322" t="str">
        <x:f>Daily!D8</x:f>
        <x:v>Handstand technique</x:v>
      </x:c>
      <x:c r="C24" s="322" t="str">
        <x:v>B · Easy chest-to-wall hold</x:v>
      </x:c>
      <x:c r="D24" s="322" t="str">
        <x:v>seconds</x:v>
      </x:c>
      <x:c r="E24" s="324" t="b">
        <x:v>1</x:v>
      </x:c>
      <x:c r="F24" s="330" t="n">
        <x:v>45</x:v>
      </x:c>
      <x:c r="G24" s="331" t="str">
        <x:f>IF(AND(Daily!N8=TRUE,COUNT(Daily!O8,Daily!P8,Daily!Q8)&gt;0),SUM(Daily!O8,Daily!P8,Daily!Q8)*86400,"")</x:f>
      </x:c>
      <x:c r="H24" s="331" t="n">
        <x:f>IF(AND(E24=TRUE,ISNUMBER(F24),F24&gt;0),100,"")</x:f>
        <x:v>100</x:v>
      </x:c>
      <x:c r="I24" s="331" t="str">
        <x:f>IF(AND(ISNUMBER(H24),ISNUMBER(G24)),IF(J24="lower",IF(G24&gt;0,100*F24/G24,""),100*G24/F24),"")</x:f>
      </x:c>
      <x:c r="J24" s="325" t="str">
        <x:v>higher</x:v>
      </x:c>
    </x:row>
    <x:row r="25" ht="24" customHeight="1">
      <x:c r="A25" s="326" t="n">
        <x:f>Daily!A8</x:f>
        <x:v>46329.5</x:v>
      </x:c>
      <x:c r="B25" s="318" t="str">
        <x:f>Daily!D8</x:f>
        <x:v>Handstand technique</x:v>
      </x:c>
      <x:c r="C25" s="318" t="str">
        <x:v>C · Wall handstand line drill</x:v>
      </x:c>
      <x:c r="D25" s="318" t="str">
        <x:v>seconds</x:v>
      </x:c>
      <x:c r="E25" s="320" t="b">
        <x:v>1</x:v>
      </x:c>
      <x:c r="F25" s="328" t="n">
        <x:v>30</x:v>
      </x:c>
      <x:c r="G25" s="329" t="str">
        <x:f>IF(AND(Daily!T8=TRUE,COUNT(Daily!U8,Daily!V8)&gt;0),SUM(Daily!U8,Daily!V8)*86400,"")</x:f>
      </x:c>
      <x:c r="H25" s="329" t="n">
        <x:f>IF(AND(E25=TRUE,ISNUMBER(F25),F25&gt;0),100,"")</x:f>
        <x:v>100</x:v>
      </x:c>
      <x:c r="I25" s="329" t="str">
        <x:f>IF(AND(ISNUMBER(H25),ISNUMBER(G25)),IF(J25="lower",IF(G25&gt;0,100*F25/G25,""),100*G25/F25),"")</x:f>
      </x:c>
      <x:c r="J25" s="321" t="str">
        <x:v>higher</x:v>
      </x:c>
    </x:row>
    <x:row r="26" ht="24" customHeight="1">
      <x:c r="A26" s="327" t="n">
        <x:f>Daily!A9</x:f>
        <x:v>46331.5</x:v>
      </x:c>
      <x:c r="B26" s="322" t="str">
        <x:f>Daily!D9</x:f>
        <x:v>Skill B + circuit</x:v>
      </x:c>
      <x:c r="C26" s="322" t="str">
        <x:v>A · Wall handstand</x:v>
      </x:c>
      <x:c r="D26" s="322" t="str">
        <x:v>seconds</x:v>
      </x:c>
      <x:c r="E26" s="324" t="b">
        <x:v>1</x:v>
      </x:c>
      <x:c r="F26" s="330" t="n">
        <x:v>75</x:v>
      </x:c>
      <x:c r="G26" s="331" t="str">
        <x:f>IF(AND(Daily!H9=TRUE,COUNT(Daily!I9,Daily!J9,Daily!K9)&gt;0),SUM(Daily!I9,Daily!J9,Daily!K9)*86400,"")</x:f>
      </x:c>
      <x:c r="H26" s="331" t="n">
        <x:f>IF(AND(E26=TRUE,ISNUMBER(F26),F26&gt;0),100,"")</x:f>
        <x:v>100</x:v>
      </x:c>
      <x:c r="I26" s="331" t="str">
        <x:f>IF(AND(ISNUMBER(H26),ISNUMBER(G26)),IF(J26="lower",IF(G26&gt;0,100*F26/G26,""),100*G26/F26),"")</x:f>
      </x:c>
      <x:c r="J26" s="325" t="str">
        <x:v>higher</x:v>
      </x:c>
    </x:row>
    <x:row r="27" ht="24" customHeight="1">
      <x:c r="A27" s="326" t="n">
        <x:f>Daily!A9</x:f>
        <x:v>46331.5</x:v>
      </x:c>
      <x:c r="B27" s="318" t="str">
        <x:f>Daily!D9</x:f>
        <x:v>Skill B + circuit</x:v>
      </x:c>
      <x:c r="C27" s="318" t="str">
        <x:v>B · Elevated pike push-up</x:v>
      </x:c>
      <x:c r="D27" s="318" t="str">
        <x:v>reps</x:v>
      </x:c>
      <x:c r="E27" s="320" t="b">
        <x:v>1</x:v>
      </x:c>
      <x:c r="F27" s="328" t="n">
        <x:v>12</x:v>
      </x:c>
      <x:c r="G27" s="329" t="str">
        <x:f>IF(AND(Daily!N9=TRUE,COUNT(Daily!O9,Daily!P9,Daily!Q9)&gt;0),SUM(Daily!O9,Daily!P9,Daily!Q9),"")</x:f>
      </x:c>
      <x:c r="H27" s="329" t="n">
        <x:f>IF(AND(E27=TRUE,ISNUMBER(F27),F27&gt;0),100,"")</x:f>
        <x:v>100</x:v>
      </x:c>
      <x:c r="I27" s="329" t="str">
        <x:f>IF(AND(ISNUMBER(H27),ISNUMBER(G27)),IF(J27="lower",IF(G27&gt;0,100*F27/G27,""),100*G27/F27),"")</x:f>
      </x:c>
      <x:c r="J27" s="321" t="str">
        <x:v>higher</x:v>
      </x:c>
    </x:row>
    <x:row r="28" ht="24" customHeight="1">
      <x:c r="A28" s="327" t="n">
        <x:f>Daily!A9</x:f>
        <x:v>46331.5</x:v>
      </x:c>
      <x:c r="B28" s="322" t="str">
        <x:f>Daily!D9</x:f>
        <x:v>Skill B + circuit</x:v>
      </x:c>
      <x:c r="C28" s="322" t="str">
        <x:v>C · Lower-box pistol with counterweight</x:v>
      </x:c>
      <x:c r="D28" s="322" t="str">
        <x:v>reps/leg</x:v>
      </x:c>
      <x:c r="E28" s="324" t="b">
        <x:v>1</x:v>
      </x:c>
      <x:c r="F28" s="330" t="n">
        <x:v>12</x:v>
      </x:c>
      <x:c r="G28" s="331" t="str">
        <x:f>IF(AND(Daily!T9=TRUE,COUNT(Daily!U9,Daily!V9,Daily!W9)&gt;0),SUM(Daily!U9,Daily!V9,Daily!W9),"")</x:f>
      </x:c>
      <x:c r="H28" s="331" t="n">
        <x:f>IF(AND(E28=TRUE,ISNUMBER(F28),F28&gt;0),100,"")</x:f>
        <x:v>100</x:v>
      </x:c>
      <x:c r="I28" s="331" t="str">
        <x:f>IF(AND(ISNUMBER(H28),ISNUMBER(G28)),IF(J28="lower",IF(G28&gt;0,100*F28/G28,""),100*G28/F28),"")</x:f>
      </x:c>
      <x:c r="J28" s="325" t="str">
        <x:v>higher</x:v>
      </x:c>
    </x:row>
    <x:row r="29" ht="24" customHeight="1">
      <x:c r="A29" s="326" t="n">
        <x:f>Daily!A9</x:f>
        <x:v>46331.5</x:v>
      </x:c>
      <x:c r="B29" s="318" t="str">
        <x:f>Daily!D9</x:f>
        <x:v>Skill B + circuit</x:v>
      </x:c>
      <x:c r="C29" s="318" t="str">
        <x:v>Core</x:v>
      </x:c>
      <x:c r="D29" s="318" t="str">
        <x:v>rounds</x:v>
      </x:c>
      <x:c r="E29" s="320" t="b">
        <x:v>1</x:v>
      </x:c>
      <x:c r="F29" s="328" t="n">
        <x:v>5</x:v>
      </x:c>
      <x:c r="G29" s="329" t="str">
        <x:f>IF(AND(Daily!Z9=TRUE,COUNT(Daily!AA9)&gt;0),SUM(Daily!AA9),"")</x:f>
      </x:c>
      <x:c r="H29" s="329" t="n">
        <x:f>IF(AND(E29=TRUE,ISNUMBER(F29),F29&gt;0),100,"")</x:f>
        <x:v>100</x:v>
      </x:c>
      <x:c r="I29" s="329" t="str">
        <x:f>IF(AND(ISNUMBER(H29),ISNUMBER(G29)),IF(J29="lower",IF(G29&gt;0,100*F29/G29,""),100*G29/F29),"")</x:f>
      </x:c>
      <x:c r="J29" s="321" t="str">
        <x:v>higher</x:v>
      </x:c>
    </x:row>
    <x:row r="30" ht="24" customHeight="1">
      <x:c r="A30" s="327" t="n">
        <x:f>Daily!A10</x:f>
        <x:v>46333.5</x:v>
      </x:c>
      <x:c r="B30" s="322" t="str">
        <x:f>Daily!D10</x:f>
        <x:v>Skill micro-session</x:v>
      </x:c>
      <x:c r="C30" s="322" t="str">
        <x:v>A · Wrist/shoulder mobility</x:v>
      </x:c>
      <x:c r="D30" s="322" t="str">
        <x:v>seconds</x:v>
      </x:c>
      <x:c r="E30" s="324" t="b">
        <x:v>1</x:v>
      </x:c>
      <x:c r="F30" s="330" t="n">
        <x:v>120</x:v>
      </x:c>
      <x:c r="G30" s="331" t="str">
        <x:f>IF(AND(Daily!H10=TRUE,COUNT(Daily!I10)&gt;0),SUM(Daily!I10)*86400,"")</x:f>
      </x:c>
      <x:c r="H30" s="331" t="n">
        <x:f>IF(AND(E30=TRUE,ISNUMBER(F30),F30&gt;0),100,"")</x:f>
        <x:v>100</x:v>
      </x:c>
      <x:c r="I30" s="331" t="str">
        <x:f>IF(AND(ISNUMBER(H30),ISNUMBER(G30)),IF(J30="lower",IF(G30&gt;0,100*F30/G30,""),100*G30/F30),"")</x:f>
      </x:c>
      <x:c r="J30" s="325" t="str">
        <x:v>higher</x:v>
      </x:c>
    </x:row>
    <x:row r="31" ht="24" customHeight="1">
      <x:c r="A31" s="326" t="n">
        <x:f>Daily!A10</x:f>
        <x:v>46333.5</x:v>
      </x:c>
      <x:c r="B31" s="318" t="str">
        <x:f>Daily!D10</x:f>
        <x:v>Skill micro-session</x:v>
      </x:c>
      <x:c r="C31" s="318" t="str">
        <x:v>B · Easy chest-to-wall hold</x:v>
      </x:c>
      <x:c r="D31" s="318" t="str">
        <x:v>seconds</x:v>
      </x:c>
      <x:c r="E31" s="320" t="b">
        <x:v>1</x:v>
      </x:c>
      <x:c r="F31" s="328" t="n">
        <x:v>45</x:v>
      </x:c>
      <x:c r="G31" s="329" t="str">
        <x:f>IF(AND(Daily!N10=TRUE,COUNT(Daily!O10,Daily!P10,Daily!Q10)&gt;0),SUM(Daily!O10,Daily!P10,Daily!Q10)*86400,"")</x:f>
      </x:c>
      <x:c r="H31" s="329" t="n">
        <x:f>IF(AND(E31=TRUE,ISNUMBER(F31),F31&gt;0),100,"")</x:f>
        <x:v>100</x:v>
      </x:c>
      <x:c r="I31" s="329" t="str">
        <x:f>IF(AND(ISNUMBER(H31),ISNUMBER(G31)),IF(J31="lower",IF(G31&gt;0,100*F31/G31,""),100*G31/F31),"")</x:f>
      </x:c>
      <x:c r="J31" s="321" t="str">
        <x:v>higher</x:v>
      </x:c>
    </x:row>
    <x:row r="32" ht="24" customHeight="1">
      <x:c r="A32" s="327" t="n">
        <x:f>Daily!A10</x:f>
        <x:v>46333.5</x:v>
      </x:c>
      <x:c r="B32" s="322" t="str">
        <x:f>Daily!D10</x:f>
        <x:v>Skill micro-session</x:v>
      </x:c>
      <x:c r="C32" s="322" t="str">
        <x:v>C · Wall handstand line drill</x:v>
      </x:c>
      <x:c r="D32" s="322" t="str">
        <x:v>seconds</x:v>
      </x:c>
      <x:c r="E32" s="324" t="b">
        <x:v>1</x:v>
      </x:c>
      <x:c r="F32" s="330" t="n">
        <x:v>45</x:v>
      </x:c>
      <x:c r="G32" s="331" t="str">
        <x:f>IF(AND(Daily!T10=TRUE,COUNT(Daily!U10,Daily!V10,Daily!W10)&gt;0),SUM(Daily!U10,Daily!V10,Daily!W10)*86400,"")</x:f>
      </x:c>
      <x:c r="H32" s="331" t="n">
        <x:f>IF(AND(E32=TRUE,ISNUMBER(F32),F32&gt;0),100,"")</x:f>
        <x:v>100</x:v>
      </x:c>
      <x:c r="I32" s="331" t="str">
        <x:f>IF(AND(ISNUMBER(H32),ISNUMBER(G32)),IF(J32="lower",IF(G32&gt;0,100*F32/G32,""),100*G32/F32),"")</x:f>
      </x:c>
      <x:c r="J32" s="325" t="str">
        <x:v>higher</x:v>
      </x:c>
    </x:row>
    <x:row r="33" ht="24" customHeight="1">
      <x:c r="A33" s="326" t="n">
        <x:f>Daily!A11</x:f>
        <x:v>46335.5</x:v>
      </x:c>
      <x:c r="B33" s="318" t="str">
        <x:f>Daily!D11</x:f>
        <x:v>Skill A + interval circuit</x:v>
      </x:c>
      <x:c r="C33" s="318" t="str">
        <x:v>A · Explosive pull-up</x:v>
      </x:c>
      <x:c r="D33" s="318" t="str">
        <x:v>reps</x:v>
      </x:c>
      <x:c r="E33" s="320" t="b">
        <x:v>1</x:v>
      </x:c>
      <x:c r="F33" s="328" t="n">
        <x:v>8</x:v>
      </x:c>
      <x:c r="G33" s="329" t="str">
        <x:f>IF(AND(Daily!H11=TRUE,COUNT(Daily!I11,Daily!J11,Daily!K11,Daily!L11)&gt;0),SUM(Daily!I11,Daily!J11,Daily!K11,Daily!L11),"")</x:f>
      </x:c>
      <x:c r="H33" s="329" t="n">
        <x:f>IF(AND(E33=TRUE,ISNUMBER(F33),F33&gt;0),100,"")</x:f>
        <x:v>100</x:v>
      </x:c>
      <x:c r="I33" s="329" t="str">
        <x:f>IF(AND(ISNUMBER(H33),ISNUMBER(G33)),IF(J33="lower",IF(G33&gt;0,100*F33/G33,""),100*G33/F33),"")</x:f>
      </x:c>
      <x:c r="J33" s="321" t="str">
        <x:v>higher</x:v>
      </x:c>
    </x:row>
    <x:row r="34" ht="24" customHeight="1">
      <x:c r="A34" s="327" t="n">
        <x:f>Daily!A11</x:f>
        <x:v>46335.5</x:v>
      </x:c>
      <x:c r="B34" s="322" t="str">
        <x:f>Daily!D11</x:f>
        <x:v>Skill A + interval circuit</x:v>
      </x:c>
      <x:c r="C34" s="322" t="str">
        <x:v>B · Low-bar transition</x:v>
      </x:c>
      <x:c r="D34" s="322" t="str">
        <x:v>reps</x:v>
      </x:c>
      <x:c r="E34" s="324" t="b">
        <x:v>1</x:v>
      </x:c>
      <x:c r="F34" s="330" t="n">
        <x:v>9</x:v>
      </x:c>
      <x:c r="G34" s="331" t="str">
        <x:f>IF(AND(Daily!N11=TRUE,COUNT(Daily!O11,Daily!P11,Daily!Q11)&gt;0),SUM(Daily!O11,Daily!P11,Daily!Q11),"")</x:f>
      </x:c>
      <x:c r="H34" s="331" t="n">
        <x:f>IF(AND(E34=TRUE,ISNUMBER(F34),F34&gt;0),100,"")</x:f>
        <x:v>100</x:v>
      </x:c>
      <x:c r="I34" s="331" t="str">
        <x:f>IF(AND(ISNUMBER(H34),ISNUMBER(G34)),IF(J34="lower",IF(G34&gt;0,100*F34/G34,""),100*G34/F34),"")</x:f>
      </x:c>
      <x:c r="J34" s="325" t="str">
        <x:v>higher</x:v>
      </x:c>
    </x:row>
    <x:row r="35" ht="24" customHeight="1">
      <x:c r="A35" s="326" t="n">
        <x:f>Daily!A11</x:f>
        <x:v>46335.5</x:v>
      </x:c>
      <x:c r="B35" s="318" t="str">
        <x:f>Daily!D11</x:f>
        <x:v>Skill A + interval circuit</x:v>
      </x:c>
      <x:c r="C35" s="318" t="str">
        <x:v>C · Assisted full-depth pistol</x:v>
      </x:c>
      <x:c r="D35" s="318" t="str">
        <x:v>reps/leg</x:v>
      </x:c>
      <x:c r="E35" s="320" t="b">
        <x:v>1</x:v>
      </x:c>
      <x:c r="F35" s="328" t="n">
        <x:v>12</x:v>
      </x:c>
      <x:c r="G35" s="329" t="str">
        <x:f>IF(AND(Daily!T11=TRUE,COUNT(Daily!U11,Daily!V11,Daily!W11)&gt;0),SUM(Daily!U11,Daily!V11,Daily!W11),"")</x:f>
      </x:c>
      <x:c r="H35" s="329" t="n">
        <x:f>IF(AND(E35=TRUE,ISNUMBER(F35),F35&gt;0),100,"")</x:f>
        <x:v>100</x:v>
      </x:c>
      <x:c r="I35" s="329" t="str">
        <x:f>IF(AND(ISNUMBER(H35),ISNUMBER(G35)),IF(J35="lower",IF(G35&gt;0,100*F35/G35,""),100*G35/F35),"")</x:f>
      </x:c>
      <x:c r="J35" s="321" t="str">
        <x:v>higher</x:v>
      </x:c>
    </x:row>
    <x:row r="36" ht="24" customHeight="1">
      <x:c r="A36" s="327" t="n">
        <x:f>Daily!A11</x:f>
        <x:v>46335.5</x:v>
      </x:c>
      <x:c r="B36" s="322" t="str">
        <x:f>Daily!D11</x:f>
        <x:v>Skill A + interval circuit</x:v>
      </x:c>
      <x:c r="C36" s="322" t="str">
        <x:v>Core</x:v>
      </x:c>
      <x:c r="D36" s="322" t="str">
        <x:v>rounds</x:v>
      </x:c>
      <x:c r="E36" s="324" t="b">
        <x:v>1</x:v>
      </x:c>
      <x:c r="F36" s="330" t="n">
        <x:v>5</x:v>
      </x:c>
      <x:c r="G36" s="331" t="str">
        <x:f>IF(AND(Daily!Z11=TRUE,COUNT(Daily!AA11)&gt;0),SUM(Daily!AA11),"")</x:f>
      </x:c>
      <x:c r="H36" s="331" t="n">
        <x:f>IF(AND(E36=TRUE,ISNUMBER(F36),F36&gt;0),100,"")</x:f>
        <x:v>100</x:v>
      </x:c>
      <x:c r="I36" s="331" t="str">
        <x:f>IF(AND(ISNUMBER(H36),ISNUMBER(G36)),IF(J36="lower",IF(G36&gt;0,100*F36/G36,""),100*G36/F36),"")</x:f>
      </x:c>
      <x:c r="J36" s="325" t="str">
        <x:v>higher</x:v>
      </x:c>
    </x:row>
    <x:row r="37" ht="24" customHeight="1">
      <x:c r="A37" s="326" t="n">
        <x:f>Daily!A12</x:f>
        <x:v>46336.5</x:v>
      </x:c>
      <x:c r="B37" s="318" t="str">
        <x:f>Daily!D12</x:f>
        <x:v>Handstand technique</x:v>
      </x:c>
      <x:c r="C37" s="318" t="str">
        <x:v>A · Wrist/shoulder mobility</x:v>
      </x:c>
      <x:c r="D37" s="318" t="str">
        <x:v>seconds</x:v>
      </x:c>
      <x:c r="E37" s="320" t="b">
        <x:v>1</x:v>
      </x:c>
      <x:c r="F37" s="328" t="n">
        <x:v>120</x:v>
      </x:c>
      <x:c r="G37" s="329" t="str">
        <x:f>IF(AND(Daily!H12=TRUE,COUNT(Daily!I12)&gt;0),SUM(Daily!I12)*86400,"")</x:f>
      </x:c>
      <x:c r="H37" s="329" t="n">
        <x:f>IF(AND(E37=TRUE,ISNUMBER(F37),F37&gt;0),100,"")</x:f>
        <x:v>100</x:v>
      </x:c>
      <x:c r="I37" s="329" t="str">
        <x:f>IF(AND(ISNUMBER(H37),ISNUMBER(G37)),IF(J37="lower",IF(G37&gt;0,100*F37/G37,""),100*G37/F37),"")</x:f>
      </x:c>
      <x:c r="J37" s="321" t="str">
        <x:v>higher</x:v>
      </x:c>
    </x:row>
    <x:row r="38" ht="24" customHeight="1">
      <x:c r="A38" s="327" t="n">
        <x:f>Daily!A12</x:f>
        <x:v>46336.5</x:v>
      </x:c>
      <x:c r="B38" s="322" t="str">
        <x:f>Daily!D12</x:f>
        <x:v>Handstand technique</x:v>
      </x:c>
      <x:c r="C38" s="322" t="str">
        <x:v>B · Easy chest-to-wall hold</x:v>
      </x:c>
      <x:c r="D38" s="322" t="str">
        <x:v>seconds</x:v>
      </x:c>
      <x:c r="E38" s="324" t="b">
        <x:v>1</x:v>
      </x:c>
      <x:c r="F38" s="330" t="n">
        <x:v>45</x:v>
      </x:c>
      <x:c r="G38" s="331" t="str">
        <x:f>IF(AND(Daily!N12=TRUE,COUNT(Daily!O12,Daily!P12,Daily!Q12)&gt;0),SUM(Daily!O12,Daily!P12,Daily!Q12)*86400,"")</x:f>
      </x:c>
      <x:c r="H38" s="331" t="n">
        <x:f>IF(AND(E38=TRUE,ISNUMBER(F38),F38&gt;0),100,"")</x:f>
        <x:v>100</x:v>
      </x:c>
      <x:c r="I38" s="331" t="str">
        <x:f>IF(AND(ISNUMBER(H38),ISNUMBER(G38)),IF(J38="lower",IF(G38&gt;0,100*F38/G38,""),100*G38/F38),"")</x:f>
      </x:c>
      <x:c r="J38" s="325" t="str">
        <x:v>higher</x:v>
      </x:c>
    </x:row>
    <x:row r="39" ht="24" customHeight="1">
      <x:c r="A39" s="326" t="n">
        <x:f>Daily!A12</x:f>
        <x:v>46336.5</x:v>
      </x:c>
      <x:c r="B39" s="318" t="str">
        <x:f>Daily!D12</x:f>
        <x:v>Handstand technique</x:v>
      </x:c>
      <x:c r="C39" s="318" t="str">
        <x:v>C · Wall handstand line drill</x:v>
      </x:c>
      <x:c r="D39" s="318" t="str">
        <x:v>seconds</x:v>
      </x:c>
      <x:c r="E39" s="320" t="b">
        <x:v>1</x:v>
      </x:c>
      <x:c r="F39" s="328" t="n">
        <x:v>30</x:v>
      </x:c>
      <x:c r="G39" s="329" t="str">
        <x:f>IF(AND(Daily!T12=TRUE,COUNT(Daily!U12,Daily!V12)&gt;0),SUM(Daily!U12,Daily!V12)*86400,"")</x:f>
      </x:c>
      <x:c r="H39" s="329" t="n">
        <x:f>IF(AND(E39=TRUE,ISNUMBER(F39),F39&gt;0),100,"")</x:f>
        <x:v>100</x:v>
      </x:c>
      <x:c r="I39" s="329" t="str">
        <x:f>IF(AND(ISNUMBER(H39),ISNUMBER(G39)),IF(J39="lower",IF(G39&gt;0,100*F39/G39,""),100*G39/F39),"")</x:f>
      </x:c>
      <x:c r="J39" s="321" t="str">
        <x:v>higher</x:v>
      </x:c>
    </x:row>
    <x:row r="40" ht="24" customHeight="1">
      <x:c r="A40" s="327" t="n">
        <x:f>Daily!A13</x:f>
        <x:v>46338.5</x:v>
      </x:c>
      <x:c r="B40" s="322" t="str">
        <x:f>Daily!D13</x:f>
        <x:v>Skill B + circuit</x:v>
      </x:c>
      <x:c r="C40" s="322" t="str">
        <x:v>B · Pike push-up</x:v>
      </x:c>
      <x:c r="D40" s="322" t="str">
        <x:v>reps</x:v>
      </x:c>
      <x:c r="E40" s="324" t="b">
        <x:v>1</x:v>
      </x:c>
      <x:c r="F40" s="330" t="n">
        <x:v>15</x:v>
      </x:c>
      <x:c r="G40" s="331" t="str">
        <x:f>IF(AND(Daily!N13=TRUE,COUNT(Daily!O13,Daily!P13,Daily!Q13)&gt;0),SUM(Daily!O13,Daily!P13,Daily!Q13),"")</x:f>
      </x:c>
      <x:c r="H40" s="331" t="n">
        <x:f>IF(AND(E40=TRUE,ISNUMBER(F40),F40&gt;0),100,"")</x:f>
        <x:v>100</x:v>
      </x:c>
      <x:c r="I40" s="331" t="str">
        <x:f>IF(AND(ISNUMBER(H40),ISNUMBER(G40)),IF(J40="lower",IF(G40&gt;0,100*F40/G40,""),100*G40/F40),"")</x:f>
      </x:c>
      <x:c r="J40" s="325" t="str">
        <x:v>higher</x:v>
      </x:c>
    </x:row>
    <x:row r="41" ht="24" customHeight="1">
      <x:c r="A41" s="326" t="n">
        <x:f>Daily!A13</x:f>
        <x:v>46338.5</x:v>
      </x:c>
      <x:c r="B41" s="318" t="str">
        <x:f>Daily!D13</x:f>
        <x:v>Skill B + circuit</x:v>
      </x:c>
      <x:c r="C41" s="318" t="str">
        <x:v>C · Assisted full-depth pistol</x:v>
      </x:c>
      <x:c r="D41" s="318" t="str">
        <x:v>reps/leg</x:v>
      </x:c>
      <x:c r="E41" s="320" t="b">
        <x:v>1</x:v>
      </x:c>
      <x:c r="F41" s="328" t="n">
        <x:v>12</x:v>
      </x:c>
      <x:c r="G41" s="329" t="str">
        <x:f>IF(AND(Daily!T13=TRUE,COUNT(Daily!U13,Daily!V13,Daily!W13)&gt;0),SUM(Daily!U13,Daily!V13,Daily!W13),"")</x:f>
      </x:c>
      <x:c r="H41" s="329" t="n">
        <x:f>IF(AND(E41=TRUE,ISNUMBER(F41),F41&gt;0),100,"")</x:f>
        <x:v>100</x:v>
      </x:c>
      <x:c r="I41" s="329" t="str">
        <x:f>IF(AND(ISNUMBER(H41),ISNUMBER(G41)),IF(J41="lower",IF(G41&gt;0,100*F41/G41,""),100*G41/F41),"")</x:f>
      </x:c>
      <x:c r="J41" s="321" t="str">
        <x:v>higher</x:v>
      </x:c>
    </x:row>
    <x:row r="42" ht="24" customHeight="1">
      <x:c r="A42" s="327" t="n">
        <x:f>Daily!A13</x:f>
        <x:v>46338.5</x:v>
      </x:c>
      <x:c r="B42" s="322" t="str">
        <x:f>Daily!D13</x:f>
        <x:v>Skill B + circuit</x:v>
      </x:c>
      <x:c r="C42" s="322" t="str">
        <x:v>Core</x:v>
      </x:c>
      <x:c r="D42" s="322" t="str">
        <x:v>rounds</x:v>
      </x:c>
      <x:c r="E42" s="324" t="b">
        <x:v>1</x:v>
      </x:c>
      <x:c r="F42" s="330" t="n">
        <x:v>5</x:v>
      </x:c>
      <x:c r="G42" s="331" t="str">
        <x:f>IF(AND(Daily!Z13=TRUE,COUNT(Daily!AA13)&gt;0),SUM(Daily!AA13),"")</x:f>
      </x:c>
      <x:c r="H42" s="331" t="n">
        <x:f>IF(AND(E42=TRUE,ISNUMBER(F42),F42&gt;0),100,"")</x:f>
        <x:v>100</x:v>
      </x:c>
      <x:c r="I42" s="331" t="str">
        <x:f>IF(AND(ISNUMBER(H42),ISNUMBER(G42)),IF(J42="lower",IF(G42&gt;0,100*F42/G42,""),100*G42/F42),"")</x:f>
      </x:c>
      <x:c r="J42" s="325" t="str">
        <x:v>higher</x:v>
      </x:c>
    </x:row>
    <x:row r="43" ht="24" customHeight="1">
      <x:c r="A43" s="326" t="n">
        <x:f>Daily!A14</x:f>
        <x:v>46340.5</x:v>
      </x:c>
      <x:c r="B43" s="318" t="str">
        <x:f>Daily!D14</x:f>
        <x:v>Skill micro-session</x:v>
      </x:c>
      <x:c r="C43" s="318" t="str">
        <x:v>A · Wrist/shoulder mobility</x:v>
      </x:c>
      <x:c r="D43" s="318" t="str">
        <x:v>seconds</x:v>
      </x:c>
      <x:c r="E43" s="320" t="b">
        <x:v>1</x:v>
      </x:c>
      <x:c r="F43" s="328" t="n">
        <x:v>120</x:v>
      </x:c>
      <x:c r="G43" s="329" t="str">
        <x:f>IF(AND(Daily!H14=TRUE,COUNT(Daily!I14)&gt;0),SUM(Daily!I14)*86400,"")</x:f>
      </x:c>
      <x:c r="H43" s="329" t="n">
        <x:f>IF(AND(E43=TRUE,ISNUMBER(F43),F43&gt;0),100,"")</x:f>
        <x:v>100</x:v>
      </x:c>
      <x:c r="I43" s="329" t="str">
        <x:f>IF(AND(ISNUMBER(H43),ISNUMBER(G43)),IF(J43="lower",IF(G43&gt;0,100*F43/G43,""),100*G43/F43),"")</x:f>
      </x:c>
      <x:c r="J43" s="321" t="str">
        <x:v>higher</x:v>
      </x:c>
    </x:row>
    <x:row r="44" ht="24" customHeight="1">
      <x:c r="A44" s="327" t="n">
        <x:f>Daily!A14</x:f>
        <x:v>46340.5</x:v>
      </x:c>
      <x:c r="B44" s="322" t="str">
        <x:f>Daily!D14</x:f>
        <x:v>Skill micro-session</x:v>
      </x:c>
      <x:c r="C44" s="322" t="str">
        <x:v>B · Easy chest-to-wall hold</x:v>
      </x:c>
      <x:c r="D44" s="322" t="str">
        <x:v>seconds</x:v>
      </x:c>
      <x:c r="E44" s="324" t="b">
        <x:v>1</x:v>
      </x:c>
      <x:c r="F44" s="330" t="n">
        <x:v>45</x:v>
      </x:c>
      <x:c r="G44" s="331" t="str">
        <x:f>IF(AND(Daily!N14=TRUE,COUNT(Daily!O14,Daily!P14,Daily!Q14)&gt;0),SUM(Daily!O14,Daily!P14,Daily!Q14)*86400,"")</x:f>
      </x:c>
      <x:c r="H44" s="331" t="n">
        <x:f>IF(AND(E44=TRUE,ISNUMBER(F44),F44&gt;0),100,"")</x:f>
        <x:v>100</x:v>
      </x:c>
      <x:c r="I44" s="331" t="str">
        <x:f>IF(AND(ISNUMBER(H44),ISNUMBER(G44)),IF(J44="lower",IF(G44&gt;0,100*F44/G44,""),100*G44/F44),"")</x:f>
      </x:c>
      <x:c r="J44" s="325" t="str">
        <x:v>higher</x:v>
      </x:c>
    </x:row>
    <x:row r="45" ht="24" customHeight="1">
      <x:c r="A45" s="326" t="n">
        <x:f>Daily!A14</x:f>
        <x:v>46340.5</x:v>
      </x:c>
      <x:c r="B45" s="318" t="str">
        <x:f>Daily!D14</x:f>
        <x:v>Skill micro-session</x:v>
      </x:c>
      <x:c r="C45" s="318" t="str">
        <x:v>C · Wall handstand line drill</x:v>
      </x:c>
      <x:c r="D45" s="318" t="str">
        <x:v>seconds</x:v>
      </x:c>
      <x:c r="E45" s="320" t="b">
        <x:v>1</x:v>
      </x:c>
      <x:c r="F45" s="328" t="n">
        <x:v>45</x:v>
      </x:c>
      <x:c r="G45" s="329" t="str">
        <x:f>IF(AND(Daily!T14=TRUE,COUNT(Daily!U14,Daily!V14,Daily!W14)&gt;0),SUM(Daily!U14,Daily!V14,Daily!W14)*86400,"")</x:f>
      </x:c>
      <x:c r="H45" s="329" t="n">
        <x:f>IF(AND(E45=TRUE,ISNUMBER(F45),F45&gt;0),100,"")</x:f>
        <x:v>100</x:v>
      </x:c>
      <x:c r="I45" s="329" t="str">
        <x:f>IF(AND(ISNUMBER(H45),ISNUMBER(G45)),IF(J45="lower",IF(G45&gt;0,100*F45/G45,""),100*G45/F45),"")</x:f>
      </x:c>
      <x:c r="J45" s="321" t="str">
        <x:v>higher</x:v>
      </x:c>
    </x:row>
    <x:row r="46" ht="24" customHeight="1">
      <x:c r="A46" s="327" t="n">
        <x:f>Daily!A15</x:f>
        <x:v>46342.5</x:v>
      </x:c>
      <x:c r="B46" s="322" t="str">
        <x:f>Daily!D15</x:f>
        <x:v>Skill A + interval circuit</x:v>
      </x:c>
      <x:c r="C46" s="322" t="str">
        <x:v>A · Easy scapular pull-up</x:v>
      </x:c>
      <x:c r="D46" s="322" t="str">
        <x:v>reps</x:v>
      </x:c>
      <x:c r="E46" s="324" t="b">
        <x:v>1</x:v>
      </x:c>
      <x:c r="F46" s="330" t="n">
        <x:v>5</x:v>
      </x:c>
      <x:c r="G46" s="331" t="str">
        <x:f>IF(AND(Daily!H15=TRUE,COUNT(Daily!I15)&gt;0),SUM(Daily!I15),"")</x:f>
      </x:c>
      <x:c r="H46" s="331" t="n">
        <x:f>IF(AND(E46=TRUE,ISNUMBER(F46),F46&gt;0),100,"")</x:f>
        <x:v>100</x:v>
      </x:c>
      <x:c r="I46" s="331" t="str">
        <x:f>IF(AND(ISNUMBER(H46),ISNUMBER(G46)),IF(J46="lower",IF(G46&gt;0,100*F46/G46,""),100*G46/F46),"")</x:f>
      </x:c>
      <x:c r="J46" s="325" t="str">
        <x:v>higher</x:v>
      </x:c>
    </x:row>
    <x:row r="47" ht="24" customHeight="1">
      <x:c r="A47" s="326" t="n">
        <x:f>Daily!A15</x:f>
        <x:v>46342.5</x:v>
      </x:c>
      <x:c r="B47" s="318" t="str">
        <x:f>Daily!D15</x:f>
        <x:v>Skill A + interval circuit</x:v>
      </x:c>
      <x:c r="C47" s="318" t="str">
        <x:v>B · Easy low-bar transition</x:v>
      </x:c>
      <x:c r="D47" s="318" t="str">
        <x:v>reps</x:v>
      </x:c>
      <x:c r="E47" s="320" t="b">
        <x:v>1</x:v>
      </x:c>
      <x:c r="F47" s="328" t="n">
        <x:v>3</x:v>
      </x:c>
      <x:c r="G47" s="329" t="str">
        <x:f>IF(AND(Daily!N15=TRUE,COUNT(Daily!O15)&gt;0),SUM(Daily!O15),"")</x:f>
      </x:c>
      <x:c r="H47" s="329" t="n">
        <x:f>IF(AND(E47=TRUE,ISNUMBER(F47),F47&gt;0),100,"")</x:f>
        <x:v>100</x:v>
      </x:c>
      <x:c r="I47" s="329" t="str">
        <x:f>IF(AND(ISNUMBER(H47),ISNUMBER(G47)),IF(J47="lower",IF(G47&gt;0,100*F47/G47,""),100*G47/F47),"")</x:f>
      </x:c>
      <x:c r="J47" s="321" t="str">
        <x:v>higher</x:v>
      </x:c>
    </x:row>
    <x:row r="48" ht="24" customHeight="1">
      <x:c r="A48" s="327" t="n">
        <x:f>Daily!A15</x:f>
        <x:v>46342.5</x:v>
      </x:c>
      <x:c r="B48" s="322" t="str">
        <x:f>Daily!D15</x:f>
        <x:v>Skill A + interval circuit</x:v>
      </x:c>
      <x:c r="C48" s="322" t="str">
        <x:v>C · Assisted pistol</x:v>
      </x:c>
      <x:c r="D48" s="322" t="str">
        <x:v>reps/leg</x:v>
      </x:c>
      <x:c r="E48" s="324" t="b">
        <x:v>1</x:v>
      </x:c>
      <x:c r="F48" s="330" t="n">
        <x:v>3</x:v>
      </x:c>
      <x:c r="G48" s="331" t="str">
        <x:f>IF(AND(Daily!T15=TRUE,COUNT(Daily!U15)&gt;0),SUM(Daily!U15),"")</x:f>
      </x:c>
      <x:c r="H48" s="331" t="n">
        <x:f>IF(AND(E48=TRUE,ISNUMBER(F48),F48&gt;0),100,"")</x:f>
        <x:v>100</x:v>
      </x:c>
      <x:c r="I48" s="331" t="str">
        <x:f>IF(AND(ISNUMBER(H48),ISNUMBER(G48)),IF(J48="lower",IF(G48&gt;0,100*F48/G48,""),100*G48/F48),"")</x:f>
      </x:c>
      <x:c r="J48" s="325" t="str">
        <x:v>higher</x:v>
      </x:c>
    </x:row>
    <x:row r="49" ht="24" customHeight="1">
      <x:c r="A49" s="326" t="n">
        <x:f>Daily!A15</x:f>
        <x:v>46342.5</x:v>
      </x:c>
      <x:c r="B49" s="318" t="str">
        <x:f>Daily!D15</x:f>
        <x:v>Skill A + interval circuit</x:v>
      </x:c>
      <x:c r="C49" s="318" t="str">
        <x:v>Core</x:v>
      </x:c>
      <x:c r="D49" s="318" t="str">
        <x:v>rounds</x:v>
      </x:c>
      <x:c r="E49" s="320" t="b">
        <x:v>1</x:v>
      </x:c>
      <x:c r="F49" s="328" t="n">
        <x:v>3</x:v>
      </x:c>
      <x:c r="G49" s="329" t="str">
        <x:f>IF(AND(Daily!Z15=TRUE,COUNT(Daily!AA15)&gt;0),SUM(Daily!AA15),"")</x:f>
      </x:c>
      <x:c r="H49" s="329" t="n">
        <x:f>IF(AND(E49=TRUE,ISNUMBER(F49),F49&gt;0),100,"")</x:f>
        <x:v>100</x:v>
      </x:c>
      <x:c r="I49" s="329" t="str">
        <x:f>IF(AND(ISNUMBER(H49),ISNUMBER(G49)),IF(J49="lower",IF(G49&gt;0,100*F49/G49,""),100*G49/F49),"")</x:f>
      </x:c>
      <x:c r="J49" s="321" t="str">
        <x:v>higher</x:v>
      </x:c>
    </x:row>
    <x:row r="50" ht="24" customHeight="1">
      <x:c r="A50" s="327" t="n">
        <x:f>Daily!A16</x:f>
        <x:v>46343.5</x:v>
      </x:c>
      <x:c r="B50" s="322" t="str">
        <x:f>Daily!D16</x:f>
        <x:v>Handstand technique</x:v>
      </x:c>
      <x:c r="C50" s="322" t="str">
        <x:v>A · Wrist/shoulder mobility</x:v>
      </x:c>
      <x:c r="D50" s="322" t="str">
        <x:v>seconds</x:v>
      </x:c>
      <x:c r="E50" s="324" t="b">
        <x:v>1</x:v>
      </x:c>
      <x:c r="F50" s="330" t="n">
        <x:v>60</x:v>
      </x:c>
      <x:c r="G50" s="331" t="str">
        <x:f>IF(AND(Daily!H16=TRUE,COUNT(Daily!I16)&gt;0),SUM(Daily!I16)*86400,"")</x:f>
      </x:c>
      <x:c r="H50" s="331" t="n">
        <x:f>IF(AND(E50=TRUE,ISNUMBER(F50),F50&gt;0),100,"")</x:f>
        <x:v>100</x:v>
      </x:c>
      <x:c r="I50" s="331" t="str">
        <x:f>IF(AND(ISNUMBER(H50),ISNUMBER(G50)),IF(J50="lower",IF(G50&gt;0,100*F50/G50,""),100*G50/F50),"")</x:f>
      </x:c>
      <x:c r="J50" s="325" t="str">
        <x:v>higher</x:v>
      </x:c>
    </x:row>
    <x:row r="51" ht="24" customHeight="1">
      <x:c r="A51" s="326" t="n">
        <x:f>Daily!A16</x:f>
        <x:v>46343.5</x:v>
      </x:c>
      <x:c r="B51" s="318" t="str">
        <x:f>Daily!D16</x:f>
        <x:v>Handstand technique</x:v>
      </x:c>
      <x:c r="C51" s="318" t="str">
        <x:v>B · Easy chest-to-wall hold</x:v>
      </x:c>
      <x:c r="D51" s="318" t="str">
        <x:v>seconds</x:v>
      </x:c>
      <x:c r="E51" s="320" t="b">
        <x:v>1</x:v>
      </x:c>
      <x:c r="F51" s="328" t="n">
        <x:v>20</x:v>
      </x:c>
      <x:c r="G51" s="329" t="str">
        <x:f>IF(AND(Daily!N16=TRUE,COUNT(Daily!O16,Daily!P16)&gt;0),SUM(Daily!O16,Daily!P16)*86400,"")</x:f>
      </x:c>
      <x:c r="H51" s="329" t="n">
        <x:f>IF(AND(E51=TRUE,ISNUMBER(F51),F51&gt;0),100,"")</x:f>
        <x:v>100</x:v>
      </x:c>
      <x:c r="I51" s="329" t="str">
        <x:f>IF(AND(ISNUMBER(H51),ISNUMBER(G51)),IF(J51="lower",IF(G51&gt;0,100*F51/G51,""),100*G51/F51),"")</x:f>
      </x:c>
      <x:c r="J51" s="321" t="str">
        <x:v>higher</x:v>
      </x:c>
    </x:row>
    <x:row r="52" ht="24" customHeight="1">
      <x:c r="A52" s="327" t="n">
        <x:f>Daily!A16</x:f>
        <x:v>46343.5</x:v>
      </x:c>
      <x:c r="B52" s="322" t="str">
        <x:f>Daily!D16</x:f>
        <x:v>Handstand technique</x:v>
      </x:c>
      <x:c r="C52" s="322" t="str">
        <x:v>C · Wall handstand line drill</x:v>
      </x:c>
      <x:c r="D52" s="322" t="str">
        <x:v>seconds</x:v>
      </x:c>
      <x:c r="E52" s="324" t="b">
        <x:v>1</x:v>
      </x:c>
      <x:c r="F52" s="330" t="n">
        <x:v>10</x:v>
      </x:c>
      <x:c r="G52" s="331" t="str">
        <x:f>IF(AND(Daily!T16=TRUE,COUNT(Daily!U16)&gt;0),SUM(Daily!U16)*86400,"")</x:f>
      </x:c>
      <x:c r="H52" s="331" t="n">
        <x:f>IF(AND(E52=TRUE,ISNUMBER(F52),F52&gt;0),100,"")</x:f>
        <x:v>100</x:v>
      </x:c>
      <x:c r="I52" s="331" t="str">
        <x:f>IF(AND(ISNUMBER(H52),ISNUMBER(G52)),IF(J52="lower",IF(G52&gt;0,100*F52/G52,""),100*G52/F52),"")</x:f>
      </x:c>
      <x:c r="J52" s="325" t="str">
        <x:v>higher</x:v>
      </x:c>
    </x:row>
    <x:row r="53" ht="24" customHeight="1">
      <x:c r="A53" s="326" t="n">
        <x:f>Daily!A17</x:f>
        <x:v>46345.5</x:v>
      </x:c>
      <x:c r="B53" s="318" t="str">
        <x:f>Daily!D17</x:f>
        <x:v>Skill B + interval circuit</x:v>
      </x:c>
      <x:c r="C53" s="318" t="str">
        <x:v>A · Easy wall handstand</x:v>
      </x:c>
      <x:c r="D53" s="318" t="str">
        <x:v>seconds</x:v>
      </x:c>
      <x:c r="E53" s="320" t="b">
        <x:v>1</x:v>
      </x:c>
      <x:c r="F53" s="328" t="n">
        <x:v>15</x:v>
      </x:c>
      <x:c r="G53" s="329" t="str">
        <x:f>IF(AND(Daily!H17=TRUE,COUNT(Daily!I17)&gt;0),SUM(Daily!I17)*86400,"")</x:f>
      </x:c>
      <x:c r="H53" s="329" t="n">
        <x:f>IF(AND(E53=TRUE,ISNUMBER(F53),F53&gt;0),100,"")</x:f>
        <x:v>100</x:v>
      </x:c>
      <x:c r="I53" s="329" t="str">
        <x:f>IF(AND(ISNUMBER(H53),ISNUMBER(G53)),IF(J53="lower",IF(G53&gt;0,100*F53/G53,""),100*G53/F53),"")</x:f>
      </x:c>
      <x:c r="J53" s="321" t="str">
        <x:v>higher</x:v>
      </x:c>
    </x:row>
    <x:row r="54" ht="24" customHeight="1">
      <x:c r="A54" s="327" t="n">
        <x:f>Daily!A17</x:f>
        <x:v>46345.5</x:v>
      </x:c>
      <x:c r="B54" s="322" t="str">
        <x:f>Daily!D17</x:f>
        <x:v>Skill B + interval circuit</x:v>
      </x:c>
      <x:c r="C54" s="322" t="str">
        <x:v>B · Gentle wrist/shoulder mobility</x:v>
      </x:c>
      <x:c r="D54" s="322" t="str">
        <x:v>seconds</x:v>
      </x:c>
      <x:c r="E54" s="324" t="b">
        <x:v>1</x:v>
      </x:c>
      <x:c r="F54" s="330" t="n">
        <x:v>120</x:v>
      </x:c>
      <x:c r="G54" s="331" t="str">
        <x:f>IF(AND(Daily!N17=TRUE,COUNT(Daily!O17)&gt;0),SUM(Daily!O17)*86400,"")</x:f>
      </x:c>
      <x:c r="H54" s="331" t="n">
        <x:f>IF(AND(E54=TRUE,ISNUMBER(F54),F54&gt;0),100,"")</x:f>
        <x:v>100</x:v>
      </x:c>
      <x:c r="I54" s="331" t="str">
        <x:f>IF(AND(ISNUMBER(H54),ISNUMBER(G54)),IF(J54="lower",IF(G54&gt;0,100*F54/G54,""),100*G54/F54),"")</x:f>
      </x:c>
      <x:c r="J54" s="325" t="str">
        <x:v>higher</x:v>
      </x:c>
    </x:row>
    <x:row r="55" ht="24" customHeight="1">
      <x:c r="A55" s="326" t="n">
        <x:f>Daily!A17</x:f>
        <x:v>46345.5</x:v>
      </x:c>
      <x:c r="B55" s="318" t="str">
        <x:f>Daily!D17</x:f>
        <x:v>Skill B + interval circuit</x:v>
      </x:c>
      <x:c r="C55" s="318" t="str">
        <x:v>C · Assisted pistol</x:v>
      </x:c>
      <x:c r="D55" s="318" t="str">
        <x:v>reps/leg</x:v>
      </x:c>
      <x:c r="E55" s="320" t="b">
        <x:v>1</x:v>
      </x:c>
      <x:c r="F55" s="328" t="n">
        <x:v>3</x:v>
      </x:c>
      <x:c r="G55" s="329" t="str">
        <x:f>IF(AND(Daily!T17=TRUE,COUNT(Daily!U17)&gt;0),SUM(Daily!U17),"")</x:f>
      </x:c>
      <x:c r="H55" s="329" t="n">
        <x:f>IF(AND(E55=TRUE,ISNUMBER(F55),F55&gt;0),100,"")</x:f>
        <x:v>100</x:v>
      </x:c>
      <x:c r="I55" s="329" t="str">
        <x:f>IF(AND(ISNUMBER(H55),ISNUMBER(G55)),IF(J55="lower",IF(G55&gt;0,100*F55/G55,""),100*G55/F55),"")</x:f>
      </x:c>
      <x:c r="J55" s="321" t="str">
        <x:v>higher</x:v>
      </x:c>
    </x:row>
    <x:row r="56" ht="24" customHeight="1">
      <x:c r="A56" s="327" t="n">
        <x:f>Daily!A17</x:f>
        <x:v>46345.5</x:v>
      </x:c>
      <x:c r="B56" s="322" t="str">
        <x:f>Daily!D17</x:f>
        <x:v>Skill B + interval circuit</x:v>
      </x:c>
      <x:c r="C56" s="322" t="str">
        <x:v>Core</x:v>
      </x:c>
      <x:c r="D56" s="322" t="str">
        <x:v>rounds</x:v>
      </x:c>
      <x:c r="E56" s="324" t="b">
        <x:v>1</x:v>
      </x:c>
      <x:c r="F56" s="330" t="n">
        <x:v>3</x:v>
      </x:c>
      <x:c r="G56" s="331" t="str">
        <x:f>IF(AND(Daily!Z17=TRUE,COUNT(Daily!AA17)&gt;0),SUM(Daily!AA17),"")</x:f>
      </x:c>
      <x:c r="H56" s="331" t="n">
        <x:f>IF(AND(E56=TRUE,ISNUMBER(F56),F56&gt;0),100,"")</x:f>
        <x:v>100</x:v>
      </x:c>
      <x:c r="I56" s="331" t="str">
        <x:f>IF(AND(ISNUMBER(H56),ISNUMBER(G56)),IF(J56="lower",IF(G56&gt;0,100*F56/G56,""),100*G56/F56),"")</x:f>
      </x:c>
      <x:c r="J56" s="325" t="str">
        <x:v>higher</x:v>
      </x:c>
    </x:row>
    <x:row r="57" ht="24" customHeight="1">
      <x:c r="A57" s="326" t="n">
        <x:f>Daily!A18</x:f>
        <x:v>46347.5</x:v>
      </x:c>
      <x:c r="B57" s="318" t="str">
        <x:f>Daily!D18</x:f>
        <x:v>Skill micro-session</x:v>
      </x:c>
      <x:c r="C57" s="318" t="str">
        <x:v>A · Wrist/shoulder mobility</x:v>
      </x:c>
      <x:c r="D57" s="318" t="str">
        <x:v>seconds</x:v>
      </x:c>
      <x:c r="E57" s="320" t="b">
        <x:v>1</x:v>
      </x:c>
      <x:c r="F57" s="328" t="n">
        <x:v>60</x:v>
      </x:c>
      <x:c r="G57" s="329" t="str">
        <x:f>IF(AND(Daily!H18=TRUE,COUNT(Daily!I18)&gt;0),SUM(Daily!I18)*86400,"")</x:f>
      </x:c>
      <x:c r="H57" s="329" t="n">
        <x:f>IF(AND(E57=TRUE,ISNUMBER(F57),F57&gt;0),100,"")</x:f>
        <x:v>100</x:v>
      </x:c>
      <x:c r="I57" s="329" t="str">
        <x:f>IF(AND(ISNUMBER(H57),ISNUMBER(G57)),IF(J57="lower",IF(G57&gt;0,100*F57/G57,""),100*G57/F57),"")</x:f>
      </x:c>
      <x:c r="J57" s="321" t="str">
        <x:v>higher</x:v>
      </x:c>
    </x:row>
    <x:row r="58" ht="24" customHeight="1">
      <x:c r="A58" s="327" t="n">
        <x:f>Daily!A18</x:f>
        <x:v>46347.5</x:v>
      </x:c>
      <x:c r="B58" s="322" t="str">
        <x:f>Daily!D18</x:f>
        <x:v>Skill micro-session</x:v>
      </x:c>
      <x:c r="C58" s="322" t="str">
        <x:v>B · Easy chest-to-wall hold</x:v>
      </x:c>
      <x:c r="D58" s="322" t="str">
        <x:v>seconds</x:v>
      </x:c>
      <x:c r="E58" s="324" t="b">
        <x:v>1</x:v>
      </x:c>
      <x:c r="F58" s="330" t="n">
        <x:v>20</x:v>
      </x:c>
      <x:c r="G58" s="331" t="str">
        <x:f>IF(AND(Daily!N18=TRUE,COUNT(Daily!O18,Daily!P18)&gt;0),SUM(Daily!O18,Daily!P18)*86400,"")</x:f>
      </x:c>
      <x:c r="H58" s="331" t="n">
        <x:f>IF(AND(E58=TRUE,ISNUMBER(F58),F58&gt;0),100,"")</x:f>
        <x:v>100</x:v>
      </x:c>
      <x:c r="I58" s="331" t="str">
        <x:f>IF(AND(ISNUMBER(H58),ISNUMBER(G58)),IF(J58="lower",IF(G58&gt;0,100*F58/G58,""),100*G58/F58),"")</x:f>
      </x:c>
      <x:c r="J58" s="325" t="str">
        <x:v>higher</x:v>
      </x:c>
    </x:row>
    <x:row r="59" ht="24" customHeight="1">
      <x:c r="A59" s="326" t="n">
        <x:f>Daily!A18</x:f>
        <x:v>46347.5</x:v>
      </x:c>
      <x:c r="B59" s="318" t="str">
        <x:f>Daily!D18</x:f>
        <x:v>Skill micro-session</x:v>
      </x:c>
      <x:c r="C59" s="318" t="str">
        <x:v>C · Wall handstand line drill</x:v>
      </x:c>
      <x:c r="D59" s="318" t="str">
        <x:v>seconds</x:v>
      </x:c>
      <x:c r="E59" s="320" t="b">
        <x:v>1</x:v>
      </x:c>
      <x:c r="F59" s="328" t="n">
        <x:v>10</x:v>
      </x:c>
      <x:c r="G59" s="329" t="str">
        <x:f>IF(AND(Daily!T18=TRUE,COUNT(Daily!U18)&gt;0),SUM(Daily!U18)*86400,"")</x:f>
      </x:c>
      <x:c r="H59" s="329" t="n">
        <x:f>IF(AND(E59=TRUE,ISNUMBER(F59),F59&gt;0),100,"")</x:f>
        <x:v>100</x:v>
      </x:c>
      <x:c r="I59" s="329" t="str">
        <x:f>IF(AND(ISNUMBER(H59),ISNUMBER(G59)),IF(J59="lower",IF(G59&gt;0,100*F59/G59,""),100*G59/F59),"")</x:f>
      </x:c>
      <x:c r="J59" s="321" t="str">
        <x:v>higher</x:v>
      </x:c>
    </x:row>
    <x:row r="60" ht="24" customHeight="1">
      <x:c r="A60" s="327" t="n">
        <x:f>Daily!A19</x:f>
        <x:v>46349.5</x:v>
      </x:c>
      <x:c r="B60" s="322" t="str">
        <x:f>Daily!D19</x:f>
        <x:v>Skill A + interval circuit</x:v>
      </x:c>
      <x:c r="C60" s="322" t="str">
        <x:v>A · Chest-to-bar pull-up</x:v>
      </x:c>
      <x:c r="D60" s="322" t="str">
        <x:v>reps</x:v>
      </x:c>
      <x:c r="E60" s="324" t="b">
        <x:v>1</x:v>
      </x:c>
      <x:c r="F60" s="330" t="n">
        <x:v>9</x:v>
      </x:c>
      <x:c r="G60" s="331" t="str">
        <x:f>IF(AND(Daily!H19=TRUE,COUNT(Daily!I19,Daily!J19,Daily!K19)&gt;0),SUM(Daily!I19,Daily!J19,Daily!K19),"")</x:f>
      </x:c>
      <x:c r="H60" s="331" t="n">
        <x:f>IF(AND(E60=TRUE,ISNUMBER(F60),F60&gt;0),100,"")</x:f>
        <x:v>100</x:v>
      </x:c>
      <x:c r="I60" s="331" t="str">
        <x:f>IF(AND(ISNUMBER(H60),ISNUMBER(G60)),IF(J60="lower",IF(G60&gt;0,100*F60/G60,""),100*G60/F60),"")</x:f>
      </x:c>
      <x:c r="J60" s="325" t="str">
        <x:v>higher</x:v>
      </x:c>
    </x:row>
    <x:row r="61" ht="24" customHeight="1">
      <x:c r="A61" s="326" t="n">
        <x:f>Daily!A19</x:f>
        <x:v>46349.5</x:v>
      </x:c>
      <x:c r="B61" s="318" t="str">
        <x:f>Daily!D19</x:f>
        <x:v>Skill A + interval circuit</x:v>
      </x:c>
      <x:c r="C61" s="318" t="str">
        <x:v>B · Band-assisted muscle-up</x:v>
      </x:c>
      <x:c r="D61" s="318" t="str">
        <x:v>reps</x:v>
      </x:c>
      <x:c r="E61" s="320" t="b">
        <x:v>1</x:v>
      </x:c>
      <x:c r="F61" s="328" t="n">
        <x:v>4</x:v>
      </x:c>
      <x:c r="G61" s="329" t="str">
        <x:f>IF(AND(Daily!N19=TRUE,COUNT(Daily!O19,Daily!P19,Daily!Q19,Daily!R19)&gt;0),SUM(Daily!O19,Daily!P19,Daily!Q19,Daily!R19),"")</x:f>
      </x:c>
      <x:c r="H61" s="329" t="n">
        <x:f>IF(AND(E61=TRUE,ISNUMBER(F61),F61&gt;0),100,"")</x:f>
        <x:v>100</x:v>
      </x:c>
      <x:c r="I61" s="329" t="str">
        <x:f>IF(AND(ISNUMBER(H61),ISNUMBER(G61)),IF(J61="lower",IF(G61&gt;0,100*F61/G61,""),100*G61/F61),"")</x:f>
      </x:c>
      <x:c r="J61" s="321" t="str">
        <x:v>higher</x:v>
      </x:c>
    </x:row>
    <x:row r="62" ht="24" customHeight="1">
      <x:c r="A62" s="327" t="n">
        <x:f>Daily!A19</x:f>
        <x:v>46349.5</x:v>
      </x:c>
      <x:c r="B62" s="322" t="str">
        <x:f>Daily!D19</x:f>
        <x:v>Skill A + interval circuit</x:v>
      </x:c>
      <x:c r="C62" s="322" t="str">
        <x:v>C · Counterweight pistol</x:v>
      </x:c>
      <x:c r="D62" s="322" t="str">
        <x:v>reps/leg</x:v>
      </x:c>
      <x:c r="E62" s="324" t="b">
        <x:v>1</x:v>
      </x:c>
      <x:c r="F62" s="330" t="n">
        <x:v>12</x:v>
      </x:c>
      <x:c r="G62" s="331" t="str">
        <x:f>IF(AND(Daily!T19=TRUE,COUNT(Daily!U19,Daily!V19,Daily!W19)&gt;0),SUM(Daily!U19,Daily!V19,Daily!W19),"")</x:f>
      </x:c>
      <x:c r="H62" s="331" t="n">
        <x:f>IF(AND(E62=TRUE,ISNUMBER(F62),F62&gt;0),100,"")</x:f>
        <x:v>100</x:v>
      </x:c>
      <x:c r="I62" s="331" t="str">
        <x:f>IF(AND(ISNUMBER(H62),ISNUMBER(G62)),IF(J62="lower",IF(G62&gt;0,100*F62/G62,""),100*G62/F62),"")</x:f>
      </x:c>
      <x:c r="J62" s="325" t="str">
        <x:v>higher</x:v>
      </x:c>
    </x:row>
    <x:row r="63" ht="24" customHeight="1">
      <x:c r="A63" s="326" t="n">
        <x:f>Daily!A19</x:f>
        <x:v>46349.5</x:v>
      </x:c>
      <x:c r="B63" s="318" t="str">
        <x:f>Daily!D19</x:f>
        <x:v>Skill A + interval circuit</x:v>
      </x:c>
      <x:c r="C63" s="318" t="str">
        <x:v>Core</x:v>
      </x:c>
      <x:c r="D63" s="318" t="str">
        <x:v>rounds</x:v>
      </x:c>
      <x:c r="E63" s="320" t="b">
        <x:v>1</x:v>
      </x:c>
      <x:c r="F63" s="328" t="n">
        <x:v>5</x:v>
      </x:c>
      <x:c r="G63" s="329" t="str">
        <x:f>IF(AND(Daily!Z19=TRUE,COUNT(Daily!AA19)&gt;0),SUM(Daily!AA19),"")</x:f>
      </x:c>
      <x:c r="H63" s="329" t="n">
        <x:f>IF(AND(E63=TRUE,ISNUMBER(F63),F63&gt;0),100,"")</x:f>
        <x:v>100</x:v>
      </x:c>
      <x:c r="I63" s="329" t="str">
        <x:f>IF(AND(ISNUMBER(H63),ISNUMBER(G63)),IF(J63="lower",IF(G63&gt;0,100*F63/G63,""),100*G63/F63),"")</x:f>
      </x:c>
      <x:c r="J63" s="321" t="str">
        <x:v>higher</x:v>
      </x:c>
    </x:row>
    <x:row r="64" ht="24" customHeight="1">
      <x:c r="A64" s="327" t="n">
        <x:f>Daily!A20</x:f>
        <x:v>46350.5</x:v>
      </x:c>
      <x:c r="B64" s="322" t="str">
        <x:f>Daily!D20</x:f>
        <x:v>Handstand technique</x:v>
      </x:c>
      <x:c r="C64" s="322" t="str">
        <x:v>A · Wrist/shoulder mobility</x:v>
      </x:c>
      <x:c r="D64" s="322" t="str">
        <x:v>seconds</x:v>
      </x:c>
      <x:c r="E64" s="324" t="b">
        <x:v>1</x:v>
      </x:c>
      <x:c r="F64" s="330" t="n">
        <x:v>120</x:v>
      </x:c>
      <x:c r="G64" s="331" t="str">
        <x:f>IF(AND(Daily!H20=TRUE,COUNT(Daily!I20)&gt;0),SUM(Daily!I20)*86400,"")</x:f>
      </x:c>
      <x:c r="H64" s="331" t="n">
        <x:f>IF(AND(E64=TRUE,ISNUMBER(F64),F64&gt;0),100,"")</x:f>
        <x:v>100</x:v>
      </x:c>
      <x:c r="I64" s="331" t="str">
        <x:f>IF(AND(ISNUMBER(H64),ISNUMBER(G64)),IF(J64="lower",IF(G64&gt;0,100*F64/G64,""),100*G64/F64),"")</x:f>
      </x:c>
      <x:c r="J64" s="325" t="str">
        <x:v>higher</x:v>
      </x:c>
    </x:row>
    <x:row r="65" ht="24" customHeight="1">
      <x:c r="A65" s="326" t="n">
        <x:f>Daily!A20</x:f>
        <x:v>46350.5</x:v>
      </x:c>
      <x:c r="B65" s="318" t="str">
        <x:f>Daily!D20</x:f>
        <x:v>Handstand technique</x:v>
      </x:c>
      <x:c r="C65" s="318" t="str">
        <x:v>B · Easy chest-to-wall hold</x:v>
      </x:c>
      <x:c r="D65" s="318" t="str">
        <x:v>seconds</x:v>
      </x:c>
      <x:c r="E65" s="320" t="b">
        <x:v>1</x:v>
      </x:c>
      <x:c r="F65" s="328" t="n">
        <x:v>45</x:v>
      </x:c>
      <x:c r="G65" s="329" t="str">
        <x:f>IF(AND(Daily!N20=TRUE,COUNT(Daily!O20,Daily!P20,Daily!Q20)&gt;0),SUM(Daily!O20,Daily!P20,Daily!Q20)*86400,"")</x:f>
      </x:c>
      <x:c r="H65" s="329" t="n">
        <x:f>IF(AND(E65=TRUE,ISNUMBER(F65),F65&gt;0),100,"")</x:f>
        <x:v>100</x:v>
      </x:c>
      <x:c r="I65" s="329" t="str">
        <x:f>IF(AND(ISNUMBER(H65),ISNUMBER(G65)),IF(J65="lower",IF(G65&gt;0,100*F65/G65,""),100*G65/F65),"")</x:f>
      </x:c>
      <x:c r="J65" s="321" t="str">
        <x:v>higher</x:v>
      </x:c>
    </x:row>
    <x:row r="66" ht="24" customHeight="1">
      <x:c r="A66" s="327" t="n">
        <x:f>Daily!A20</x:f>
        <x:v>46350.5</x:v>
      </x:c>
      <x:c r="B66" s="322" t="str">
        <x:f>Daily!D20</x:f>
        <x:v>Handstand technique</x:v>
      </x:c>
      <x:c r="C66" s="322" t="str">
        <x:v>C · Wall handstand line drill</x:v>
      </x:c>
      <x:c r="D66" s="322" t="str">
        <x:v>seconds</x:v>
      </x:c>
      <x:c r="E66" s="324" t="b">
        <x:v>1</x:v>
      </x:c>
      <x:c r="F66" s="330" t="n">
        <x:v>30</x:v>
      </x:c>
      <x:c r="G66" s="331" t="str">
        <x:f>IF(AND(Daily!T20=TRUE,COUNT(Daily!U20,Daily!V20)&gt;0),SUM(Daily!U20,Daily!V20)*86400,"")</x:f>
      </x:c>
      <x:c r="H66" s="331" t="n">
        <x:f>IF(AND(E66=TRUE,ISNUMBER(F66),F66&gt;0),100,"")</x:f>
        <x:v>100</x:v>
      </x:c>
      <x:c r="I66" s="331" t="str">
        <x:f>IF(AND(ISNUMBER(H66),ISNUMBER(G66)),IF(J66="lower",IF(G66&gt;0,100*F66/G66,""),100*G66/F66),"")</x:f>
      </x:c>
      <x:c r="J66" s="325" t="str">
        <x:v>higher</x:v>
      </x:c>
    </x:row>
    <x:row r="67" ht="24" customHeight="1">
      <x:c r="A67" s="326" t="n">
        <x:f>Daily!A21</x:f>
        <x:v>46352.5</x:v>
      </x:c>
      <x:c r="B67" s="318" t="str">
        <x:f>Daily!D21</x:f>
        <x:v>Skill B + circuit</x:v>
      </x:c>
      <x:c r="C67" s="318" t="str">
        <x:v>A · Deficit pike push-up</x:v>
      </x:c>
      <x:c r="D67" s="318" t="str">
        <x:v>reps</x:v>
      </x:c>
      <x:c r="E67" s="320" t="b">
        <x:v>1</x:v>
      </x:c>
      <x:c r="F67" s="328" t="n">
        <x:v>12</x:v>
      </x:c>
      <x:c r="G67" s="329" t="str">
        <x:f>IF(AND(Daily!H21=TRUE,COUNT(Daily!I21,Daily!J21,Daily!K21)&gt;0),SUM(Daily!I21,Daily!J21,Daily!K21),"")</x:f>
      </x:c>
      <x:c r="H67" s="329" t="n">
        <x:f>IF(AND(E67=TRUE,ISNUMBER(F67),F67&gt;0),100,"")</x:f>
        <x:v>100</x:v>
      </x:c>
      <x:c r="I67" s="329" t="str">
        <x:f>IF(AND(ISNUMBER(H67),ISNUMBER(G67)),IF(J67="lower",IF(G67&gt;0,100*F67/G67,""),100*G67/F67),"")</x:f>
      </x:c>
      <x:c r="J67" s="321" t="str">
        <x:v>higher</x:v>
      </x:c>
    </x:row>
    <x:row r="68" ht="24" customHeight="1">
      <x:c r="A68" s="327" t="n">
        <x:f>Daily!A21</x:f>
        <x:v>46352.5</x:v>
      </x:c>
      <x:c r="B68" s="322" t="str">
        <x:f>Daily!D21</x:f>
        <x:v>Skill B + circuit</x:v>
      </x:c>
      <x:c r="C68" s="322" t="str">
        <x:v>C · Counterweight pistol</x:v>
      </x:c>
      <x:c r="D68" s="322" t="str">
        <x:v>reps/leg</x:v>
      </x:c>
      <x:c r="E68" s="324" t="b">
        <x:v>1</x:v>
      </x:c>
      <x:c r="F68" s="330" t="n">
        <x:v>12</x:v>
      </x:c>
      <x:c r="G68" s="331" t="str">
        <x:f>IF(AND(Daily!T21=TRUE,COUNT(Daily!U21,Daily!V21,Daily!W21)&gt;0),SUM(Daily!U21,Daily!V21,Daily!W21),"")</x:f>
      </x:c>
      <x:c r="H68" s="331" t="n">
        <x:f>IF(AND(E68=TRUE,ISNUMBER(F68),F68&gt;0),100,"")</x:f>
        <x:v>100</x:v>
      </x:c>
      <x:c r="I68" s="331" t="str">
        <x:f>IF(AND(ISNUMBER(H68),ISNUMBER(G68)),IF(J68="lower",IF(G68&gt;0,100*F68/G68,""),100*G68/F68),"")</x:f>
      </x:c>
      <x:c r="J68" s="325" t="str">
        <x:v>higher</x:v>
      </x:c>
    </x:row>
    <x:row r="69" ht="24" customHeight="1">
      <x:c r="A69" s="326" t="n">
        <x:f>Daily!A21</x:f>
        <x:v>46352.5</x:v>
      </x:c>
      <x:c r="B69" s="318" t="str">
        <x:f>Daily!D21</x:f>
        <x:v>Skill B + circuit</x:v>
      </x:c>
      <x:c r="C69" s="318" t="str">
        <x:v>Core</x:v>
      </x:c>
      <x:c r="D69" s="318" t="str">
        <x:v>rounds</x:v>
      </x:c>
      <x:c r="E69" s="320" t="b">
        <x:v>1</x:v>
      </x:c>
      <x:c r="F69" s="328" t="n">
        <x:v>5</x:v>
      </x:c>
      <x:c r="G69" s="329" t="str">
        <x:f>IF(AND(Daily!Z21=TRUE,COUNT(Daily!AA21)&gt;0),SUM(Daily!AA21),"")</x:f>
      </x:c>
      <x:c r="H69" s="329" t="n">
        <x:f>IF(AND(E69=TRUE,ISNUMBER(F69),F69&gt;0),100,"")</x:f>
        <x:v>100</x:v>
      </x:c>
      <x:c r="I69" s="329" t="str">
        <x:f>IF(AND(ISNUMBER(H69),ISNUMBER(G69)),IF(J69="lower",IF(G69&gt;0,100*F69/G69,""),100*G69/F69),"")</x:f>
      </x:c>
      <x:c r="J69" s="321" t="str">
        <x:v>higher</x:v>
      </x:c>
    </x:row>
    <x:row r="70" ht="24" customHeight="1">
      <x:c r="A70" s="327" t="n">
        <x:f>Daily!A22</x:f>
        <x:v>46354.5</x:v>
      </x:c>
      <x:c r="B70" s="322" t="str">
        <x:f>Daily!D22</x:f>
        <x:v>Skill micro-session</x:v>
      </x:c>
      <x:c r="C70" s="322" t="str">
        <x:v>A · Wrist/shoulder mobility</x:v>
      </x:c>
      <x:c r="D70" s="322" t="str">
        <x:v>seconds</x:v>
      </x:c>
      <x:c r="E70" s="324" t="b">
        <x:v>1</x:v>
      </x:c>
      <x:c r="F70" s="330" t="n">
        <x:v>120</x:v>
      </x:c>
      <x:c r="G70" s="331" t="str">
        <x:f>IF(AND(Daily!H22=TRUE,COUNT(Daily!I22)&gt;0),SUM(Daily!I22)*86400,"")</x:f>
      </x:c>
      <x:c r="H70" s="331" t="n">
        <x:f>IF(AND(E70=TRUE,ISNUMBER(F70),F70&gt;0),100,"")</x:f>
        <x:v>100</x:v>
      </x:c>
      <x:c r="I70" s="331" t="str">
        <x:f>IF(AND(ISNUMBER(H70),ISNUMBER(G70)),IF(J70="lower",IF(G70&gt;0,100*F70/G70,""),100*G70/F70),"")</x:f>
      </x:c>
      <x:c r="J70" s="325" t="str">
        <x:v>higher</x:v>
      </x:c>
    </x:row>
    <x:row r="71" ht="24" customHeight="1">
      <x:c r="A71" s="326" t="n">
        <x:f>Daily!A22</x:f>
        <x:v>46354.5</x:v>
      </x:c>
      <x:c r="B71" s="318" t="str">
        <x:f>Daily!D22</x:f>
        <x:v>Skill micro-session</x:v>
      </x:c>
      <x:c r="C71" s="318" t="str">
        <x:v>B · Easy chest-to-wall hold</x:v>
      </x:c>
      <x:c r="D71" s="318" t="str">
        <x:v>seconds</x:v>
      </x:c>
      <x:c r="E71" s="320" t="b">
        <x:v>1</x:v>
      </x:c>
      <x:c r="F71" s="328" t="n">
        <x:v>45</x:v>
      </x:c>
      <x:c r="G71" s="329" t="str">
        <x:f>IF(AND(Daily!N22=TRUE,COUNT(Daily!O22,Daily!P22,Daily!Q22)&gt;0),SUM(Daily!O22,Daily!P22,Daily!Q22)*86400,"")</x:f>
      </x:c>
      <x:c r="H71" s="329" t="n">
        <x:f>IF(AND(E71=TRUE,ISNUMBER(F71),F71&gt;0),100,"")</x:f>
        <x:v>100</x:v>
      </x:c>
      <x:c r="I71" s="329" t="str">
        <x:f>IF(AND(ISNUMBER(H71),ISNUMBER(G71)),IF(J71="lower",IF(G71&gt;0,100*F71/G71,""),100*G71/F71),"")</x:f>
      </x:c>
      <x:c r="J71" s="321" t="str">
        <x:v>higher</x:v>
      </x:c>
    </x:row>
    <x:row r="72" ht="24" customHeight="1">
      <x:c r="A72" s="327" t="n">
        <x:f>Daily!A22</x:f>
        <x:v>46354.5</x:v>
      </x:c>
      <x:c r="B72" s="322" t="str">
        <x:f>Daily!D22</x:f>
        <x:v>Skill micro-session</x:v>
      </x:c>
      <x:c r="C72" s="322" t="str">
        <x:v>C · Wall handstand line drill</x:v>
      </x:c>
      <x:c r="D72" s="322" t="str">
        <x:v>seconds</x:v>
      </x:c>
      <x:c r="E72" s="324" t="b">
        <x:v>1</x:v>
      </x:c>
      <x:c r="F72" s="330" t="n">
        <x:v>45</x:v>
      </x:c>
      <x:c r="G72" s="331" t="str">
        <x:f>IF(AND(Daily!T22=TRUE,COUNT(Daily!U22,Daily!V22,Daily!W22)&gt;0),SUM(Daily!U22,Daily!V22,Daily!W22)*86400,"")</x:f>
      </x:c>
      <x:c r="H72" s="331" t="n">
        <x:f>IF(AND(E72=TRUE,ISNUMBER(F72),F72&gt;0),100,"")</x:f>
        <x:v>100</x:v>
      </x:c>
      <x:c r="I72" s="331" t="str">
        <x:f>IF(AND(ISNUMBER(H72),ISNUMBER(G72)),IF(J72="lower",IF(G72&gt;0,100*F72/G72,""),100*G72/F72),"")</x:f>
      </x:c>
      <x:c r="J72" s="325" t="str">
        <x:v>higher</x:v>
      </x:c>
    </x:row>
    <x:row r="73" ht="24" customHeight="1">
      <x:c r="A73" s="326" t="n">
        <x:f>Daily!A23</x:f>
        <x:v>46356.5</x:v>
      </x:c>
      <x:c r="B73" s="318" t="str">
        <x:f>Daily!D23</x:f>
        <x:v>Skill A + interval circuit</x:v>
      </x:c>
      <x:c r="C73" s="318" t="str">
        <x:v>A · Jumping muscle-up</x:v>
      </x:c>
      <x:c r="D73" s="318" t="str">
        <x:v>reps</x:v>
      </x:c>
      <x:c r="E73" s="320" t="b">
        <x:v>1</x:v>
      </x:c>
      <x:c r="F73" s="328" t="n">
        <x:v>9</x:v>
      </x:c>
      <x:c r="G73" s="329" t="str">
        <x:f>IF(AND(Daily!H23=TRUE,COUNT(Daily!I23,Daily!J23,Daily!K23)&gt;0),SUM(Daily!I23,Daily!J23,Daily!K23),"")</x:f>
      </x:c>
      <x:c r="H73" s="329" t="n">
        <x:f>IF(AND(E73=TRUE,ISNUMBER(F73),F73&gt;0),100,"")</x:f>
        <x:v>100</x:v>
      </x:c>
      <x:c r="I73" s="329" t="str">
        <x:f>IF(AND(ISNUMBER(H73),ISNUMBER(G73)),IF(J73="lower",IF(G73&gt;0,100*F73/G73,""),100*G73/F73),"")</x:f>
      </x:c>
      <x:c r="J73" s="321" t="str">
        <x:v>higher</x:v>
      </x:c>
    </x:row>
    <x:row r="74" ht="24" customHeight="1">
      <x:c r="A74" s="327" t="n">
        <x:f>Daily!A23</x:f>
        <x:v>46356.5</x:v>
      </x:c>
      <x:c r="B74" s="322" t="str">
        <x:f>Daily!D23</x:f>
        <x:v>Skill A + interval circuit</x:v>
      </x:c>
      <x:c r="C74" s="322" t="str">
        <x:v>B · Low-bar slow transition</x:v>
      </x:c>
      <x:c r="D74" s="322" t="str">
        <x:v>reps</x:v>
      </x:c>
      <x:c r="E74" s="324" t="b">
        <x:v>1</x:v>
      </x:c>
      <x:c r="F74" s="330" t="n">
        <x:v>9</x:v>
      </x:c>
      <x:c r="G74" s="331" t="str">
        <x:f>IF(AND(Daily!N23=TRUE,COUNT(Daily!O23,Daily!P23,Daily!Q23)&gt;0),SUM(Daily!O23,Daily!P23,Daily!Q23),"")</x:f>
      </x:c>
      <x:c r="H74" s="331" t="n">
        <x:f>IF(AND(E74=TRUE,ISNUMBER(F74),F74&gt;0),100,"")</x:f>
        <x:v>100</x:v>
      </x:c>
      <x:c r="I74" s="331" t="str">
        <x:f>IF(AND(ISNUMBER(H74),ISNUMBER(G74)),IF(J74="lower",IF(G74&gt;0,100*F74/G74,""),100*G74/F74),"")</x:f>
      </x:c>
      <x:c r="J74" s="325" t="str">
        <x:v>higher</x:v>
      </x:c>
    </x:row>
    <x:row r="75" ht="24" customHeight="1">
      <x:c r="A75" s="326" t="n">
        <x:f>Daily!A23</x:f>
        <x:v>46356.5</x:v>
      </x:c>
      <x:c r="B75" s="318" t="str">
        <x:f>Daily!D23</x:f>
        <x:v>Skill A + interval circuit</x:v>
      </x:c>
      <x:c r="C75" s="318" t="str">
        <x:v>C · Light-counterweight pistol</x:v>
      </x:c>
      <x:c r="D75" s="318" t="str">
        <x:v>reps/leg</x:v>
      </x:c>
      <x:c r="E75" s="320" t="b">
        <x:v>1</x:v>
      </x:c>
      <x:c r="F75" s="328" t="n">
        <x:v>12</x:v>
      </x:c>
      <x:c r="G75" s="329" t="str">
        <x:f>IF(AND(Daily!T23=TRUE,COUNT(Daily!U23,Daily!V23,Daily!W23)&gt;0),SUM(Daily!U23,Daily!V23,Daily!W23),"")</x:f>
      </x:c>
      <x:c r="H75" s="329" t="n">
        <x:f>IF(AND(E75=TRUE,ISNUMBER(F75),F75&gt;0),100,"")</x:f>
        <x:v>100</x:v>
      </x:c>
      <x:c r="I75" s="329" t="str">
        <x:f>IF(AND(ISNUMBER(H75),ISNUMBER(G75)),IF(J75="lower",IF(G75&gt;0,100*F75/G75,""),100*G75/F75),"")</x:f>
      </x:c>
      <x:c r="J75" s="321" t="str">
        <x:v>higher</x:v>
      </x:c>
    </x:row>
    <x:row r="76" ht="24" customHeight="1">
      <x:c r="A76" s="327" t="n">
        <x:f>Daily!A23</x:f>
        <x:v>46356.5</x:v>
      </x:c>
      <x:c r="B76" s="322" t="str">
        <x:f>Daily!D23</x:f>
        <x:v>Skill A + interval circuit</x:v>
      </x:c>
      <x:c r="C76" s="322" t="str">
        <x:v>Core</x:v>
      </x:c>
      <x:c r="D76" s="322" t="str">
        <x:v>rounds</x:v>
      </x:c>
      <x:c r="E76" s="324" t="b">
        <x:v>1</x:v>
      </x:c>
      <x:c r="F76" s="330" t="n">
        <x:v>5</x:v>
      </x:c>
      <x:c r="G76" s="331" t="str">
        <x:f>IF(AND(Daily!Z23=TRUE,COUNT(Daily!AA23)&gt;0),SUM(Daily!AA23),"")</x:f>
      </x:c>
      <x:c r="H76" s="331" t="n">
        <x:f>IF(AND(E76=TRUE,ISNUMBER(F76),F76&gt;0),100,"")</x:f>
        <x:v>100</x:v>
      </x:c>
      <x:c r="I76" s="331" t="str">
        <x:f>IF(AND(ISNUMBER(H76),ISNUMBER(G76)),IF(J76="lower",IF(G76&gt;0,100*F76/G76,""),100*G76/F76),"")</x:f>
      </x:c>
      <x:c r="J76" s="325" t="str">
        <x:v>higher</x:v>
      </x:c>
    </x:row>
    <x:row r="77" ht="24" customHeight="1">
      <x:c r="A77" s="326" t="n">
        <x:f>Daily!A24</x:f>
        <x:v>46357.5</x:v>
      </x:c>
      <x:c r="B77" s="318" t="str">
        <x:f>Daily!D24</x:f>
        <x:v>Handstand technique</x:v>
      </x:c>
      <x:c r="C77" s="318" t="str">
        <x:v>A · Wrist/shoulder mobility</x:v>
      </x:c>
      <x:c r="D77" s="318" t="str">
        <x:v>seconds</x:v>
      </x:c>
      <x:c r="E77" s="320" t="b">
        <x:v>1</x:v>
      </x:c>
      <x:c r="F77" s="328" t="n">
        <x:v>120</x:v>
      </x:c>
      <x:c r="G77" s="329" t="str">
        <x:f>IF(AND(Daily!H24=TRUE,COUNT(Daily!I24)&gt;0),SUM(Daily!I24)*86400,"")</x:f>
      </x:c>
      <x:c r="H77" s="329" t="n">
        <x:f>IF(AND(E77=TRUE,ISNUMBER(F77),F77&gt;0),100,"")</x:f>
        <x:v>100</x:v>
      </x:c>
      <x:c r="I77" s="329" t="str">
        <x:f>IF(AND(ISNUMBER(H77),ISNUMBER(G77)),IF(J77="lower",IF(G77&gt;0,100*F77/G77,""),100*G77/F77),"")</x:f>
      </x:c>
      <x:c r="J77" s="321" t="str">
        <x:v>higher</x:v>
      </x:c>
    </x:row>
    <x:row r="78" ht="24" customHeight="1">
      <x:c r="A78" s="327" t="n">
        <x:f>Daily!A24</x:f>
        <x:v>46357.5</x:v>
      </x:c>
      <x:c r="B78" s="322" t="str">
        <x:f>Daily!D24</x:f>
        <x:v>Handstand technique</x:v>
      </x:c>
      <x:c r="C78" s="322" t="str">
        <x:v>B · Easy chest-to-wall hold</x:v>
      </x:c>
      <x:c r="D78" s="322" t="str">
        <x:v>seconds</x:v>
      </x:c>
      <x:c r="E78" s="324" t="b">
        <x:v>1</x:v>
      </x:c>
      <x:c r="F78" s="330" t="n">
        <x:v>45</x:v>
      </x:c>
      <x:c r="G78" s="331" t="str">
        <x:f>IF(AND(Daily!N24=TRUE,COUNT(Daily!O24,Daily!P24,Daily!Q24)&gt;0),SUM(Daily!O24,Daily!P24,Daily!Q24)*86400,"")</x:f>
      </x:c>
      <x:c r="H78" s="331" t="n">
        <x:f>IF(AND(E78=TRUE,ISNUMBER(F78),F78&gt;0),100,"")</x:f>
        <x:v>100</x:v>
      </x:c>
      <x:c r="I78" s="331" t="str">
        <x:f>IF(AND(ISNUMBER(H78),ISNUMBER(G78)),IF(J78="lower",IF(G78&gt;0,100*F78/G78,""),100*G78/F78),"")</x:f>
      </x:c>
      <x:c r="J78" s="325" t="str">
        <x:v>higher</x:v>
      </x:c>
    </x:row>
    <x:row r="79" ht="24" customHeight="1">
      <x:c r="A79" s="326" t="n">
        <x:f>Daily!A24</x:f>
        <x:v>46357.5</x:v>
      </x:c>
      <x:c r="B79" s="318" t="str">
        <x:f>Daily!D24</x:f>
        <x:v>Handstand technique</x:v>
      </x:c>
      <x:c r="C79" s="318" t="str">
        <x:v>C · Wall handstand line drill</x:v>
      </x:c>
      <x:c r="D79" s="318" t="str">
        <x:v>seconds</x:v>
      </x:c>
      <x:c r="E79" s="320" t="b">
        <x:v>1</x:v>
      </x:c>
      <x:c r="F79" s="328" t="n">
        <x:v>30</x:v>
      </x:c>
      <x:c r="G79" s="329" t="str">
        <x:f>IF(AND(Daily!T24=TRUE,COUNT(Daily!U24,Daily!V24)&gt;0),SUM(Daily!U24,Daily!V24)*86400,"")</x:f>
      </x:c>
      <x:c r="H79" s="329" t="n">
        <x:f>IF(AND(E79=TRUE,ISNUMBER(F79),F79&gt;0),100,"")</x:f>
        <x:v>100</x:v>
      </x:c>
      <x:c r="I79" s="329" t="str">
        <x:f>IF(AND(ISNUMBER(H79),ISNUMBER(G79)),IF(J79="lower",IF(G79&gt;0,100*F79/G79,""),100*G79/F79),"")</x:f>
      </x:c>
      <x:c r="J79" s="321" t="str">
        <x:v>higher</x:v>
      </x:c>
    </x:row>
    <x:row r="80" ht="24" customHeight="1">
      <x:c r="A80" s="327" t="n">
        <x:f>Daily!A25</x:f>
        <x:v>46359.5</x:v>
      </x:c>
      <x:c r="B80" s="322" t="str">
        <x:f>Daily!D25</x:f>
        <x:v>Skill B + circuit</x:v>
      </x:c>
      <x:c r="C80" s="322" t="str">
        <x:v>A · Partial wall HSPU</x:v>
      </x:c>
      <x:c r="D80" s="322" t="str">
        <x:v>reps</x:v>
      </x:c>
      <x:c r="E80" s="324" t="b">
        <x:v>1</x:v>
      </x:c>
      <x:c r="F80" s="330" t="n">
        <x:v>9</x:v>
      </x:c>
      <x:c r="G80" s="331" t="str">
        <x:f>IF(AND(Daily!H25=TRUE,COUNT(Daily!I25,Daily!J25,Daily!K25)&gt;0),SUM(Daily!I25,Daily!J25,Daily!K25),"")</x:f>
      </x:c>
      <x:c r="H80" s="331" t="n">
        <x:f>IF(AND(E80=TRUE,ISNUMBER(F80),F80&gt;0),100,"")</x:f>
        <x:v>100</x:v>
      </x:c>
      <x:c r="I80" s="331" t="str">
        <x:f>IF(AND(ISNUMBER(H80),ISNUMBER(G80)),IF(J80="lower",IF(G80&gt;0,100*F80/G80,""),100*G80/F80),"")</x:f>
      </x:c>
      <x:c r="J80" s="325" t="str">
        <x:v>higher</x:v>
      </x:c>
    </x:row>
    <x:row r="81" ht="24" customHeight="1">
      <x:c r="A81" s="326" t="n">
        <x:f>Daily!A25</x:f>
        <x:v>46359.5</x:v>
      </x:c>
      <x:c r="B81" s="318" t="str">
        <x:f>Daily!D25</x:f>
        <x:v>Skill B + circuit</x:v>
      </x:c>
      <x:c r="C81" s="318" t="str">
        <x:v>C · Light-counterweight pistol</x:v>
      </x:c>
      <x:c r="D81" s="318" t="str">
        <x:v>reps/leg</x:v>
      </x:c>
      <x:c r="E81" s="320" t="b">
        <x:v>1</x:v>
      </x:c>
      <x:c r="F81" s="328" t="n">
        <x:v>12</x:v>
      </x:c>
      <x:c r="G81" s="329" t="str">
        <x:f>IF(AND(Daily!T25=TRUE,COUNT(Daily!U25,Daily!V25,Daily!W25)&gt;0),SUM(Daily!U25,Daily!V25,Daily!W25),"")</x:f>
      </x:c>
      <x:c r="H81" s="329" t="n">
        <x:f>IF(AND(E81=TRUE,ISNUMBER(F81),F81&gt;0),100,"")</x:f>
        <x:v>100</x:v>
      </x:c>
      <x:c r="I81" s="329" t="str">
        <x:f>IF(AND(ISNUMBER(H81),ISNUMBER(G81)),IF(J81="lower",IF(G81&gt;0,100*F81/G81,""),100*G81/F81),"")</x:f>
      </x:c>
      <x:c r="J81" s="321" t="str">
        <x:v>higher</x:v>
      </x:c>
    </x:row>
    <x:row r="82" ht="24" customHeight="1">
      <x:c r="A82" s="327" t="n">
        <x:f>Daily!A25</x:f>
        <x:v>46359.5</x:v>
      </x:c>
      <x:c r="B82" s="322" t="str">
        <x:f>Daily!D25</x:f>
        <x:v>Skill B + circuit</x:v>
      </x:c>
      <x:c r="C82" s="322" t="str">
        <x:v>Core</x:v>
      </x:c>
      <x:c r="D82" s="322" t="str">
        <x:v>rounds</x:v>
      </x:c>
      <x:c r="E82" s="324" t="b">
        <x:v>1</x:v>
      </x:c>
      <x:c r="F82" s="330" t="n">
        <x:v>5</x:v>
      </x:c>
      <x:c r="G82" s="331" t="str">
        <x:f>IF(AND(Daily!Z25=TRUE,COUNT(Daily!AA25)&gt;0),SUM(Daily!AA25),"")</x:f>
      </x:c>
      <x:c r="H82" s="331" t="n">
        <x:f>IF(AND(E82=TRUE,ISNUMBER(F82),F82&gt;0),100,"")</x:f>
        <x:v>100</x:v>
      </x:c>
      <x:c r="I82" s="331" t="str">
        <x:f>IF(AND(ISNUMBER(H82),ISNUMBER(G82)),IF(J82="lower",IF(G82&gt;0,100*F82/G82,""),100*G82/F82),"")</x:f>
      </x:c>
      <x:c r="J82" s="325" t="str">
        <x:v>higher</x:v>
      </x:c>
    </x:row>
    <x:row r="83" ht="24" customHeight="1">
      <x:c r="A83" s="326" t="n">
        <x:f>Daily!A26</x:f>
        <x:v>46361.5</x:v>
      </x:c>
      <x:c r="B83" s="318" t="str">
        <x:f>Daily!D26</x:f>
        <x:v>Skill micro-session</x:v>
      </x:c>
      <x:c r="C83" s="318" t="str">
        <x:v>A · Wrist/shoulder mobility</x:v>
      </x:c>
      <x:c r="D83" s="318" t="str">
        <x:v>seconds</x:v>
      </x:c>
      <x:c r="E83" s="320" t="b">
        <x:v>1</x:v>
      </x:c>
      <x:c r="F83" s="328" t="n">
        <x:v>120</x:v>
      </x:c>
      <x:c r="G83" s="329" t="str">
        <x:f>IF(AND(Daily!H26=TRUE,COUNT(Daily!I26)&gt;0),SUM(Daily!I26)*86400,"")</x:f>
      </x:c>
      <x:c r="H83" s="329" t="n">
        <x:f>IF(AND(E83=TRUE,ISNUMBER(F83),F83&gt;0),100,"")</x:f>
        <x:v>100</x:v>
      </x:c>
      <x:c r="I83" s="329" t="str">
        <x:f>IF(AND(ISNUMBER(H83),ISNUMBER(G83)),IF(J83="lower",IF(G83&gt;0,100*F83/G83,""),100*G83/F83),"")</x:f>
      </x:c>
      <x:c r="J83" s="321" t="str">
        <x:v>higher</x:v>
      </x:c>
    </x:row>
    <x:row r="84" ht="24" customHeight="1">
      <x:c r="A84" s="327" t="n">
        <x:f>Daily!A26</x:f>
        <x:v>46361.5</x:v>
      </x:c>
      <x:c r="B84" s="322" t="str">
        <x:f>Daily!D26</x:f>
        <x:v>Skill micro-session</x:v>
      </x:c>
      <x:c r="C84" s="322" t="str">
        <x:v>B · Easy chest-to-wall hold</x:v>
      </x:c>
      <x:c r="D84" s="322" t="str">
        <x:v>seconds</x:v>
      </x:c>
      <x:c r="E84" s="324" t="b">
        <x:v>1</x:v>
      </x:c>
      <x:c r="F84" s="330" t="n">
        <x:v>45</x:v>
      </x:c>
      <x:c r="G84" s="331" t="str">
        <x:f>IF(AND(Daily!N26=TRUE,COUNT(Daily!O26,Daily!P26,Daily!Q26)&gt;0),SUM(Daily!O26,Daily!P26,Daily!Q26)*86400,"")</x:f>
      </x:c>
      <x:c r="H84" s="331" t="n">
        <x:f>IF(AND(E84=TRUE,ISNUMBER(F84),F84&gt;0),100,"")</x:f>
        <x:v>100</x:v>
      </x:c>
      <x:c r="I84" s="331" t="str">
        <x:f>IF(AND(ISNUMBER(H84),ISNUMBER(G84)),IF(J84="lower",IF(G84&gt;0,100*F84/G84,""),100*G84/F84),"")</x:f>
      </x:c>
      <x:c r="J84" s="325" t="str">
        <x:v>higher</x:v>
      </x:c>
    </x:row>
    <x:row r="85" ht="24" customHeight="1">
      <x:c r="A85" s="326" t="n">
        <x:f>Daily!A26</x:f>
        <x:v>46361.5</x:v>
      </x:c>
      <x:c r="B85" s="318" t="str">
        <x:f>Daily!D26</x:f>
        <x:v>Skill micro-session</x:v>
      </x:c>
      <x:c r="C85" s="318" t="str">
        <x:v>C · Wall handstand line drill</x:v>
      </x:c>
      <x:c r="D85" s="318" t="str">
        <x:v>seconds</x:v>
      </x:c>
      <x:c r="E85" s="320" t="b">
        <x:v>1</x:v>
      </x:c>
      <x:c r="F85" s="328" t="n">
        <x:v>45</x:v>
      </x:c>
      <x:c r="G85" s="329" t="str">
        <x:f>IF(AND(Daily!T26=TRUE,COUNT(Daily!U26,Daily!V26,Daily!W26)&gt;0),SUM(Daily!U26,Daily!V26,Daily!W26)*86400,"")</x:f>
      </x:c>
      <x:c r="H85" s="329" t="n">
        <x:f>IF(AND(E85=TRUE,ISNUMBER(F85),F85&gt;0),100,"")</x:f>
        <x:v>100</x:v>
      </x:c>
      <x:c r="I85" s="329" t="str">
        <x:f>IF(AND(ISNUMBER(H85),ISNUMBER(G85)),IF(J85="lower",IF(G85&gt;0,100*F85/G85,""),100*G85/F85),"")</x:f>
      </x:c>
      <x:c r="J85" s="321" t="str">
        <x:v>higher</x:v>
      </x:c>
    </x:row>
    <x:row r="86" ht="24" customHeight="1">
      <x:c r="A86" s="327" t="n">
        <x:f>Daily!A27</x:f>
        <x:v>46363.5</x:v>
      </x:c>
      <x:c r="B86" s="322" t="str">
        <x:f>Daily!D27</x:f>
        <x:v>Skill A + interval circuit</x:v>
      </x:c>
      <x:c r="C86" s="322" t="str">
        <x:v>A · Light-band muscle-up</x:v>
      </x:c>
      <x:c r="D86" s="322" t="str">
        <x:v>reps</x:v>
      </x:c>
      <x:c r="E86" s="324" t="b">
        <x:v>1</x:v>
      </x:c>
      <x:c r="F86" s="330" t="n">
        <x:v>4</x:v>
      </x:c>
      <x:c r="G86" s="331" t="str">
        <x:f>IF(AND(Daily!H27=TRUE,COUNT(Daily!I27,Daily!J27,Daily!K27,Daily!L27)&gt;0),SUM(Daily!I27,Daily!J27,Daily!K27,Daily!L27),"")</x:f>
      </x:c>
      <x:c r="H86" s="331" t="n">
        <x:f>IF(AND(E86=TRUE,ISNUMBER(F86),F86&gt;0),100,"")</x:f>
        <x:v>100</x:v>
      </x:c>
      <x:c r="I86" s="331" t="str">
        <x:f>IF(AND(ISNUMBER(H86),ISNUMBER(G86)),IF(J86="lower",IF(G86&gt;0,100*F86/G86,""),100*G86/F86),"")</x:f>
      </x:c>
      <x:c r="J86" s="325" t="str">
        <x:v>higher</x:v>
      </x:c>
    </x:row>
    <x:row r="87" ht="24" customHeight="1">
      <x:c r="A87" s="326" t="n">
        <x:f>Daily!A27</x:f>
        <x:v>46363.5</x:v>
      </x:c>
      <x:c r="B87" s="318" t="str">
        <x:f>Daily!D27</x:f>
        <x:v>Skill A + interval circuit</x:v>
      </x:c>
      <x:c r="C87" s="318" t="str">
        <x:v>B · Band-assisted transition</x:v>
      </x:c>
      <x:c r="D87" s="318" t="str">
        <x:v>reps</x:v>
      </x:c>
      <x:c r="E87" s="320" t="b">
        <x:v>1</x:v>
      </x:c>
      <x:c r="F87" s="328" t="n">
        <x:v>6</x:v>
      </x:c>
      <x:c r="G87" s="329" t="str">
        <x:f>IF(AND(Daily!N27=TRUE,COUNT(Daily!O27,Daily!P27,Daily!Q27)&gt;0),SUM(Daily!O27,Daily!P27,Daily!Q27),"")</x:f>
      </x:c>
      <x:c r="H87" s="329" t="n">
        <x:f>IF(AND(E87=TRUE,ISNUMBER(F87),F87&gt;0),100,"")</x:f>
        <x:v>100</x:v>
      </x:c>
      <x:c r="I87" s="329" t="str">
        <x:f>IF(AND(ISNUMBER(H87),ISNUMBER(G87)),IF(J87="lower",IF(G87&gt;0,100*F87/G87,""),100*G87/F87),"")</x:f>
      </x:c>
      <x:c r="J87" s="321" t="str">
        <x:v>higher</x:v>
      </x:c>
    </x:row>
    <x:row r="88" ht="24" customHeight="1">
      <x:c r="A88" s="327" t="n">
        <x:f>Daily!A27</x:f>
        <x:v>46363.5</x:v>
      </x:c>
      <x:c r="B88" s="322" t="str">
        <x:f>Daily!D27</x:f>
        <x:v>Skill A + interval circuit</x:v>
      </x:c>
      <x:c r="C88" s="322" t="str">
        <x:v>C · Unassisted pistol to target</x:v>
      </x:c>
      <x:c r="D88" s="322" t="str">
        <x:v>reps/leg</x:v>
      </x:c>
      <x:c r="E88" s="324" t="b">
        <x:v>1</x:v>
      </x:c>
      <x:c r="F88" s="330" t="n">
        <x:v>3</x:v>
      </x:c>
      <x:c r="G88" s="331" t="str">
        <x:f>IF(AND(Daily!T27=TRUE,COUNT(Daily!U27,Daily!V27,Daily!W27)&gt;0),SUM(Daily!U27,Daily!V27,Daily!W27),"")</x:f>
      </x:c>
      <x:c r="H88" s="331" t="n">
        <x:f>IF(AND(E88=TRUE,ISNUMBER(F88),F88&gt;0),100,"")</x:f>
        <x:v>100</x:v>
      </x:c>
      <x:c r="I88" s="331" t="str">
        <x:f>IF(AND(ISNUMBER(H88),ISNUMBER(G88)),IF(J88="lower",IF(G88&gt;0,100*F88/G88,""),100*G88/F88),"")</x:f>
      </x:c>
      <x:c r="J88" s="325" t="str">
        <x:v>higher</x:v>
      </x:c>
    </x:row>
    <x:row r="89" ht="24" customHeight="1">
      <x:c r="A89" s="326" t="n">
        <x:f>Daily!A27</x:f>
        <x:v>46363.5</x:v>
      </x:c>
      <x:c r="B89" s="318" t="str">
        <x:f>Daily!D27</x:f>
        <x:v>Skill A + interval circuit</x:v>
      </x:c>
      <x:c r="C89" s="318" t="str">
        <x:v>Core</x:v>
      </x:c>
      <x:c r="D89" s="318" t="str">
        <x:v>rounds</x:v>
      </x:c>
      <x:c r="E89" s="320" t="b">
        <x:v>1</x:v>
      </x:c>
      <x:c r="F89" s="328" t="n">
        <x:v>5</x:v>
      </x:c>
      <x:c r="G89" s="329" t="str">
        <x:f>IF(AND(Daily!Z27=TRUE,COUNT(Daily!AA27)&gt;0),SUM(Daily!AA27),"")</x:f>
      </x:c>
      <x:c r="H89" s="329" t="n">
        <x:f>IF(AND(E89=TRUE,ISNUMBER(F89),F89&gt;0),100,"")</x:f>
        <x:v>100</x:v>
      </x:c>
      <x:c r="I89" s="329" t="str">
        <x:f>IF(AND(ISNUMBER(H89),ISNUMBER(G89)),IF(J89="lower",IF(G89&gt;0,100*F89/G89,""),100*G89/F89),"")</x:f>
      </x:c>
      <x:c r="J89" s="321" t="str">
        <x:v>higher</x:v>
      </x:c>
    </x:row>
    <x:row r="90" ht="24" customHeight="1">
      <x:c r="A90" s="327" t="n">
        <x:f>Daily!A28</x:f>
        <x:v>46364.5</x:v>
      </x:c>
      <x:c r="B90" s="322" t="str">
        <x:f>Daily!D28</x:f>
        <x:v>Handstand technique</x:v>
      </x:c>
      <x:c r="C90" s="322" t="str">
        <x:v>A · Wrist/shoulder mobility</x:v>
      </x:c>
      <x:c r="D90" s="322" t="str">
        <x:v>seconds</x:v>
      </x:c>
      <x:c r="E90" s="324" t="b">
        <x:v>1</x:v>
      </x:c>
      <x:c r="F90" s="330" t="n">
        <x:v>120</x:v>
      </x:c>
      <x:c r="G90" s="331" t="str">
        <x:f>IF(AND(Daily!H28=TRUE,COUNT(Daily!I28)&gt;0),SUM(Daily!I28)*86400,"")</x:f>
      </x:c>
      <x:c r="H90" s="331" t="n">
        <x:f>IF(AND(E90=TRUE,ISNUMBER(F90),F90&gt;0),100,"")</x:f>
        <x:v>100</x:v>
      </x:c>
      <x:c r="I90" s="331" t="str">
        <x:f>IF(AND(ISNUMBER(H90),ISNUMBER(G90)),IF(J90="lower",IF(G90&gt;0,100*F90/G90,""),100*G90/F90),"")</x:f>
      </x:c>
      <x:c r="J90" s="325" t="str">
        <x:v>higher</x:v>
      </x:c>
    </x:row>
    <x:row r="91" ht="24" customHeight="1">
      <x:c r="A91" s="326" t="n">
        <x:f>Daily!A28</x:f>
        <x:v>46364.5</x:v>
      </x:c>
      <x:c r="B91" s="318" t="str">
        <x:f>Daily!D28</x:f>
        <x:v>Handstand technique</x:v>
      </x:c>
      <x:c r="C91" s="318" t="str">
        <x:v>B · Easy chest-to-wall hold</x:v>
      </x:c>
      <x:c r="D91" s="318" t="str">
        <x:v>seconds</x:v>
      </x:c>
      <x:c r="E91" s="320" t="b">
        <x:v>1</x:v>
      </x:c>
      <x:c r="F91" s="328" t="n">
        <x:v>45</x:v>
      </x:c>
      <x:c r="G91" s="329" t="str">
        <x:f>IF(AND(Daily!N28=TRUE,COUNT(Daily!O28,Daily!P28,Daily!Q28)&gt;0),SUM(Daily!O28,Daily!P28,Daily!Q28)*86400,"")</x:f>
      </x:c>
      <x:c r="H91" s="329" t="n">
        <x:f>IF(AND(E91=TRUE,ISNUMBER(F91),F91&gt;0),100,"")</x:f>
        <x:v>100</x:v>
      </x:c>
      <x:c r="I91" s="329" t="str">
        <x:f>IF(AND(ISNUMBER(H91),ISNUMBER(G91)),IF(J91="lower",IF(G91&gt;0,100*F91/G91,""),100*G91/F91),"")</x:f>
      </x:c>
      <x:c r="J91" s="321" t="str">
        <x:v>higher</x:v>
      </x:c>
    </x:row>
    <x:row r="92" ht="24" customHeight="1">
      <x:c r="A92" s="327" t="n">
        <x:f>Daily!A28</x:f>
        <x:v>46364.5</x:v>
      </x:c>
      <x:c r="B92" s="322" t="str">
        <x:f>Daily!D28</x:f>
        <x:v>Handstand technique</x:v>
      </x:c>
      <x:c r="C92" s="322" t="str">
        <x:v>C · Wall handstand line drill</x:v>
      </x:c>
      <x:c r="D92" s="322" t="str">
        <x:v>seconds</x:v>
      </x:c>
      <x:c r="E92" s="324" t="b">
        <x:v>1</x:v>
      </x:c>
      <x:c r="F92" s="330" t="n">
        <x:v>30</x:v>
      </x:c>
      <x:c r="G92" s="331" t="str">
        <x:f>IF(AND(Daily!T28=TRUE,COUNT(Daily!U28,Daily!V28)&gt;0),SUM(Daily!U28,Daily!V28)*86400,"")</x:f>
      </x:c>
      <x:c r="H92" s="331" t="n">
        <x:f>IF(AND(E92=TRUE,ISNUMBER(F92),F92&gt;0),100,"")</x:f>
        <x:v>100</x:v>
      </x:c>
      <x:c r="I92" s="331" t="str">
        <x:f>IF(AND(ISNUMBER(H92),ISNUMBER(G92)),IF(J92="lower",IF(G92&gt;0,100*F92/G92,""),100*G92/F92),"")</x:f>
      </x:c>
      <x:c r="J92" s="325" t="str">
        <x:v>higher</x:v>
      </x:c>
    </x:row>
    <x:row r="93" ht="24" customHeight="1">
      <x:c r="A93" s="326" t="n">
        <x:f>Daily!A29</x:f>
        <x:v>46366.5</x:v>
      </x:c>
      <x:c r="B93" s="318" t="str">
        <x:f>Daily!D29</x:f>
        <x:v>Skill B + circuit</x:v>
      </x:c>
      <x:c r="C93" s="318" t="str">
        <x:v>A · Deeper wall HSPU</x:v>
      </x:c>
      <x:c r="D93" s="318" t="str">
        <x:v>reps</x:v>
      </x:c>
      <x:c r="E93" s="320" t="b">
        <x:v>1</x:v>
      </x:c>
      <x:c r="F93" s="328" t="n">
        <x:v>6</x:v>
      </x:c>
      <x:c r="G93" s="329" t="str">
        <x:f>IF(AND(Daily!H29=TRUE,COUNT(Daily!I29,Daily!J29,Daily!K29)&gt;0),SUM(Daily!I29,Daily!J29,Daily!K29),"")</x:f>
      </x:c>
      <x:c r="H93" s="329" t="n">
        <x:f>IF(AND(E93=TRUE,ISNUMBER(F93),F93&gt;0),100,"")</x:f>
        <x:v>100</x:v>
      </x:c>
      <x:c r="I93" s="329" t="str">
        <x:f>IF(AND(ISNUMBER(H93),ISNUMBER(G93)),IF(J93="lower",IF(G93&gt;0,100*F93/G93,""),100*G93/F93),"")</x:f>
      </x:c>
      <x:c r="J93" s="321" t="str">
        <x:v>higher</x:v>
      </x:c>
    </x:row>
    <x:row r="94" ht="24" customHeight="1">
      <x:c r="A94" s="327" t="n">
        <x:f>Daily!A29</x:f>
        <x:v>46366.5</x:v>
      </x:c>
      <x:c r="B94" s="322" t="str">
        <x:f>Daily!D29</x:f>
        <x:v>Skill B + circuit</x:v>
      </x:c>
      <x:c r="C94" s="322" t="str">
        <x:v>B · Easy wall handstand</x:v>
      </x:c>
      <x:c r="D94" s="322" t="str">
        <x:v>seconds</x:v>
      </x:c>
      <x:c r="E94" s="324" t="b">
        <x:v>1</x:v>
      </x:c>
      <x:c r="F94" s="330" t="n">
        <x:v>40</x:v>
      </x:c>
      <x:c r="G94" s="331" t="str">
        <x:f>IF(AND(Daily!N29=TRUE,COUNT(Daily!O29,Daily!P29)&gt;0),SUM(Daily!O29,Daily!P29)*86400,"")</x:f>
      </x:c>
      <x:c r="H94" s="331" t="n">
        <x:f>IF(AND(E94=TRUE,ISNUMBER(F94),F94&gt;0),100,"")</x:f>
        <x:v>100</x:v>
      </x:c>
      <x:c r="I94" s="331" t="str">
        <x:f>IF(AND(ISNUMBER(H94),ISNUMBER(G94)),IF(J94="lower",IF(G94&gt;0,100*F94/G94,""),100*G94/F94),"")</x:f>
      </x:c>
      <x:c r="J94" s="325" t="str">
        <x:v>higher</x:v>
      </x:c>
    </x:row>
    <x:row r="95" ht="24" customHeight="1">
      <x:c r="A95" s="326" t="n">
        <x:f>Daily!A29</x:f>
        <x:v>46366.5</x:v>
      </x:c>
      <x:c r="B95" s="318" t="str">
        <x:f>Daily!D29</x:f>
        <x:v>Skill B + circuit</x:v>
      </x:c>
      <x:c r="C95" s="318" t="str">
        <x:v>C · Unassisted pistol to target</x:v>
      </x:c>
      <x:c r="D95" s="318" t="str">
        <x:v>reps/leg</x:v>
      </x:c>
      <x:c r="E95" s="320" t="b">
        <x:v>1</x:v>
      </x:c>
      <x:c r="F95" s="328" t="n">
        <x:v>3</x:v>
      </x:c>
      <x:c r="G95" s="329" t="str">
        <x:f>IF(AND(Daily!T29=TRUE,COUNT(Daily!U29,Daily!V29,Daily!W29)&gt;0),SUM(Daily!U29,Daily!V29,Daily!W29),"")</x:f>
      </x:c>
      <x:c r="H95" s="329" t="n">
        <x:f>IF(AND(E95=TRUE,ISNUMBER(F95),F95&gt;0),100,"")</x:f>
        <x:v>100</x:v>
      </x:c>
      <x:c r="I95" s="329" t="str">
        <x:f>IF(AND(ISNUMBER(H95),ISNUMBER(G95)),IF(J95="lower",IF(G95&gt;0,100*F95/G95,""),100*G95/F95),"")</x:f>
      </x:c>
      <x:c r="J95" s="321" t="str">
        <x:v>higher</x:v>
      </x:c>
    </x:row>
    <x:row r="96" ht="24" customHeight="1">
      <x:c r="A96" s="327" t="n">
        <x:f>Daily!A29</x:f>
        <x:v>46366.5</x:v>
      </x:c>
      <x:c r="B96" s="322" t="str">
        <x:f>Daily!D29</x:f>
        <x:v>Skill B + circuit</x:v>
      </x:c>
      <x:c r="C96" s="322" t="str">
        <x:v>Core</x:v>
      </x:c>
      <x:c r="D96" s="322" t="str">
        <x:v>rounds</x:v>
      </x:c>
      <x:c r="E96" s="324" t="b">
        <x:v>1</x:v>
      </x:c>
      <x:c r="F96" s="330" t="n">
        <x:v>5</x:v>
      </x:c>
      <x:c r="G96" s="331" t="str">
        <x:f>IF(AND(Daily!Z29=TRUE,COUNT(Daily!AA29)&gt;0),SUM(Daily!AA29),"")</x:f>
      </x:c>
      <x:c r="H96" s="331" t="n">
        <x:f>IF(AND(E96=TRUE,ISNUMBER(F96),F96&gt;0),100,"")</x:f>
        <x:v>100</x:v>
      </x:c>
      <x:c r="I96" s="331" t="str">
        <x:f>IF(AND(ISNUMBER(H96),ISNUMBER(G96)),IF(J96="lower",IF(G96&gt;0,100*F96/G96,""),100*G96/F96),"")</x:f>
      </x:c>
      <x:c r="J96" s="325" t="str">
        <x:v>higher</x:v>
      </x:c>
    </x:row>
    <x:row r="97" ht="24" customHeight="1">
      <x:c r="A97" s="326" t="n">
        <x:f>Daily!A30</x:f>
        <x:v>46368.5</x:v>
      </x:c>
      <x:c r="B97" s="318" t="str">
        <x:f>Daily!D30</x:f>
        <x:v>Skill micro-session</x:v>
      </x:c>
      <x:c r="C97" s="318" t="str">
        <x:v>A · Wrist/shoulder mobility</x:v>
      </x:c>
      <x:c r="D97" s="318" t="str">
        <x:v>seconds</x:v>
      </x:c>
      <x:c r="E97" s="320" t="b">
        <x:v>1</x:v>
      </x:c>
      <x:c r="F97" s="328" t="n">
        <x:v>120</x:v>
      </x:c>
      <x:c r="G97" s="329" t="str">
        <x:f>IF(AND(Daily!H30=TRUE,COUNT(Daily!I30)&gt;0),SUM(Daily!I30)*86400,"")</x:f>
      </x:c>
      <x:c r="H97" s="329" t="n">
        <x:f>IF(AND(E97=TRUE,ISNUMBER(F97),F97&gt;0),100,"")</x:f>
        <x:v>100</x:v>
      </x:c>
      <x:c r="I97" s="329" t="str">
        <x:f>IF(AND(ISNUMBER(H97),ISNUMBER(G97)),IF(J97="lower",IF(G97&gt;0,100*F97/G97,""),100*G97/F97),"")</x:f>
      </x:c>
      <x:c r="J97" s="321" t="str">
        <x:v>higher</x:v>
      </x:c>
    </x:row>
    <x:row r="98" ht="24" customHeight="1">
      <x:c r="A98" s="327" t="n">
        <x:f>Daily!A30</x:f>
        <x:v>46368.5</x:v>
      </x:c>
      <x:c r="B98" s="322" t="str">
        <x:f>Daily!D30</x:f>
        <x:v>Skill micro-session</x:v>
      </x:c>
      <x:c r="C98" s="322" t="str">
        <x:v>B · Easy chest-to-wall hold</x:v>
      </x:c>
      <x:c r="D98" s="322" t="str">
        <x:v>seconds</x:v>
      </x:c>
      <x:c r="E98" s="324" t="b">
        <x:v>1</x:v>
      </x:c>
      <x:c r="F98" s="330" t="n">
        <x:v>45</x:v>
      </x:c>
      <x:c r="G98" s="331" t="str">
        <x:f>IF(AND(Daily!N30=TRUE,COUNT(Daily!O30,Daily!P30,Daily!Q30)&gt;0),SUM(Daily!O30,Daily!P30,Daily!Q30)*86400,"")</x:f>
      </x:c>
      <x:c r="H98" s="331" t="n">
        <x:f>IF(AND(E98=TRUE,ISNUMBER(F98),F98&gt;0),100,"")</x:f>
        <x:v>100</x:v>
      </x:c>
      <x:c r="I98" s="331" t="str">
        <x:f>IF(AND(ISNUMBER(H98),ISNUMBER(G98)),IF(J98="lower",IF(G98&gt;0,100*F98/G98,""),100*G98/F98),"")</x:f>
      </x:c>
      <x:c r="J98" s="325" t="str">
        <x:v>higher</x:v>
      </x:c>
    </x:row>
    <x:row r="99" ht="24" customHeight="1">
      <x:c r="A99" s="326" t="n">
        <x:f>Daily!A30</x:f>
        <x:v>46368.5</x:v>
      </x:c>
      <x:c r="B99" s="318" t="str">
        <x:f>Daily!D30</x:f>
        <x:v>Skill micro-session</x:v>
      </x:c>
      <x:c r="C99" s="318" t="str">
        <x:v>C · Wall handstand line drill</x:v>
      </x:c>
      <x:c r="D99" s="318" t="str">
        <x:v>seconds</x:v>
      </x:c>
      <x:c r="E99" s="320" t="b">
        <x:v>1</x:v>
      </x:c>
      <x:c r="F99" s="328" t="n">
        <x:v>45</x:v>
      </x:c>
      <x:c r="G99" s="329" t="str">
        <x:f>IF(AND(Daily!T30=TRUE,COUNT(Daily!U30,Daily!V30,Daily!W30)&gt;0),SUM(Daily!U30,Daily!V30,Daily!W30)*86400,"")</x:f>
      </x:c>
      <x:c r="H99" s="329" t="n">
        <x:f>IF(AND(E99=TRUE,ISNUMBER(F99),F99&gt;0),100,"")</x:f>
        <x:v>100</x:v>
      </x:c>
      <x:c r="I99" s="329" t="str">
        <x:f>IF(AND(ISNUMBER(H99),ISNUMBER(G99)),IF(J99="lower",IF(G99&gt;0,100*F99/G99,""),100*G99/F99),"")</x:f>
      </x:c>
      <x:c r="J99" s="321" t="str">
        <x:v>higher</x:v>
      </x:c>
    </x:row>
    <x:row r="100" ht="24" customHeight="1">
      <x:c r="A100" s="327" t="n">
        <x:f>Daily!A31</x:f>
        <x:v>46370.5</x:v>
      </x:c>
      <x:c r="B100" s="322" t="str">
        <x:f>Daily!D31</x:f>
        <x:v>Skill A + interval circuit</x:v>
      </x:c>
      <x:c r="C100" s="322" t="str">
        <x:v>A · Easy high pull</x:v>
      </x:c>
      <x:c r="D100" s="322" t="str">
        <x:v>reps</x:v>
      </x:c>
      <x:c r="E100" s="324" t="b">
        <x:v>1</x:v>
      </x:c>
      <x:c r="F100" s="330" t="n">
        <x:v>3</x:v>
      </x:c>
      <x:c r="G100" s="331" t="str">
        <x:f>IF(AND(Daily!H31=TRUE,COUNT(Daily!I31)&gt;0),SUM(Daily!I31),"")</x:f>
      </x:c>
      <x:c r="H100" s="331" t="n">
        <x:f>IF(AND(E100=TRUE,ISNUMBER(F100),F100&gt;0),100,"")</x:f>
        <x:v>100</x:v>
      </x:c>
      <x:c r="I100" s="331" t="str">
        <x:f>IF(AND(ISNUMBER(H100),ISNUMBER(G100)),IF(J100="lower",IF(G100&gt;0,100*F100/G100,""),100*G100/F100),"")</x:f>
      </x:c>
      <x:c r="J100" s="325" t="str">
        <x:v>higher</x:v>
      </x:c>
    </x:row>
    <x:row r="101" ht="24" customHeight="1">
      <x:c r="A101" s="326" t="n">
        <x:f>Daily!A31</x:f>
        <x:v>46370.5</x:v>
      </x:c>
      <x:c r="B101" s="318" t="str">
        <x:f>Daily!D31</x:f>
        <x:v>Skill A + interval circuit</x:v>
      </x:c>
      <x:c r="C101" s="318" t="str">
        <x:v>B · Easy low-bar transition</x:v>
      </x:c>
      <x:c r="D101" s="318" t="str">
        <x:v>reps</x:v>
      </x:c>
      <x:c r="E101" s="320" t="b">
        <x:v>1</x:v>
      </x:c>
      <x:c r="F101" s="328" t="n">
        <x:v>3</x:v>
      </x:c>
      <x:c r="G101" s="329" t="str">
        <x:f>IF(AND(Daily!N31=TRUE,COUNT(Daily!O31)&gt;0),SUM(Daily!O31),"")</x:f>
      </x:c>
      <x:c r="H101" s="329" t="n">
        <x:f>IF(AND(E101=TRUE,ISNUMBER(F101),F101&gt;0),100,"")</x:f>
        <x:v>100</x:v>
      </x:c>
      <x:c r="I101" s="329" t="str">
        <x:f>IF(AND(ISNUMBER(H101),ISNUMBER(G101)),IF(J101="lower",IF(G101&gt;0,100*F101/G101,""),100*G101/F101),"")</x:f>
      </x:c>
      <x:c r="J101" s="321" t="str">
        <x:v>higher</x:v>
      </x:c>
    </x:row>
    <x:row r="102" ht="24" customHeight="1">
      <x:c r="A102" s="327" t="n">
        <x:f>Daily!A31</x:f>
        <x:v>46370.5</x:v>
      </x:c>
      <x:c r="B102" s="322" t="str">
        <x:f>Daily!D31</x:f>
        <x:v>Skill A + interval circuit</x:v>
      </x:c>
      <x:c r="C102" s="322" t="str">
        <x:v>C · Assisted smooth pistol</x:v>
      </x:c>
      <x:c r="D102" s="322" t="str">
        <x:v>reps/leg</x:v>
      </x:c>
      <x:c r="E102" s="324" t="b">
        <x:v>1</x:v>
      </x:c>
      <x:c r="F102" s="330" t="n">
        <x:v>3</x:v>
      </x:c>
      <x:c r="G102" s="331" t="str">
        <x:f>IF(AND(Daily!T31=TRUE,COUNT(Daily!U31)&gt;0),SUM(Daily!U31),"")</x:f>
      </x:c>
      <x:c r="H102" s="331" t="n">
        <x:f>IF(AND(E102=TRUE,ISNUMBER(F102),F102&gt;0),100,"")</x:f>
        <x:v>100</x:v>
      </x:c>
      <x:c r="I102" s="331" t="str">
        <x:f>IF(AND(ISNUMBER(H102),ISNUMBER(G102)),IF(J102="lower",IF(G102&gt;0,100*F102/G102,""),100*G102/F102),"")</x:f>
      </x:c>
      <x:c r="J102" s="325" t="str">
        <x:v>higher</x:v>
      </x:c>
    </x:row>
    <x:row r="103" ht="24" customHeight="1">
      <x:c r="A103" s="326" t="n">
        <x:f>Daily!A31</x:f>
        <x:v>46370.5</x:v>
      </x:c>
      <x:c r="B103" s="318" t="str">
        <x:f>Daily!D31</x:f>
        <x:v>Skill A + interval circuit</x:v>
      </x:c>
      <x:c r="C103" s="318" t="str">
        <x:v>Core</x:v>
      </x:c>
      <x:c r="D103" s="318" t="str">
        <x:v>rounds</x:v>
      </x:c>
      <x:c r="E103" s="320" t="b">
        <x:v>1</x:v>
      </x:c>
      <x:c r="F103" s="328" t="n">
        <x:v>3</x:v>
      </x:c>
      <x:c r="G103" s="329" t="str">
        <x:f>IF(AND(Daily!Z31=TRUE,COUNT(Daily!AA31)&gt;0),SUM(Daily!AA31),"")</x:f>
      </x:c>
      <x:c r="H103" s="329" t="n">
        <x:f>IF(AND(E103=TRUE,ISNUMBER(F103),F103&gt;0),100,"")</x:f>
        <x:v>100</x:v>
      </x:c>
      <x:c r="I103" s="329" t="str">
        <x:f>IF(AND(ISNUMBER(H103),ISNUMBER(G103)),IF(J103="lower",IF(G103&gt;0,100*F103/G103,""),100*G103/F103),"")</x:f>
      </x:c>
      <x:c r="J103" s="321" t="str">
        <x:v>higher</x:v>
      </x:c>
    </x:row>
    <x:row r="104" ht="24" customHeight="1">
      <x:c r="A104" s="327" t="n">
        <x:f>Daily!A32</x:f>
        <x:v>46371.5</x:v>
      </x:c>
      <x:c r="B104" s="322" t="str">
        <x:f>Daily!D32</x:f>
        <x:v>Handstand technique</x:v>
      </x:c>
      <x:c r="C104" s="322" t="str">
        <x:v>A · Wrist/shoulder mobility</x:v>
      </x:c>
      <x:c r="D104" s="322" t="str">
        <x:v>seconds</x:v>
      </x:c>
      <x:c r="E104" s="324" t="b">
        <x:v>1</x:v>
      </x:c>
      <x:c r="F104" s="330" t="n">
        <x:v>60</x:v>
      </x:c>
      <x:c r="G104" s="331" t="str">
        <x:f>IF(AND(Daily!H32=TRUE,COUNT(Daily!I32)&gt;0),SUM(Daily!I32)*86400,"")</x:f>
      </x:c>
      <x:c r="H104" s="331" t="n">
        <x:f>IF(AND(E104=TRUE,ISNUMBER(F104),F104&gt;0),100,"")</x:f>
        <x:v>100</x:v>
      </x:c>
      <x:c r="I104" s="331" t="str">
        <x:f>IF(AND(ISNUMBER(H104),ISNUMBER(G104)),IF(J104="lower",IF(G104&gt;0,100*F104/G104,""),100*G104/F104),"")</x:f>
      </x:c>
      <x:c r="J104" s="325" t="str">
        <x:v>higher</x:v>
      </x:c>
    </x:row>
    <x:row r="105" ht="24" customHeight="1">
      <x:c r="A105" s="326" t="n">
        <x:f>Daily!A32</x:f>
        <x:v>46371.5</x:v>
      </x:c>
      <x:c r="B105" s="318" t="str">
        <x:f>Daily!D32</x:f>
        <x:v>Handstand technique</x:v>
      </x:c>
      <x:c r="C105" s="318" t="str">
        <x:v>B · Easy chest-to-wall hold</x:v>
      </x:c>
      <x:c r="D105" s="318" t="str">
        <x:v>seconds</x:v>
      </x:c>
      <x:c r="E105" s="320" t="b">
        <x:v>1</x:v>
      </x:c>
      <x:c r="F105" s="328" t="n">
        <x:v>20</x:v>
      </x:c>
      <x:c r="G105" s="329" t="str">
        <x:f>IF(AND(Daily!N32=TRUE,COUNT(Daily!O32,Daily!P32)&gt;0),SUM(Daily!O32,Daily!P32)*86400,"")</x:f>
      </x:c>
      <x:c r="H105" s="329" t="n">
        <x:f>IF(AND(E105=TRUE,ISNUMBER(F105),F105&gt;0),100,"")</x:f>
        <x:v>100</x:v>
      </x:c>
      <x:c r="I105" s="329" t="str">
        <x:f>IF(AND(ISNUMBER(H105),ISNUMBER(G105)),IF(J105="lower",IF(G105&gt;0,100*F105/G105,""),100*G105/F105),"")</x:f>
      </x:c>
      <x:c r="J105" s="321" t="str">
        <x:v>higher</x:v>
      </x:c>
    </x:row>
    <x:row r="106" ht="24" customHeight="1">
      <x:c r="A106" s="327" t="n">
        <x:f>Daily!A32</x:f>
        <x:v>46371.5</x:v>
      </x:c>
      <x:c r="B106" s="322" t="str">
        <x:f>Daily!D32</x:f>
        <x:v>Handstand technique</x:v>
      </x:c>
      <x:c r="C106" s="322" t="str">
        <x:v>C · Wall handstand line drill</x:v>
      </x:c>
      <x:c r="D106" s="322" t="str">
        <x:v>seconds</x:v>
      </x:c>
      <x:c r="E106" s="324" t="b">
        <x:v>1</x:v>
      </x:c>
      <x:c r="F106" s="330" t="n">
        <x:v>10</x:v>
      </x:c>
      <x:c r="G106" s="331" t="str">
        <x:f>IF(AND(Daily!T32=TRUE,COUNT(Daily!U32)&gt;0),SUM(Daily!U32)*86400,"")</x:f>
      </x:c>
      <x:c r="H106" s="331" t="n">
        <x:f>IF(AND(E106=TRUE,ISNUMBER(F106),F106&gt;0),100,"")</x:f>
        <x:v>100</x:v>
      </x:c>
      <x:c r="I106" s="331" t="str">
        <x:f>IF(AND(ISNUMBER(H106),ISNUMBER(G106)),IF(J106="lower",IF(G106&gt;0,100*F106/G106,""),100*G106/F106),"")</x:f>
      </x:c>
      <x:c r="J106" s="325" t="str">
        <x:v>higher</x:v>
      </x:c>
    </x:row>
    <x:row r="107" ht="24" customHeight="1">
      <x:c r="A107" s="326" t="n">
        <x:f>Daily!A33</x:f>
        <x:v>46373.5</x:v>
      </x:c>
      <x:c r="B107" s="318" t="str">
        <x:f>Daily!D33</x:f>
        <x:v>Skill B + interval circuit</x:v>
      </x:c>
      <x:c r="C107" s="318" t="str">
        <x:v>A · Easy wall handstand</x:v>
      </x:c>
      <x:c r="D107" s="318" t="str">
        <x:v>seconds</x:v>
      </x:c>
      <x:c r="E107" s="320" t="b">
        <x:v>1</x:v>
      </x:c>
      <x:c r="F107" s="328" t="n">
        <x:v>15</x:v>
      </x:c>
      <x:c r="G107" s="329" t="str">
        <x:f>IF(AND(Daily!H33=TRUE,COUNT(Daily!I33)&gt;0),SUM(Daily!I33)*86400,"")</x:f>
      </x:c>
      <x:c r="H107" s="329" t="n">
        <x:f>IF(AND(E107=TRUE,ISNUMBER(F107),F107&gt;0),100,"")</x:f>
        <x:v>100</x:v>
      </x:c>
      <x:c r="I107" s="329" t="str">
        <x:f>IF(AND(ISNUMBER(H107),ISNUMBER(G107)),IF(J107="lower",IF(G107&gt;0,100*F107/G107,""),100*G107/F107),"")</x:f>
      </x:c>
      <x:c r="J107" s="321" t="str">
        <x:v>higher</x:v>
      </x:c>
    </x:row>
    <x:row r="108" ht="24" customHeight="1">
      <x:c r="A108" s="327" t="n">
        <x:f>Daily!A33</x:f>
        <x:v>46373.5</x:v>
      </x:c>
      <x:c r="B108" s="322" t="str">
        <x:f>Daily!D33</x:f>
        <x:v>Skill B + interval circuit</x:v>
      </x:c>
      <x:c r="C108" s="322" t="str">
        <x:v>B · Easy pike push-up</x:v>
      </x:c>
      <x:c r="D108" s="322" t="str">
        <x:v>reps</x:v>
      </x:c>
      <x:c r="E108" s="324" t="b">
        <x:v>1</x:v>
      </x:c>
      <x:c r="F108" s="330" t="n">
        <x:v>4</x:v>
      </x:c>
      <x:c r="G108" s="331" t="str">
        <x:f>IF(AND(Daily!N33=TRUE,COUNT(Daily!O33)&gt;0),SUM(Daily!O33),"")</x:f>
      </x:c>
      <x:c r="H108" s="331" t="n">
        <x:f>IF(AND(E108=TRUE,ISNUMBER(F108),F108&gt;0),100,"")</x:f>
        <x:v>100</x:v>
      </x:c>
      <x:c r="I108" s="331" t="str">
        <x:f>IF(AND(ISNUMBER(H108),ISNUMBER(G108)),IF(J108="lower",IF(G108&gt;0,100*F108/G108,""),100*G108/F108),"")</x:f>
      </x:c>
      <x:c r="J108" s="325" t="str">
        <x:v>higher</x:v>
      </x:c>
    </x:row>
    <x:row r="109" ht="24" customHeight="1">
      <x:c r="A109" s="326" t="n">
        <x:f>Daily!A33</x:f>
        <x:v>46373.5</x:v>
      </x:c>
      <x:c r="B109" s="318" t="str">
        <x:f>Daily!D33</x:f>
        <x:v>Skill B + interval circuit</x:v>
      </x:c>
      <x:c r="C109" s="318" t="str">
        <x:v>C · Assisted smooth pistol</x:v>
      </x:c>
      <x:c r="D109" s="318" t="str">
        <x:v>reps/leg</x:v>
      </x:c>
      <x:c r="E109" s="320" t="b">
        <x:v>1</x:v>
      </x:c>
      <x:c r="F109" s="328" t="n">
        <x:v>3</x:v>
      </x:c>
      <x:c r="G109" s="329" t="str">
        <x:f>IF(AND(Daily!T33=TRUE,COUNT(Daily!U33)&gt;0),SUM(Daily!U33),"")</x:f>
      </x:c>
      <x:c r="H109" s="329" t="n">
        <x:f>IF(AND(E109=TRUE,ISNUMBER(F109),F109&gt;0),100,"")</x:f>
        <x:v>100</x:v>
      </x:c>
      <x:c r="I109" s="329" t="str">
        <x:f>IF(AND(ISNUMBER(H109),ISNUMBER(G109)),IF(J109="lower",IF(G109&gt;0,100*F109/G109,""),100*G109/F109),"")</x:f>
      </x:c>
      <x:c r="J109" s="321" t="str">
        <x:v>higher</x:v>
      </x:c>
    </x:row>
    <x:row r="110" ht="24" customHeight="1">
      <x:c r="A110" s="327" t="n">
        <x:f>Daily!A33</x:f>
        <x:v>46373.5</x:v>
      </x:c>
      <x:c r="B110" s="322" t="str">
        <x:f>Daily!D33</x:f>
        <x:v>Skill B + interval circuit</x:v>
      </x:c>
      <x:c r="C110" s="322" t="str">
        <x:v>Core</x:v>
      </x:c>
      <x:c r="D110" s="322" t="str">
        <x:v>rounds</x:v>
      </x:c>
      <x:c r="E110" s="324" t="b">
        <x:v>1</x:v>
      </x:c>
      <x:c r="F110" s="330" t="n">
        <x:v>3</x:v>
      </x:c>
      <x:c r="G110" s="331" t="str">
        <x:f>IF(AND(Daily!Z33=TRUE,COUNT(Daily!AA33)&gt;0),SUM(Daily!AA33),"")</x:f>
      </x:c>
      <x:c r="H110" s="331" t="n">
        <x:f>IF(AND(E110=TRUE,ISNUMBER(F110),F110&gt;0),100,"")</x:f>
        <x:v>100</x:v>
      </x:c>
      <x:c r="I110" s="331" t="str">
        <x:f>IF(AND(ISNUMBER(H110),ISNUMBER(G110)),IF(J110="lower",IF(G110&gt;0,100*F110/G110,""),100*G110/F110),"")</x:f>
      </x:c>
      <x:c r="J110" s="325" t="str">
        <x:v>higher</x:v>
      </x:c>
    </x:row>
    <x:row r="111" ht="24" customHeight="1">
      <x:c r="A111" s="326" t="n">
        <x:f>Daily!A34</x:f>
        <x:v>46375.5</x:v>
      </x:c>
      <x:c r="B111" s="318" t="str">
        <x:f>Daily!D34</x:f>
        <x:v>Skill micro-session</x:v>
      </x:c>
      <x:c r="C111" s="318" t="str">
        <x:v>A · Wrist/shoulder mobility</x:v>
      </x:c>
      <x:c r="D111" s="318" t="str">
        <x:v>seconds</x:v>
      </x:c>
      <x:c r="E111" s="320" t="b">
        <x:v>1</x:v>
      </x:c>
      <x:c r="F111" s="328" t="n">
        <x:v>60</x:v>
      </x:c>
      <x:c r="G111" s="329" t="str">
        <x:f>IF(AND(Daily!H34=TRUE,COUNT(Daily!I34)&gt;0),SUM(Daily!I34)*86400,"")</x:f>
      </x:c>
      <x:c r="H111" s="329" t="n">
        <x:f>IF(AND(E111=TRUE,ISNUMBER(F111),F111&gt;0),100,"")</x:f>
        <x:v>100</x:v>
      </x:c>
      <x:c r="I111" s="329" t="str">
        <x:f>IF(AND(ISNUMBER(H111),ISNUMBER(G111)),IF(J111="lower",IF(G111&gt;0,100*F111/G111,""),100*G111/F111),"")</x:f>
      </x:c>
      <x:c r="J111" s="321" t="str">
        <x:v>higher</x:v>
      </x:c>
    </x:row>
    <x:row r="112" ht="24" customHeight="1">
      <x:c r="A112" s="327" t="n">
        <x:f>Daily!A34</x:f>
        <x:v>46375.5</x:v>
      </x:c>
      <x:c r="B112" s="322" t="str">
        <x:f>Daily!D34</x:f>
        <x:v>Skill micro-session</x:v>
      </x:c>
      <x:c r="C112" s="322" t="str">
        <x:v>B · Easy chest-to-wall hold</x:v>
      </x:c>
      <x:c r="D112" s="322" t="str">
        <x:v>seconds</x:v>
      </x:c>
      <x:c r="E112" s="324" t="b">
        <x:v>1</x:v>
      </x:c>
      <x:c r="F112" s="330" t="n">
        <x:v>20</x:v>
      </x:c>
      <x:c r="G112" s="331" t="str">
        <x:f>IF(AND(Daily!N34=TRUE,COUNT(Daily!O34,Daily!P34)&gt;0),SUM(Daily!O34,Daily!P34)*86400,"")</x:f>
      </x:c>
      <x:c r="H112" s="331" t="n">
        <x:f>IF(AND(E112=TRUE,ISNUMBER(F112),F112&gt;0),100,"")</x:f>
        <x:v>100</x:v>
      </x:c>
      <x:c r="I112" s="331" t="str">
        <x:f>IF(AND(ISNUMBER(H112),ISNUMBER(G112)),IF(J112="lower",IF(G112&gt;0,100*F112/G112,""),100*G112/F112),"")</x:f>
      </x:c>
      <x:c r="J112" s="325" t="str">
        <x:v>higher</x:v>
      </x:c>
    </x:row>
    <x:row r="113" ht="24" customHeight="1">
      <x:c r="A113" s="326" t="n">
        <x:f>Daily!A34</x:f>
        <x:v>46375.5</x:v>
      </x:c>
      <x:c r="B113" s="318" t="str">
        <x:f>Daily!D34</x:f>
        <x:v>Skill micro-session</x:v>
      </x:c>
      <x:c r="C113" s="318" t="str">
        <x:v>C · Wall handstand line drill</x:v>
      </x:c>
      <x:c r="D113" s="318" t="str">
        <x:v>seconds</x:v>
      </x:c>
      <x:c r="E113" s="320" t="b">
        <x:v>1</x:v>
      </x:c>
      <x:c r="F113" s="328" t="n">
        <x:v>10</x:v>
      </x:c>
      <x:c r="G113" s="329" t="str">
        <x:f>IF(AND(Daily!T34=TRUE,COUNT(Daily!U34)&gt;0),SUM(Daily!U34)*86400,"")</x:f>
      </x:c>
      <x:c r="H113" s="329" t="n">
        <x:f>IF(AND(E113=TRUE,ISNUMBER(F113),F113&gt;0),100,"")</x:f>
        <x:v>100</x:v>
      </x:c>
      <x:c r="I113" s="329" t="str">
        <x:f>IF(AND(ISNUMBER(H113),ISNUMBER(G113)),IF(J113="lower",IF(G113&gt;0,100*F113/G113,""),100*G113/F113),"")</x:f>
      </x:c>
      <x:c r="J113" s="321" t="str">
        <x:v>higher</x:v>
      </x:c>
    </x:row>
    <x:row r="114" ht="24" customHeight="1">
      <x:c r="A114" s="327" t="n">
        <x:f>Daily!A35</x:f>
        <x:v>46377.5</x:v>
      </x:c>
      <x:c r="B114" s="322" t="str">
        <x:f>Daily!D35</x:f>
        <x:v>Skill A + interval circuit</x:v>
      </x:c>
      <x:c r="C114" s="322" t="str">
        <x:v>A · Light-band or strict muscle-up</x:v>
      </x:c>
      <x:c r="D114" s="322" t="str">
        <x:v>reps</x:v>
      </x:c>
      <x:c r="E114" s="324" t="b">
        <x:v>1</x:v>
      </x:c>
      <x:c r="F114" s="330" t="n">
        <x:v>3</x:v>
      </x:c>
      <x:c r="G114" s="331" t="str">
        <x:f>IF(AND(Daily!H35=TRUE,COUNT(Daily!I35,Daily!J35,Daily!K35)&gt;0),SUM(Daily!I35,Daily!J35,Daily!K35),"")</x:f>
      </x:c>
      <x:c r="H114" s="331" t="n">
        <x:f>IF(AND(E114=TRUE,ISNUMBER(F114),F114&gt;0),100,"")</x:f>
        <x:v>100</x:v>
      </x:c>
      <x:c r="I114" s="331" t="str">
        <x:f>IF(AND(ISNUMBER(H114),ISNUMBER(G114)),IF(J114="lower",IF(G114&gt;0,100*F114/G114,""),100*G114/F114),"")</x:f>
      </x:c>
      <x:c r="J114" s="325" t="str">
        <x:v>higher</x:v>
      </x:c>
    </x:row>
    <x:row r="115" ht="24" customHeight="1">
      <x:c r="A115" s="326" t="n">
        <x:f>Daily!A35</x:f>
        <x:v>46377.5</x:v>
      </x:c>
      <x:c r="B115" s="318" t="str">
        <x:f>Daily!D35</x:f>
        <x:v>Skill A + interval circuit</x:v>
      </x:c>
      <x:c r="C115" s="318" t="str">
        <x:v>B · Stronger-band back-off muscle-up</x:v>
      </x:c>
      <x:c r="D115" s="318" t="str">
        <x:v>reps</x:v>
      </x:c>
      <x:c r="E115" s="320" t="b">
        <x:v>1</x:v>
      </x:c>
      <x:c r="F115" s="328" t="n">
        <x:v>4</x:v>
      </x:c>
      <x:c r="G115" s="329" t="str">
        <x:f>IF(AND(Daily!N35=TRUE,COUNT(Daily!O35,Daily!P35)&gt;0),SUM(Daily!O35,Daily!P35),"")</x:f>
      </x:c>
      <x:c r="H115" s="329" t="n">
        <x:f>IF(AND(E115=TRUE,ISNUMBER(F115),F115&gt;0),100,"")</x:f>
        <x:v>100</x:v>
      </x:c>
      <x:c r="I115" s="329" t="str">
        <x:f>IF(AND(ISNUMBER(H115),ISNUMBER(G115)),IF(J115="lower",IF(G115&gt;0,100*F115/G115,""),100*G115/F115),"")</x:f>
      </x:c>
      <x:c r="J115" s="321" t="str">
        <x:v>higher</x:v>
      </x:c>
    </x:row>
    <x:row r="116" ht="24" customHeight="1">
      <x:c r="A116" s="327" t="n">
        <x:f>Daily!A35</x:f>
        <x:v>46377.5</x:v>
      </x:c>
      <x:c r="B116" s="322" t="str">
        <x:f>Daily!D35</x:f>
        <x:v>Skill A + interval circuit</x:v>
      </x:c>
      <x:c r="C116" s="322" t="str">
        <x:v>C · Unassisted pistol</x:v>
      </x:c>
      <x:c r="D116" s="322" t="str">
        <x:v>reps/leg</x:v>
      </x:c>
      <x:c r="E116" s="324" t="b">
        <x:v>1</x:v>
      </x:c>
      <x:c r="F116" s="330" t="n">
        <x:v>3</x:v>
      </x:c>
      <x:c r="G116" s="331" t="str">
        <x:f>IF(AND(Daily!T35=TRUE,COUNT(Daily!U35,Daily!V35,Daily!W35)&gt;0),SUM(Daily!U35,Daily!V35,Daily!W35),"")</x:f>
      </x:c>
      <x:c r="H116" s="331" t="n">
        <x:f>IF(AND(E116=TRUE,ISNUMBER(F116),F116&gt;0),100,"")</x:f>
        <x:v>100</x:v>
      </x:c>
      <x:c r="I116" s="331" t="str">
        <x:f>IF(AND(ISNUMBER(H116),ISNUMBER(G116)),IF(J116="lower",IF(G116&gt;0,100*F116/G116,""),100*G116/F116),"")</x:f>
      </x:c>
      <x:c r="J116" s="325" t="str">
        <x:v>higher</x:v>
      </x:c>
    </x:row>
    <x:row r="117" ht="24" customHeight="1">
      <x:c r="A117" s="326" t="n">
        <x:f>Daily!A35</x:f>
        <x:v>46377.5</x:v>
      </x:c>
      <x:c r="B117" s="318" t="str">
        <x:f>Daily!D35</x:f>
        <x:v>Skill A + interval circuit</x:v>
      </x:c>
      <x:c r="C117" s="318" t="str">
        <x:v>Core</x:v>
      </x:c>
      <x:c r="D117" s="318" t="str">
        <x:v>rounds</x:v>
      </x:c>
      <x:c r="E117" s="320" t="b">
        <x:v>1</x:v>
      </x:c>
      <x:c r="F117" s="328" t="n">
        <x:v>5</x:v>
      </x:c>
      <x:c r="G117" s="329" t="str">
        <x:f>IF(AND(Daily!Z35=TRUE,COUNT(Daily!AA35)&gt;0),SUM(Daily!AA35),"")</x:f>
      </x:c>
      <x:c r="H117" s="329" t="n">
        <x:f>IF(AND(E117=TRUE,ISNUMBER(F117),F117&gt;0),100,"")</x:f>
        <x:v>100</x:v>
      </x:c>
      <x:c r="I117" s="329" t="str">
        <x:f>IF(AND(ISNUMBER(H117),ISNUMBER(G117)),IF(J117="lower",IF(G117&gt;0,100*F117/G117,""),100*G117/F117),"")</x:f>
      </x:c>
      <x:c r="J117" s="321" t="str">
        <x:v>higher</x:v>
      </x:c>
    </x:row>
    <x:row r="118" ht="24" customHeight="1">
      <x:c r="A118" s="327" t="n">
        <x:f>Daily!A36</x:f>
        <x:v>46378.5</x:v>
      </x:c>
      <x:c r="B118" s="322" t="str">
        <x:f>Daily!D36</x:f>
        <x:v>Handstand technique</x:v>
      </x:c>
      <x:c r="C118" s="322" t="str">
        <x:v>A · Wrist/shoulder mobility</x:v>
      </x:c>
      <x:c r="D118" s="322" t="str">
        <x:v>seconds</x:v>
      </x:c>
      <x:c r="E118" s="324" t="b">
        <x:v>1</x:v>
      </x:c>
      <x:c r="F118" s="330" t="n">
        <x:v>120</x:v>
      </x:c>
      <x:c r="G118" s="331" t="str">
        <x:f>IF(AND(Daily!H36=TRUE,COUNT(Daily!I36)&gt;0),SUM(Daily!I36)*86400,"")</x:f>
      </x:c>
      <x:c r="H118" s="331" t="n">
        <x:f>IF(AND(E118=TRUE,ISNUMBER(F118),F118&gt;0),100,"")</x:f>
        <x:v>100</x:v>
      </x:c>
      <x:c r="I118" s="331" t="str">
        <x:f>IF(AND(ISNUMBER(H118),ISNUMBER(G118)),IF(J118="lower",IF(G118&gt;0,100*F118/G118,""),100*G118/F118),"")</x:f>
      </x:c>
      <x:c r="J118" s="325" t="str">
        <x:v>higher</x:v>
      </x:c>
    </x:row>
    <x:row r="119" ht="24" customHeight="1">
      <x:c r="A119" s="326" t="n">
        <x:f>Daily!A36</x:f>
        <x:v>46378.5</x:v>
      </x:c>
      <x:c r="B119" s="318" t="str">
        <x:f>Daily!D36</x:f>
        <x:v>Handstand technique</x:v>
      </x:c>
      <x:c r="C119" s="318" t="str">
        <x:v>B · Easy chest-to-wall hold</x:v>
      </x:c>
      <x:c r="D119" s="318" t="str">
        <x:v>seconds</x:v>
      </x:c>
      <x:c r="E119" s="320" t="b">
        <x:v>1</x:v>
      </x:c>
      <x:c r="F119" s="328" t="n">
        <x:v>45</x:v>
      </x:c>
      <x:c r="G119" s="329" t="str">
        <x:f>IF(AND(Daily!N36=TRUE,COUNT(Daily!O36,Daily!P36,Daily!Q36)&gt;0),SUM(Daily!O36,Daily!P36,Daily!Q36)*86400,"")</x:f>
      </x:c>
      <x:c r="H119" s="329" t="n">
        <x:f>IF(AND(E119=TRUE,ISNUMBER(F119),F119&gt;0),100,"")</x:f>
        <x:v>100</x:v>
      </x:c>
      <x:c r="I119" s="329" t="str">
        <x:f>IF(AND(ISNUMBER(H119),ISNUMBER(G119)),IF(J119="lower",IF(G119&gt;0,100*F119/G119,""),100*G119/F119),"")</x:f>
      </x:c>
      <x:c r="J119" s="321" t="str">
        <x:v>higher</x:v>
      </x:c>
    </x:row>
    <x:row r="120" ht="24" customHeight="1">
      <x:c r="A120" s="327" t="n">
        <x:f>Daily!A36</x:f>
        <x:v>46378.5</x:v>
      </x:c>
      <x:c r="B120" s="322" t="str">
        <x:f>Daily!D36</x:f>
        <x:v>Handstand technique</x:v>
      </x:c>
      <x:c r="C120" s="322" t="str">
        <x:v>C · Wall handstand line drill</x:v>
      </x:c>
      <x:c r="D120" s="322" t="str">
        <x:v>seconds</x:v>
      </x:c>
      <x:c r="E120" s="324" t="b">
        <x:v>1</x:v>
      </x:c>
      <x:c r="F120" s="330" t="n">
        <x:v>30</x:v>
      </x:c>
      <x:c r="G120" s="331" t="str">
        <x:f>IF(AND(Daily!T36=TRUE,COUNT(Daily!U36,Daily!V36)&gt;0),SUM(Daily!U36,Daily!V36)*86400,"")</x:f>
      </x:c>
      <x:c r="H120" s="331" t="n">
        <x:f>IF(AND(E120=TRUE,ISNUMBER(F120),F120&gt;0),100,"")</x:f>
        <x:v>100</x:v>
      </x:c>
      <x:c r="I120" s="331" t="str">
        <x:f>IF(AND(ISNUMBER(H120),ISNUMBER(G120)),IF(J120="lower",IF(G120&gt;0,100*F120/G120,""),100*G120/F120),"")</x:f>
      </x:c>
      <x:c r="J120" s="325" t="str">
        <x:v>higher</x:v>
      </x:c>
    </x:row>
    <x:row r="121" ht="24" customHeight="1">
      <x:c r="A121" s="326" t="n">
        <x:f>Daily!A37</x:f>
        <x:v>46380.5</x:v>
      </x:c>
      <x:c r="B121" s="318" t="str">
        <x:f>Daily!D37</x:f>
        <x:v>Skill B + circuit</x:v>
      </x:c>
      <x:c r="C121" s="318" t="str">
        <x:v>A · Full-ROM wall HSPU negative</x:v>
      </x:c>
      <x:c r="D121" s="318" t="str">
        <x:v>reps</x:v>
      </x:c>
      <x:c r="E121" s="320" t="b">
        <x:v>1</x:v>
      </x:c>
      <x:c r="F121" s="328" t="n">
        <x:v>3</x:v>
      </x:c>
      <x:c r="G121" s="329" t="str">
        <x:f>IF(AND(Daily!H37=TRUE,COUNT(Daily!I37,Daily!J37,Daily!K37)&gt;0),SUM(Daily!I37,Daily!J37,Daily!K37),"")</x:f>
      </x:c>
      <x:c r="H121" s="329" t="n">
        <x:f>IF(AND(E121=TRUE,ISNUMBER(F121),F121&gt;0),100,"")</x:f>
        <x:v>100</x:v>
      </x:c>
      <x:c r="I121" s="329" t="str">
        <x:f>IF(AND(ISNUMBER(H121),ISNUMBER(G121)),IF(J121="lower",IF(G121&gt;0,100*F121/G121,""),100*G121/F121),"")</x:f>
      </x:c>
      <x:c r="J121" s="321" t="str">
        <x:v>higher</x:v>
      </x:c>
    </x:row>
    <x:row r="122" ht="24" customHeight="1">
      <x:c r="A122" s="327" t="n">
        <x:f>Daily!A37</x:f>
        <x:v>46380.5</x:v>
      </x:c>
      <x:c r="B122" s="322" t="str">
        <x:f>Daily!D37</x:f>
        <x:v>Skill B + circuit</x:v>
      </x:c>
      <x:c r="C122" s="322" t="str">
        <x:v>B · Partial wall HSPU</x:v>
      </x:c>
      <x:c r="D122" s="322" t="str">
        <x:v>reps</x:v>
      </x:c>
      <x:c r="E122" s="324" t="b">
        <x:v>1</x:v>
      </x:c>
      <x:c r="F122" s="330" t="n">
        <x:v>9</x:v>
      </x:c>
      <x:c r="G122" s="331" t="str">
        <x:f>IF(AND(Daily!N37=TRUE,COUNT(Daily!O37,Daily!P37,Daily!Q37)&gt;0),SUM(Daily!O37,Daily!P37,Daily!Q37),"")</x:f>
      </x:c>
      <x:c r="H122" s="331" t="n">
        <x:f>IF(AND(E122=TRUE,ISNUMBER(F122),F122&gt;0),100,"")</x:f>
        <x:v>100</x:v>
      </x:c>
      <x:c r="I122" s="331" t="str">
        <x:f>IF(AND(ISNUMBER(H122),ISNUMBER(G122)),IF(J122="lower",IF(G122&gt;0,100*F122/G122,""),100*G122/F122),"")</x:f>
      </x:c>
      <x:c r="J122" s="325" t="str">
        <x:v>higher</x:v>
      </x:c>
    </x:row>
    <x:row r="123" ht="24" customHeight="1">
      <x:c r="A123" s="326" t="n">
        <x:f>Daily!A37</x:f>
        <x:v>46380.5</x:v>
      </x:c>
      <x:c r="B123" s="318" t="str">
        <x:f>Daily!D37</x:f>
        <x:v>Skill B + circuit</x:v>
      </x:c>
      <x:c r="C123" s="318" t="str">
        <x:v>C · Unassisted pistol</x:v>
      </x:c>
      <x:c r="D123" s="318" t="str">
        <x:v>reps/leg</x:v>
      </x:c>
      <x:c r="E123" s="320" t="b">
        <x:v>1</x:v>
      </x:c>
      <x:c r="F123" s="328" t="n">
        <x:v>3</x:v>
      </x:c>
      <x:c r="G123" s="329" t="str">
        <x:f>IF(AND(Daily!T37=TRUE,COUNT(Daily!U37,Daily!V37,Daily!W37)&gt;0),SUM(Daily!U37,Daily!V37,Daily!W37),"")</x:f>
      </x:c>
      <x:c r="H123" s="329" t="n">
        <x:f>IF(AND(E123=TRUE,ISNUMBER(F123),F123&gt;0),100,"")</x:f>
        <x:v>100</x:v>
      </x:c>
      <x:c r="I123" s="329" t="str">
        <x:f>IF(AND(ISNUMBER(H123),ISNUMBER(G123)),IF(J123="lower",IF(G123&gt;0,100*F123/G123,""),100*G123/F123),"")</x:f>
      </x:c>
      <x:c r="J123" s="321" t="str">
        <x:v>higher</x:v>
      </x:c>
    </x:row>
    <x:row r="124" ht="24" customHeight="1">
      <x:c r="A124" s="327" t="n">
        <x:f>Daily!A37</x:f>
        <x:v>46380.5</x:v>
      </x:c>
      <x:c r="B124" s="322" t="str">
        <x:f>Daily!D37</x:f>
        <x:v>Skill B + circuit</x:v>
      </x:c>
      <x:c r="C124" s="322" t="str">
        <x:v>Core</x:v>
      </x:c>
      <x:c r="D124" s="322" t="str">
        <x:v>rounds</x:v>
      </x:c>
      <x:c r="E124" s="324" t="b">
        <x:v>1</x:v>
      </x:c>
      <x:c r="F124" s="330" t="n">
        <x:v>5</x:v>
      </x:c>
      <x:c r="G124" s="331" t="str">
        <x:f>IF(AND(Daily!Z37=TRUE,COUNT(Daily!AA37)&gt;0),SUM(Daily!AA37),"")</x:f>
      </x:c>
      <x:c r="H124" s="331" t="n">
        <x:f>IF(AND(E124=TRUE,ISNUMBER(F124),F124&gt;0),100,"")</x:f>
        <x:v>100</x:v>
      </x:c>
      <x:c r="I124" s="331" t="str">
        <x:f>IF(AND(ISNUMBER(H124),ISNUMBER(G124)),IF(J124="lower",IF(G124&gt;0,100*F124/G124,""),100*G124/F124),"")</x:f>
      </x:c>
      <x:c r="J124" s="325" t="str">
        <x:v>higher</x:v>
      </x:c>
    </x:row>
    <x:row r="125" ht="24" customHeight="1">
      <x:c r="A125" s="326" t="n">
        <x:f>Daily!A38</x:f>
        <x:v>46382.5</x:v>
      </x:c>
      <x:c r="B125" s="318" t="str">
        <x:f>Daily!D38</x:f>
        <x:v>Skill micro-session</x:v>
      </x:c>
      <x:c r="C125" s="318" t="str">
        <x:v>A · Wrist/shoulder mobility</x:v>
      </x:c>
      <x:c r="D125" s="318" t="str">
        <x:v>seconds</x:v>
      </x:c>
      <x:c r="E125" s="320" t="b">
        <x:v>1</x:v>
      </x:c>
      <x:c r="F125" s="328" t="n">
        <x:v>120</x:v>
      </x:c>
      <x:c r="G125" s="329" t="str">
        <x:f>IF(AND(Daily!H38=TRUE,COUNT(Daily!I38)&gt;0),SUM(Daily!I38)*86400,"")</x:f>
      </x:c>
      <x:c r="H125" s="329" t="n">
        <x:f>IF(AND(E125=TRUE,ISNUMBER(F125),F125&gt;0),100,"")</x:f>
        <x:v>100</x:v>
      </x:c>
      <x:c r="I125" s="329" t="str">
        <x:f>IF(AND(ISNUMBER(H125),ISNUMBER(G125)),IF(J125="lower",IF(G125&gt;0,100*F125/G125,""),100*G125/F125),"")</x:f>
      </x:c>
      <x:c r="J125" s="321" t="str">
        <x:v>higher</x:v>
      </x:c>
    </x:row>
    <x:row r="126" ht="24" customHeight="1">
      <x:c r="A126" s="327" t="n">
        <x:f>Daily!A38</x:f>
        <x:v>46382.5</x:v>
      </x:c>
      <x:c r="B126" s="322" t="str">
        <x:f>Daily!D38</x:f>
        <x:v>Skill micro-session</x:v>
      </x:c>
      <x:c r="C126" s="322" t="str">
        <x:v>B · Easy chest-to-wall hold</x:v>
      </x:c>
      <x:c r="D126" s="322" t="str">
        <x:v>seconds</x:v>
      </x:c>
      <x:c r="E126" s="324" t="b">
        <x:v>1</x:v>
      </x:c>
      <x:c r="F126" s="330" t="n">
        <x:v>45</x:v>
      </x:c>
      <x:c r="G126" s="331" t="str">
        <x:f>IF(AND(Daily!N38=TRUE,COUNT(Daily!O38,Daily!P38,Daily!Q38)&gt;0),SUM(Daily!O38,Daily!P38,Daily!Q38)*86400,"")</x:f>
      </x:c>
      <x:c r="H126" s="331" t="n">
        <x:f>IF(AND(E126=TRUE,ISNUMBER(F126),F126&gt;0),100,"")</x:f>
        <x:v>100</x:v>
      </x:c>
      <x:c r="I126" s="331" t="str">
        <x:f>IF(AND(ISNUMBER(H126),ISNUMBER(G126)),IF(J126="lower",IF(G126&gt;0,100*F126/G126,""),100*G126/F126),"")</x:f>
      </x:c>
      <x:c r="J126" s="325" t="str">
        <x:v>higher</x:v>
      </x:c>
    </x:row>
    <x:row r="127" ht="24" customHeight="1">
      <x:c r="A127" s="326" t="n">
        <x:f>Daily!A38</x:f>
        <x:v>46382.5</x:v>
      </x:c>
      <x:c r="B127" s="318" t="str">
        <x:f>Daily!D38</x:f>
        <x:v>Skill micro-session</x:v>
      </x:c>
      <x:c r="C127" s="318" t="str">
        <x:v>C · Wall handstand line drill</x:v>
      </x:c>
      <x:c r="D127" s="318" t="str">
        <x:v>seconds</x:v>
      </x:c>
      <x:c r="E127" s="320" t="b">
        <x:v>1</x:v>
      </x:c>
      <x:c r="F127" s="328" t="n">
        <x:v>45</x:v>
      </x:c>
      <x:c r="G127" s="329" t="str">
        <x:f>IF(AND(Daily!T38=TRUE,COUNT(Daily!U38,Daily!V38,Daily!W38)&gt;0),SUM(Daily!U38,Daily!V38,Daily!W38)*86400,"")</x:f>
      </x:c>
      <x:c r="H127" s="329" t="n">
        <x:f>IF(AND(E127=TRUE,ISNUMBER(F127),F127&gt;0),100,"")</x:f>
        <x:v>100</x:v>
      </x:c>
      <x:c r="I127" s="329" t="str">
        <x:f>IF(AND(ISNUMBER(H127),ISNUMBER(G127)),IF(J127="lower",IF(G127&gt;0,100*F127/G127,""),100*G127/F127),"")</x:f>
      </x:c>
      <x:c r="J127" s="321" t="str">
        <x:v>higher</x:v>
      </x:c>
    </x:row>
    <x:row r="128" ht="24" customHeight="1">
      <x:c r="A128" s="327" t="n">
        <x:f>Daily!A39</x:f>
        <x:v>46384.5</x:v>
      </x:c>
      <x:c r="B128" s="322" t="str">
        <x:f>Daily!D39</x:f>
        <x:v>Skill A + interval circuit</x:v>
      </x:c>
      <x:c r="C128" s="322" t="str">
        <x:v>B · Band-assisted muscle-up</x:v>
      </x:c>
      <x:c r="D128" s="322" t="str">
        <x:v>reps</x:v>
      </x:c>
      <x:c r="E128" s="324" t="b">
        <x:v>1</x:v>
      </x:c>
      <x:c r="F128" s="330" t="n">
        <x:v>4</x:v>
      </x:c>
      <x:c r="G128" s="331" t="str">
        <x:f>IF(AND(Daily!N39=TRUE,COUNT(Daily!O39,Daily!P39)&gt;0),SUM(Daily!O39,Daily!P39),"")</x:f>
      </x:c>
      <x:c r="H128" s="331" t="n">
        <x:f>IF(AND(E128=TRUE,ISNUMBER(F128),F128&gt;0),100,"")</x:f>
        <x:v>100</x:v>
      </x:c>
      <x:c r="I128" s="331" t="str">
        <x:f>IF(AND(ISNUMBER(H128),ISNUMBER(G128)),IF(J128="lower",IF(G128&gt;0,100*F128/G128,""),100*G128/F128),"")</x:f>
      </x:c>
      <x:c r="J128" s="325" t="str">
        <x:v>higher</x:v>
      </x:c>
    </x:row>
    <x:row r="129" ht="24" customHeight="1">
      <x:c r="A129" s="326" t="n">
        <x:f>Daily!A39</x:f>
        <x:v>46384.5</x:v>
      </x:c>
      <x:c r="B129" s="318" t="str">
        <x:f>Daily!D39</x:f>
        <x:v>Skill A + interval circuit</x:v>
      </x:c>
      <x:c r="C129" s="318" t="str">
        <x:v>Core</x:v>
      </x:c>
      <x:c r="D129" s="318" t="str">
        <x:v>rounds</x:v>
      </x:c>
      <x:c r="E129" s="320" t="b">
        <x:v>1</x:v>
      </x:c>
      <x:c r="F129" s="328" t="n">
        <x:v>5</x:v>
      </x:c>
      <x:c r="G129" s="329" t="str">
        <x:f>IF(AND(Daily!Z39=TRUE,COUNT(Daily!AA39)&gt;0),SUM(Daily!AA39),"")</x:f>
      </x:c>
      <x:c r="H129" s="329" t="n">
        <x:f>IF(AND(E129=TRUE,ISNUMBER(F129),F129&gt;0),100,"")</x:f>
        <x:v>100</x:v>
      </x:c>
      <x:c r="I129" s="329" t="str">
        <x:f>IF(AND(ISNUMBER(H129),ISNUMBER(G129)),IF(J129="lower",IF(G129&gt;0,100*F129/G129,""),100*G129/F129),"")</x:f>
      </x:c>
      <x:c r="J129" s="321" t="str">
        <x:v>higher</x:v>
      </x:c>
    </x:row>
    <x:row r="130" ht="24" customHeight="1">
      <x:c r="A130" s="327" t="n">
        <x:f>Daily!A40</x:f>
        <x:v>46385.5</x:v>
      </x:c>
      <x:c r="B130" s="322" t="str">
        <x:f>Daily!D40</x:f>
        <x:v>Handstand technique</x:v>
      </x:c>
      <x:c r="C130" s="322" t="str">
        <x:v>A · Wrist/shoulder mobility</x:v>
      </x:c>
      <x:c r="D130" s="322" t="str">
        <x:v>seconds</x:v>
      </x:c>
      <x:c r="E130" s="324" t="b">
        <x:v>1</x:v>
      </x:c>
      <x:c r="F130" s="330" t="n">
        <x:v>120</x:v>
      </x:c>
      <x:c r="G130" s="331" t="str">
        <x:f>IF(AND(Daily!H40=TRUE,COUNT(Daily!I40)&gt;0),SUM(Daily!I40)*86400,"")</x:f>
      </x:c>
      <x:c r="H130" s="331" t="n">
        <x:f>IF(AND(E130=TRUE,ISNUMBER(F130),F130&gt;0),100,"")</x:f>
        <x:v>100</x:v>
      </x:c>
      <x:c r="I130" s="331" t="str">
        <x:f>IF(AND(ISNUMBER(H130),ISNUMBER(G130)),IF(J130="lower",IF(G130&gt;0,100*F130/G130,""),100*G130/F130),"")</x:f>
      </x:c>
      <x:c r="J130" s="325" t="str">
        <x:v>higher</x:v>
      </x:c>
    </x:row>
    <x:row r="131" ht="24" customHeight="1">
      <x:c r="A131" s="326" t="n">
        <x:f>Daily!A40</x:f>
        <x:v>46385.5</x:v>
      </x:c>
      <x:c r="B131" s="318" t="str">
        <x:f>Daily!D40</x:f>
        <x:v>Handstand technique</x:v>
      </x:c>
      <x:c r="C131" s="318" t="str">
        <x:v>B · Easy chest-to-wall hold</x:v>
      </x:c>
      <x:c r="D131" s="318" t="str">
        <x:v>seconds</x:v>
      </x:c>
      <x:c r="E131" s="320" t="b">
        <x:v>1</x:v>
      </x:c>
      <x:c r="F131" s="328" t="n">
        <x:v>45</x:v>
      </x:c>
      <x:c r="G131" s="329" t="str">
        <x:f>IF(AND(Daily!N40=TRUE,COUNT(Daily!O40,Daily!P40,Daily!Q40)&gt;0),SUM(Daily!O40,Daily!P40,Daily!Q40)*86400,"")</x:f>
      </x:c>
      <x:c r="H131" s="329" t="n">
        <x:f>IF(AND(E131=TRUE,ISNUMBER(F131),F131&gt;0),100,"")</x:f>
        <x:v>100</x:v>
      </x:c>
      <x:c r="I131" s="329" t="str">
        <x:f>IF(AND(ISNUMBER(H131),ISNUMBER(G131)),IF(J131="lower",IF(G131&gt;0,100*F131/G131,""),100*G131/F131),"")</x:f>
      </x:c>
      <x:c r="J131" s="321" t="str">
        <x:v>higher</x:v>
      </x:c>
    </x:row>
    <x:row r="132" ht="24" customHeight="1">
      <x:c r="A132" s="327" t="n">
        <x:f>Daily!A40</x:f>
        <x:v>46385.5</x:v>
      </x:c>
      <x:c r="B132" s="322" t="str">
        <x:f>Daily!D40</x:f>
        <x:v>Handstand technique</x:v>
      </x:c>
      <x:c r="C132" s="322" t="str">
        <x:v>C · Wall handstand line drill</x:v>
      </x:c>
      <x:c r="D132" s="322" t="str">
        <x:v>seconds</x:v>
      </x:c>
      <x:c r="E132" s="324" t="b">
        <x:v>1</x:v>
      </x:c>
      <x:c r="F132" s="330" t="n">
        <x:v>30</x:v>
      </x:c>
      <x:c r="G132" s="331" t="str">
        <x:f>IF(AND(Daily!T40=TRUE,COUNT(Daily!U40,Daily!V40)&gt;0),SUM(Daily!U40,Daily!V40)*86400,"")</x:f>
      </x:c>
      <x:c r="H132" s="331" t="n">
        <x:f>IF(AND(E132=TRUE,ISNUMBER(F132),F132&gt;0),100,"")</x:f>
        <x:v>100</x:v>
      </x:c>
      <x:c r="I132" s="331" t="str">
        <x:f>IF(AND(ISNUMBER(H132),ISNUMBER(G132)),IF(J132="lower",IF(G132&gt;0,100*F132/G132,""),100*G132/F132),"")</x:f>
      </x:c>
      <x:c r="J132" s="325" t="str">
        <x:v>higher</x:v>
      </x:c>
    </x:row>
    <x:row r="133" ht="24" customHeight="1">
      <x:c r="A133" s="326" t="n">
        <x:f>Daily!A41</x:f>
        <x:v>46387.5</x:v>
      </x:c>
      <x:c r="B133" s="318" t="str">
        <x:f>Daily!D41</x:f>
        <x:v>Skill B + circuit</x:v>
      </x:c>
      <x:c r="C133" s="318" t="str">
        <x:v>B · Easy wall handstand</x:v>
      </x:c>
      <x:c r="D133" s="318" t="str">
        <x:v>seconds</x:v>
      </x:c>
      <x:c r="E133" s="320" t="b">
        <x:v>1</x:v>
      </x:c>
      <x:c r="F133" s="328" t="n">
        <x:v>40</x:v>
      </x:c>
      <x:c r="G133" s="329" t="str">
        <x:f>IF(AND(Daily!N41=TRUE,COUNT(Daily!O41,Daily!P41)&gt;0),SUM(Daily!O41,Daily!P41)*86400,"")</x:f>
      </x:c>
      <x:c r="H133" s="329" t="n">
        <x:f>IF(AND(E133=TRUE,ISNUMBER(F133),F133&gt;0),100,"")</x:f>
        <x:v>100</x:v>
      </x:c>
      <x:c r="I133" s="329" t="str">
        <x:f>IF(AND(ISNUMBER(H133),ISNUMBER(G133)),IF(J133="lower",IF(G133&gt;0,100*F133/G133,""),100*G133/F133),"")</x:f>
      </x:c>
      <x:c r="J133" s="321" t="str">
        <x:v>higher</x:v>
      </x:c>
    </x:row>
    <x:row r="134" ht="24" customHeight="1">
      <x:c r="A134" s="327" t="n">
        <x:f>Daily!A41</x:f>
        <x:v>46387.5</x:v>
      </x:c>
      <x:c r="B134" s="322" t="str">
        <x:f>Daily!D41</x:f>
        <x:v>Skill B + circuit</x:v>
      </x:c>
      <x:c r="C134" s="322" t="str">
        <x:v>Core</x:v>
      </x:c>
      <x:c r="D134" s="322" t="str">
        <x:v>rounds</x:v>
      </x:c>
      <x:c r="E134" s="324" t="b">
        <x:v>1</x:v>
      </x:c>
      <x:c r="F134" s="330" t="n">
        <x:v>5</x:v>
      </x:c>
      <x:c r="G134" s="331" t="str">
        <x:f>IF(AND(Daily!Z41=TRUE,COUNT(Daily!AA41)&gt;0),SUM(Daily!AA41),"")</x:f>
      </x:c>
      <x:c r="H134" s="331" t="n">
        <x:f>IF(AND(E134=TRUE,ISNUMBER(F134),F134&gt;0),100,"")</x:f>
        <x:v>100</x:v>
      </x:c>
      <x:c r="I134" s="331" t="str">
        <x:f>IF(AND(ISNUMBER(H134),ISNUMBER(G134)),IF(J134="lower",IF(G134&gt;0,100*F134/G134,""),100*G134/F134),"")</x:f>
      </x:c>
      <x:c r="J134" s="325" t="str">
        <x:v>higher</x:v>
      </x:c>
    </x:row>
    <x:row r="135" ht="24" customHeight="1">
      <x:c r="A135" s="326" t="n">
        <x:f>Daily!A42</x:f>
        <x:v>46389.5</x:v>
      </x:c>
      <x:c r="B135" s="318" t="str">
        <x:f>Daily!D42</x:f>
        <x:v>Skill micro-session</x:v>
      </x:c>
      <x:c r="C135" s="318" t="str">
        <x:v>A · Wrist/shoulder mobility</x:v>
      </x:c>
      <x:c r="D135" s="318" t="str">
        <x:v>seconds</x:v>
      </x:c>
      <x:c r="E135" s="320" t="b">
        <x:v>1</x:v>
      </x:c>
      <x:c r="F135" s="328" t="n">
        <x:v>120</x:v>
      </x:c>
      <x:c r="G135" s="329" t="str">
        <x:f>IF(AND(Daily!H42=TRUE,COUNT(Daily!I42)&gt;0),SUM(Daily!I42)*86400,"")</x:f>
      </x:c>
      <x:c r="H135" s="329" t="n">
        <x:f>IF(AND(E135=TRUE,ISNUMBER(F135),F135&gt;0),100,"")</x:f>
        <x:v>100</x:v>
      </x:c>
      <x:c r="I135" s="329" t="str">
        <x:f>IF(AND(ISNUMBER(H135),ISNUMBER(G135)),IF(J135="lower",IF(G135&gt;0,100*F135/G135,""),100*G135/F135),"")</x:f>
      </x:c>
      <x:c r="J135" s="321" t="str">
        <x:v>higher</x:v>
      </x:c>
    </x:row>
    <x:row r="136" ht="24" customHeight="1">
      <x:c r="A136" s="327" t="n">
        <x:f>Daily!A42</x:f>
        <x:v>46389.5</x:v>
      </x:c>
      <x:c r="B136" s="322" t="str">
        <x:f>Daily!D42</x:f>
        <x:v>Skill micro-session</x:v>
      </x:c>
      <x:c r="C136" s="322" t="str">
        <x:v>B · Easy chest-to-wall hold</x:v>
      </x:c>
      <x:c r="D136" s="322" t="str">
        <x:v>seconds</x:v>
      </x:c>
      <x:c r="E136" s="324" t="b">
        <x:v>1</x:v>
      </x:c>
      <x:c r="F136" s="330" t="n">
        <x:v>45</x:v>
      </x:c>
      <x:c r="G136" s="331" t="str">
        <x:f>IF(AND(Daily!N42=TRUE,COUNT(Daily!O42,Daily!P42,Daily!Q42)&gt;0),SUM(Daily!O42,Daily!P42,Daily!Q42)*86400,"")</x:f>
      </x:c>
      <x:c r="H136" s="331" t="n">
        <x:f>IF(AND(E136=TRUE,ISNUMBER(F136),F136&gt;0),100,"")</x:f>
        <x:v>100</x:v>
      </x:c>
      <x:c r="I136" s="331" t="str">
        <x:f>IF(AND(ISNUMBER(H136),ISNUMBER(G136)),IF(J136="lower",IF(G136&gt;0,100*F136/G136,""),100*G136/F136),"")</x:f>
      </x:c>
      <x:c r="J136" s="325" t="str">
        <x:v>higher</x:v>
      </x:c>
    </x:row>
    <x:row r="137" ht="24" customHeight="1">
      <x:c r="A137" s="326" t="n">
        <x:f>Daily!A42</x:f>
        <x:v>46389.5</x:v>
      </x:c>
      <x:c r="B137" s="318" t="str">
        <x:f>Daily!D42</x:f>
        <x:v>Skill micro-session</x:v>
      </x:c>
      <x:c r="C137" s="318" t="str">
        <x:v>C · Wall handstand line drill</x:v>
      </x:c>
      <x:c r="D137" s="318" t="str">
        <x:v>seconds</x:v>
      </x:c>
      <x:c r="E137" s="320" t="b">
        <x:v>1</x:v>
      </x:c>
      <x:c r="F137" s="328" t="n">
        <x:v>45</x:v>
      </x:c>
      <x:c r="G137" s="329" t="str">
        <x:f>IF(AND(Daily!T42=TRUE,COUNT(Daily!U42,Daily!V42,Daily!W42)&gt;0),SUM(Daily!U42,Daily!V42,Daily!W42)*86400,"")</x:f>
      </x:c>
      <x:c r="H137" s="329" t="n">
        <x:f>IF(AND(E137=TRUE,ISNUMBER(F137),F137&gt;0),100,"")</x:f>
        <x:v>100</x:v>
      </x:c>
      <x:c r="I137" s="329" t="str">
        <x:f>IF(AND(ISNUMBER(H137),ISNUMBER(G137)),IF(J137="lower",IF(G137&gt;0,100*F137/G137,""),100*G137/F137),"")</x:f>
      </x:c>
      <x:c r="J137" s="321" t="str">
        <x:v>higher</x:v>
      </x:c>
    </x:row>
    <x:row r="138" ht="24" customHeight="1">
      <x:c r="A138" s="327" t="n">
        <x:f>Daily!A43</x:f>
        <x:v>46391.5</x:v>
      </x:c>
      <x:c r="B138" s="322" t="str">
        <x:f>Daily!D43</x:f>
        <x:v>Skill A + interval circuit</x:v>
      </x:c>
      <x:c r="C138" s="322" t="str">
        <x:v>A · Quality muscle-up attempts</x:v>
      </x:c>
      <x:c r="D138" s="322" t="str">
        <x:v>singles</x:v>
      </x:c>
      <x:c r="E138" s="324" t="b">
        <x:v>1</x:v>
      </x:c>
      <x:c r="F138" s="330" t="n">
        <x:v>3</x:v>
      </x:c>
      <x:c r="G138" s="331" t="str">
        <x:f>IF(AND(Daily!H43=TRUE,COUNT(Daily!I43)&gt;0),SUM(Daily!I43),"")</x:f>
      </x:c>
      <x:c r="H138" s="331" t="n">
        <x:f>IF(AND(E138=TRUE,ISNUMBER(F138),F138&gt;0),100,"")</x:f>
        <x:v>100</x:v>
      </x:c>
      <x:c r="I138" s="331" t="str">
        <x:f>IF(AND(ISNUMBER(H138),ISNUMBER(G138)),IF(J138="lower",IF(G138&gt;0,100*F138/G138,""),100*G138/F138),"")</x:f>
      </x:c>
      <x:c r="J138" s="325" t="str">
        <x:v>higher</x:v>
      </x:c>
    </x:row>
    <x:row r="139" ht="24" customHeight="1">
      <x:c r="A139" s="326" t="n">
        <x:f>Daily!A43</x:f>
        <x:v>46391.5</x:v>
      </x:c>
      <x:c r="B139" s="318" t="str">
        <x:f>Daily!D43</x:f>
        <x:v>Skill A + interval circuit</x:v>
      </x:c>
      <x:c r="C139" s="318" t="str">
        <x:v>B · Crisp high pull</x:v>
      </x:c>
      <x:c r="D139" s="318" t="str">
        <x:v>reps</x:v>
      </x:c>
      <x:c r="E139" s="320" t="b">
        <x:v>1</x:v>
      </x:c>
      <x:c r="F139" s="328" t="n">
        <x:v>6</x:v>
      </x:c>
      <x:c r="G139" s="329" t="str">
        <x:f>IF(AND(Daily!N43=TRUE,COUNT(Daily!O43,Daily!P43,Daily!Q43)&gt;0),SUM(Daily!O43,Daily!P43,Daily!Q43),"")</x:f>
      </x:c>
      <x:c r="H139" s="329" t="n">
        <x:f>IF(AND(E139=TRUE,ISNUMBER(F139),F139&gt;0),100,"")</x:f>
        <x:v>100</x:v>
      </x:c>
      <x:c r="I139" s="329" t="str">
        <x:f>IF(AND(ISNUMBER(H139),ISNUMBER(G139)),IF(J139="lower",IF(G139&gt;0,100*F139/G139,""),100*G139/F139),"")</x:f>
      </x:c>
      <x:c r="J139" s="321" t="str">
        <x:v>higher</x:v>
      </x:c>
    </x:row>
    <x:row r="140" ht="24" customHeight="1">
      <x:c r="A140" s="327" t="n">
        <x:f>Daily!A43</x:f>
        <x:v>46391.5</x:v>
      </x:c>
      <x:c r="B140" s="322" t="str">
        <x:f>Daily!D43</x:f>
        <x:v>Skill A + interval circuit</x:v>
      </x:c>
      <x:c r="C140" s="322" t="str">
        <x:v>C · Clean pistol</x:v>
      </x:c>
      <x:c r="D140" s="322" t="str">
        <x:v>reps/leg</x:v>
      </x:c>
      <x:c r="E140" s="324" t="b">
        <x:v>1</x:v>
      </x:c>
      <x:c r="F140" s="330" t="n">
        <x:v>6</x:v>
      </x:c>
      <x:c r="G140" s="331" t="str">
        <x:f>IF(AND(Daily!T43=TRUE,COUNT(Daily!U43,Daily!V43,Daily!W43)&gt;0),SUM(Daily!U43,Daily!V43,Daily!W43),"")</x:f>
      </x:c>
      <x:c r="H140" s="331" t="n">
        <x:f>IF(AND(E140=TRUE,ISNUMBER(F140),F140&gt;0),100,"")</x:f>
        <x:v>100</x:v>
      </x:c>
      <x:c r="I140" s="331" t="str">
        <x:f>IF(AND(ISNUMBER(H140),ISNUMBER(G140)),IF(J140="lower",IF(G140&gt;0,100*F140/G140,""),100*G140/F140),"")</x:f>
      </x:c>
      <x:c r="J140" s="325" t="str">
        <x:v>higher</x:v>
      </x:c>
    </x:row>
    <x:row r="141" ht="24" customHeight="1">
      <x:c r="A141" s="326" t="n">
        <x:f>Daily!A43</x:f>
        <x:v>46391.5</x:v>
      </x:c>
      <x:c r="B141" s="318" t="str">
        <x:f>Daily!D43</x:f>
        <x:v>Skill A + interval circuit</x:v>
      </x:c>
      <x:c r="C141" s="318" t="str">
        <x:v>Core</x:v>
      </x:c>
      <x:c r="D141" s="318" t="str">
        <x:v>rounds</x:v>
      </x:c>
      <x:c r="E141" s="320" t="b">
        <x:v>1</x:v>
      </x:c>
      <x:c r="F141" s="328" t="n">
        <x:v>5</x:v>
      </x:c>
      <x:c r="G141" s="329" t="str">
        <x:f>IF(AND(Daily!Z43=TRUE,COUNT(Daily!AA43)&gt;0),SUM(Daily!AA43),"")</x:f>
      </x:c>
      <x:c r="H141" s="329" t="n">
        <x:f>IF(AND(E141=TRUE,ISNUMBER(F141),F141&gt;0),100,"")</x:f>
        <x:v>100</x:v>
      </x:c>
      <x:c r="I141" s="329" t="str">
        <x:f>IF(AND(ISNUMBER(H141),ISNUMBER(G141)),IF(J141="lower",IF(G141&gt;0,100*F141/G141,""),100*G141/F141),"")</x:f>
      </x:c>
      <x:c r="J141" s="321" t="str">
        <x:v>higher</x:v>
      </x:c>
    </x:row>
    <x:row r="142" ht="24" customHeight="1">
      <x:c r="A142" s="327" t="n">
        <x:f>Daily!A44</x:f>
        <x:v>46392.5</x:v>
      </x:c>
      <x:c r="B142" s="322" t="str">
        <x:f>Daily!D44</x:f>
        <x:v>Handstand technique</x:v>
      </x:c>
      <x:c r="C142" s="322" t="str">
        <x:v>A · Wrist/shoulder mobility</x:v>
      </x:c>
      <x:c r="D142" s="322" t="str">
        <x:v>seconds</x:v>
      </x:c>
      <x:c r="E142" s="324" t="b">
        <x:v>1</x:v>
      </x:c>
      <x:c r="F142" s="330" t="n">
        <x:v>120</x:v>
      </x:c>
      <x:c r="G142" s="331" t="str">
        <x:f>IF(AND(Daily!H44=TRUE,COUNT(Daily!I44)&gt;0),SUM(Daily!I44)*86400,"")</x:f>
      </x:c>
      <x:c r="H142" s="331" t="n">
        <x:f>IF(AND(E142=TRUE,ISNUMBER(F142),F142&gt;0),100,"")</x:f>
        <x:v>100</x:v>
      </x:c>
      <x:c r="I142" s="331" t="str">
        <x:f>IF(AND(ISNUMBER(H142),ISNUMBER(G142)),IF(J142="lower",IF(G142&gt;0,100*F142/G142,""),100*G142/F142),"")</x:f>
      </x:c>
      <x:c r="J142" s="325" t="str">
        <x:v>higher</x:v>
      </x:c>
    </x:row>
    <x:row r="143" ht="24" customHeight="1">
      <x:c r="A143" s="326" t="n">
        <x:f>Daily!A44</x:f>
        <x:v>46392.5</x:v>
      </x:c>
      <x:c r="B143" s="318" t="str">
        <x:f>Daily!D44</x:f>
        <x:v>Handstand technique</x:v>
      </x:c>
      <x:c r="C143" s="318" t="str">
        <x:v>B · Easy chest-to-wall hold</x:v>
      </x:c>
      <x:c r="D143" s="318" t="str">
        <x:v>seconds</x:v>
      </x:c>
      <x:c r="E143" s="320" t="b">
        <x:v>1</x:v>
      </x:c>
      <x:c r="F143" s="328" t="n">
        <x:v>45</x:v>
      </x:c>
      <x:c r="G143" s="329" t="str">
        <x:f>IF(AND(Daily!N44=TRUE,COUNT(Daily!O44,Daily!P44,Daily!Q44)&gt;0),SUM(Daily!O44,Daily!P44,Daily!Q44)*86400,"")</x:f>
      </x:c>
      <x:c r="H143" s="329" t="n">
        <x:f>IF(AND(E143=TRUE,ISNUMBER(F143),F143&gt;0),100,"")</x:f>
        <x:v>100</x:v>
      </x:c>
      <x:c r="I143" s="329" t="str">
        <x:f>IF(AND(ISNUMBER(H143),ISNUMBER(G143)),IF(J143="lower",IF(G143&gt;0,100*F143/G143,""),100*G143/F143),"")</x:f>
      </x:c>
      <x:c r="J143" s="321" t="str">
        <x:v>higher</x:v>
      </x:c>
    </x:row>
    <x:row r="144" ht="24" customHeight="1">
      <x:c r="A144" s="327" t="n">
        <x:f>Daily!A44</x:f>
        <x:v>46392.5</x:v>
      </x:c>
      <x:c r="B144" s="322" t="str">
        <x:f>Daily!D44</x:f>
        <x:v>Handstand technique</x:v>
      </x:c>
      <x:c r="C144" s="322" t="str">
        <x:v>C · Wall handstand line drill</x:v>
      </x:c>
      <x:c r="D144" s="322" t="str">
        <x:v>seconds</x:v>
      </x:c>
      <x:c r="E144" s="324" t="b">
        <x:v>1</x:v>
      </x:c>
      <x:c r="F144" s="330" t="n">
        <x:v>30</x:v>
      </x:c>
      <x:c r="G144" s="331" t="str">
        <x:f>IF(AND(Daily!T44=TRUE,COUNT(Daily!U44,Daily!V44)&gt;0),SUM(Daily!U44,Daily!V44)*86400,"")</x:f>
      </x:c>
      <x:c r="H144" s="331" t="n">
        <x:f>IF(AND(E144=TRUE,ISNUMBER(F144),F144&gt;0),100,"")</x:f>
        <x:v>100</x:v>
      </x:c>
      <x:c r="I144" s="331" t="str">
        <x:f>IF(AND(ISNUMBER(H144),ISNUMBER(G144)),IF(J144="lower",IF(G144&gt;0,100*F144/G144,""),100*G144/F144),"")</x:f>
      </x:c>
      <x:c r="J144" s="325" t="str">
        <x:v>higher</x:v>
      </x:c>
    </x:row>
    <x:row r="145" ht="24" customHeight="1">
      <x:c r="A145" s="326" t="n">
        <x:f>Daily!A45</x:f>
        <x:v>46394.5</x:v>
      </x:c>
      <x:c r="B145" s="318" t="str">
        <x:f>Daily!D45</x:f>
        <x:v>Skill B + circuit</x:v>
      </x:c>
      <x:c r="C145" s="318" t="str">
        <x:v>B · Pike push-up back-off</x:v>
      </x:c>
      <x:c r="D145" s="318" t="str">
        <x:v>reps</x:v>
      </x:c>
      <x:c r="E145" s="320" t="b">
        <x:v>1</x:v>
      </x:c>
      <x:c r="F145" s="328" t="n">
        <x:v>8</x:v>
      </x:c>
      <x:c r="G145" s="329" t="str">
        <x:f>IF(AND(Daily!N45=TRUE,COUNT(Daily!O45,Daily!P45)&gt;0),SUM(Daily!O45,Daily!P45),"")</x:f>
      </x:c>
      <x:c r="H145" s="329" t="n">
        <x:f>IF(AND(E145=TRUE,ISNUMBER(F145),F145&gt;0),100,"")</x:f>
        <x:v>100</x:v>
      </x:c>
      <x:c r="I145" s="329" t="str">
        <x:f>IF(AND(ISNUMBER(H145),ISNUMBER(G145)),IF(J145="lower",IF(G145&gt;0,100*F145/G145,""),100*G145/F145),"")</x:f>
      </x:c>
      <x:c r="J145" s="321" t="str">
        <x:v>higher</x:v>
      </x:c>
    </x:row>
    <x:row r="146" ht="24" customHeight="1">
      <x:c r="A146" s="327" t="n">
        <x:f>Daily!A45</x:f>
        <x:v>46394.5</x:v>
      </x:c>
      <x:c r="B146" s="322" t="str">
        <x:f>Daily!D45</x:f>
        <x:v>Skill B + circuit</x:v>
      </x:c>
      <x:c r="C146" s="322" t="str">
        <x:v>C · Clean pistol</x:v>
      </x:c>
      <x:c r="D146" s="322" t="str">
        <x:v>reps/leg</x:v>
      </x:c>
      <x:c r="E146" s="324" t="b">
        <x:v>1</x:v>
      </x:c>
      <x:c r="F146" s="330" t="n">
        <x:v>6</x:v>
      </x:c>
      <x:c r="G146" s="331" t="str">
        <x:f>IF(AND(Daily!T45=TRUE,COUNT(Daily!U45,Daily!V45,Daily!W45)&gt;0),SUM(Daily!U45,Daily!V45,Daily!W45),"")</x:f>
      </x:c>
      <x:c r="H146" s="331" t="n">
        <x:f>IF(AND(E146=TRUE,ISNUMBER(F146),F146&gt;0),100,"")</x:f>
        <x:v>100</x:v>
      </x:c>
      <x:c r="I146" s="331" t="str">
        <x:f>IF(AND(ISNUMBER(H146),ISNUMBER(G146)),IF(J146="lower",IF(G146&gt;0,100*F146/G146,""),100*G146/F146),"")</x:f>
      </x:c>
      <x:c r="J146" s="325" t="str">
        <x:v>higher</x:v>
      </x:c>
    </x:row>
    <x:row r="147" ht="24" customHeight="1">
      <x:c r="A147" s="326" t="n">
        <x:f>Daily!A45</x:f>
        <x:v>46394.5</x:v>
      </x:c>
      <x:c r="B147" s="318" t="str">
        <x:f>Daily!D45</x:f>
        <x:v>Skill B + circuit</x:v>
      </x:c>
      <x:c r="C147" s="318" t="str">
        <x:v>Core</x:v>
      </x:c>
      <x:c r="D147" s="318" t="str">
        <x:v>rounds</x:v>
      </x:c>
      <x:c r="E147" s="320" t="b">
        <x:v>1</x:v>
      </x:c>
      <x:c r="F147" s="328" t="n">
        <x:v>5</x:v>
      </x:c>
      <x:c r="G147" s="329" t="str">
        <x:f>IF(AND(Daily!Z45=TRUE,COUNT(Daily!AA45)&gt;0),SUM(Daily!AA45),"")</x:f>
      </x:c>
      <x:c r="H147" s="329" t="n">
        <x:f>IF(AND(E147=TRUE,ISNUMBER(F147),F147&gt;0),100,"")</x:f>
        <x:v>100</x:v>
      </x:c>
      <x:c r="I147" s="329" t="str">
        <x:f>IF(AND(ISNUMBER(H147),ISNUMBER(G147)),IF(J147="lower",IF(G147&gt;0,100*F147/G147,""),100*G147/F147),"")</x:f>
      </x:c>
      <x:c r="J147" s="321" t="str">
        <x:v>higher</x:v>
      </x:c>
    </x:row>
    <x:row r="148" ht="24" customHeight="1">
      <x:c r="A148" s="327" t="n">
        <x:f>Daily!A46</x:f>
        <x:v>46396.5</x:v>
      </x:c>
      <x:c r="B148" s="322" t="str">
        <x:f>Daily!D46</x:f>
        <x:v>Skill micro-session</x:v>
      </x:c>
      <x:c r="C148" s="322" t="str">
        <x:v>A · Wrist/shoulder mobility</x:v>
      </x:c>
      <x:c r="D148" s="322" t="str">
        <x:v>seconds</x:v>
      </x:c>
      <x:c r="E148" s="324" t="b">
        <x:v>1</x:v>
      </x:c>
      <x:c r="F148" s="330" t="n">
        <x:v>120</x:v>
      </x:c>
      <x:c r="G148" s="331" t="str">
        <x:f>IF(AND(Daily!H46=TRUE,COUNT(Daily!I46)&gt;0),SUM(Daily!I46)*86400,"")</x:f>
      </x:c>
      <x:c r="H148" s="331" t="n">
        <x:f>IF(AND(E148=TRUE,ISNUMBER(F148),F148&gt;0),100,"")</x:f>
        <x:v>100</x:v>
      </x:c>
      <x:c r="I148" s="331" t="str">
        <x:f>IF(AND(ISNUMBER(H148),ISNUMBER(G148)),IF(J148="lower",IF(G148&gt;0,100*F148/G148,""),100*G148/F148),"")</x:f>
      </x:c>
      <x:c r="J148" s="325" t="str">
        <x:v>higher</x:v>
      </x:c>
    </x:row>
    <x:row r="149" ht="24" customHeight="1">
      <x:c r="A149" s="326" t="n">
        <x:f>Daily!A46</x:f>
        <x:v>46396.5</x:v>
      </x:c>
      <x:c r="B149" s="318" t="str">
        <x:f>Daily!D46</x:f>
        <x:v>Skill micro-session</x:v>
      </x:c>
      <x:c r="C149" s="318" t="str">
        <x:v>B · Easy chest-to-wall hold</x:v>
      </x:c>
      <x:c r="D149" s="318" t="str">
        <x:v>seconds</x:v>
      </x:c>
      <x:c r="E149" s="320" t="b">
        <x:v>1</x:v>
      </x:c>
      <x:c r="F149" s="328" t="n">
        <x:v>45</x:v>
      </x:c>
      <x:c r="G149" s="329" t="str">
        <x:f>IF(AND(Daily!N46=TRUE,COUNT(Daily!O46,Daily!P46,Daily!Q46)&gt;0),SUM(Daily!O46,Daily!P46,Daily!Q46)*86400,"")</x:f>
      </x:c>
      <x:c r="H149" s="329" t="n">
        <x:f>IF(AND(E149=TRUE,ISNUMBER(F149),F149&gt;0),100,"")</x:f>
        <x:v>100</x:v>
      </x:c>
      <x:c r="I149" s="329" t="str">
        <x:f>IF(AND(ISNUMBER(H149),ISNUMBER(G149)),IF(J149="lower",IF(G149&gt;0,100*F149/G149,""),100*G149/F149),"")</x:f>
      </x:c>
      <x:c r="J149" s="321" t="str">
        <x:v>higher</x:v>
      </x:c>
    </x:row>
    <x:row r="150" ht="24" customHeight="1">
      <x:c r="A150" s="327" t="n">
        <x:f>Daily!A46</x:f>
        <x:v>46396.5</x:v>
      </x:c>
      <x:c r="B150" s="322" t="str">
        <x:f>Daily!D46</x:f>
        <x:v>Skill micro-session</x:v>
      </x:c>
      <x:c r="C150" s="322" t="str">
        <x:v>C · Wall handstand line drill</x:v>
      </x:c>
      <x:c r="D150" s="322" t="str">
        <x:v>seconds</x:v>
      </x:c>
      <x:c r="E150" s="324" t="b">
        <x:v>1</x:v>
      </x:c>
      <x:c r="F150" s="330" t="n">
        <x:v>45</x:v>
      </x:c>
      <x:c r="G150" s="331" t="str">
        <x:f>IF(AND(Daily!T46=TRUE,COUNT(Daily!U46,Daily!V46,Daily!W46)&gt;0),SUM(Daily!U46,Daily!V46,Daily!W46)*86400,"")</x:f>
      </x:c>
      <x:c r="H150" s="331" t="n">
        <x:f>IF(AND(E150=TRUE,ISNUMBER(F150),F150&gt;0),100,"")</x:f>
        <x:v>100</x:v>
      </x:c>
      <x:c r="I150" s="331" t="str">
        <x:f>IF(AND(ISNUMBER(H150),ISNUMBER(G150)),IF(J150="lower",IF(G150&gt;0,100*F150/G150,""),100*G150/F150),"")</x:f>
      </x:c>
      <x:c r="J150" s="325" t="str">
        <x:v>higher</x:v>
      </x:c>
    </x:row>
    <x:row r="151" ht="24" customHeight="1">
      <x:c r="A151" s="326" t="n">
        <x:f>Daily!A47</x:f>
        <x:v>46398.5</x:v>
      </x:c>
      <x:c r="B151" s="318" t="str">
        <x:f>Daily!D47</x:f>
        <x:v>Skill A + interval circuit</x:v>
      </x:c>
      <x:c r="C151" s="318" t="str">
        <x:v>Core</x:v>
      </x:c>
      <x:c r="D151" s="318" t="str">
        <x:v>rounds</x:v>
      </x:c>
      <x:c r="E151" s="320" t="b">
        <x:v>1</x:v>
      </x:c>
      <x:c r="F151" s="328" t="n">
        <x:v>2</x:v>
      </x:c>
      <x:c r="G151" s="329" t="str">
        <x:f>IF(AND(Daily!Z47=TRUE,COUNT(Daily!AA47)&gt;0),SUM(Daily!AA47),"")</x:f>
      </x:c>
      <x:c r="H151" s="329" t="n">
        <x:f>IF(AND(E151=TRUE,ISNUMBER(F151),F151&gt;0),100,"")</x:f>
        <x:v>100</x:v>
      </x:c>
      <x:c r="I151" s="329" t="str">
        <x:f>IF(AND(ISNUMBER(H151),ISNUMBER(G151)),IF(J151="lower",IF(G151&gt;0,100*F151/G151,""),100*G151/F151),"")</x:f>
      </x:c>
      <x:c r="J151" s="321" t="str">
        <x:v>higher</x:v>
      </x:c>
    </x:row>
    <x:row r="152" ht="24" customHeight="1">
      <x:c r="A152" s="327" t="n">
        <x:f>Daily!A48</x:f>
        <x:v>46399.5</x:v>
      </x:c>
      <x:c r="B152" s="322" t="str">
        <x:f>Daily!D48</x:f>
        <x:v>Handstand technique</x:v>
      </x:c>
      <x:c r="C152" s="322" t="str">
        <x:v>A · Wrist/shoulder mobility</x:v>
      </x:c>
      <x:c r="D152" s="322" t="str">
        <x:v>seconds</x:v>
      </x:c>
      <x:c r="E152" s="324" t="b">
        <x:v>1</x:v>
      </x:c>
      <x:c r="F152" s="330" t="n">
        <x:v>60</x:v>
      </x:c>
      <x:c r="G152" s="331" t="str">
        <x:f>IF(AND(Daily!H48=TRUE,COUNT(Daily!I48)&gt;0),SUM(Daily!I48)*86400,"")</x:f>
      </x:c>
      <x:c r="H152" s="331" t="n">
        <x:f>IF(AND(E152=TRUE,ISNUMBER(F152),F152&gt;0),100,"")</x:f>
        <x:v>100</x:v>
      </x:c>
      <x:c r="I152" s="331" t="str">
        <x:f>IF(AND(ISNUMBER(H152),ISNUMBER(G152)),IF(J152="lower",IF(G152&gt;0,100*F152/G152,""),100*G152/F152),"")</x:f>
      </x:c>
      <x:c r="J152" s="325" t="str">
        <x:v>higher</x:v>
      </x:c>
    </x:row>
    <x:row r="153" ht="24" customHeight="1">
      <x:c r="A153" s="326" t="n">
        <x:f>Daily!A48</x:f>
        <x:v>46399.5</x:v>
      </x:c>
      <x:c r="B153" s="318" t="str">
        <x:f>Daily!D48</x:f>
        <x:v>Handstand technique</x:v>
      </x:c>
      <x:c r="C153" s="318" t="str">
        <x:v>B · Easy chest-to-wall hold</x:v>
      </x:c>
      <x:c r="D153" s="318" t="str">
        <x:v>seconds</x:v>
      </x:c>
      <x:c r="E153" s="320" t="b">
        <x:v>1</x:v>
      </x:c>
      <x:c r="F153" s="328" t="n">
        <x:v>20</x:v>
      </x:c>
      <x:c r="G153" s="329" t="str">
        <x:f>IF(AND(Daily!N48=TRUE,COUNT(Daily!O48,Daily!P48)&gt;0),SUM(Daily!O48,Daily!P48)*86400,"")</x:f>
      </x:c>
      <x:c r="H153" s="329" t="n">
        <x:f>IF(AND(E153=TRUE,ISNUMBER(F153),F153&gt;0),100,"")</x:f>
        <x:v>100</x:v>
      </x:c>
      <x:c r="I153" s="329" t="str">
        <x:f>IF(AND(ISNUMBER(H153),ISNUMBER(G153)),IF(J153="lower",IF(G153&gt;0,100*F153/G153,""),100*G153/F153),"")</x:f>
      </x:c>
      <x:c r="J153" s="321" t="str">
        <x:v>higher</x:v>
      </x:c>
    </x:row>
    <x:row r="154" ht="24" customHeight="1">
      <x:c r="A154" s="327" t="n">
        <x:f>Daily!A48</x:f>
        <x:v>46399.5</x:v>
      </x:c>
      <x:c r="B154" s="322" t="str">
        <x:f>Daily!D48</x:f>
        <x:v>Handstand technique</x:v>
      </x:c>
      <x:c r="C154" s="322" t="str">
        <x:v>C · Wall handstand line drill</x:v>
      </x:c>
      <x:c r="D154" s="322" t="str">
        <x:v>seconds</x:v>
      </x:c>
      <x:c r="E154" s="324" t="b">
        <x:v>1</x:v>
      </x:c>
      <x:c r="F154" s="330" t="n">
        <x:v>10</x:v>
      </x:c>
      <x:c r="G154" s="331" t="str">
        <x:f>IF(AND(Daily!T48=TRUE,COUNT(Daily!U48)&gt;0),SUM(Daily!U48)*86400,"")</x:f>
      </x:c>
      <x:c r="H154" s="331" t="n">
        <x:f>IF(AND(E154=TRUE,ISNUMBER(F154),F154&gt;0),100,"")</x:f>
        <x:v>100</x:v>
      </x:c>
      <x:c r="I154" s="331" t="str">
        <x:f>IF(AND(ISNUMBER(H154),ISNUMBER(G154)),IF(J154="lower",IF(G154&gt;0,100*F154/G154,""),100*G154/F154),"")</x:f>
      </x:c>
      <x:c r="J154" s="325" t="str">
        <x:v>higher</x:v>
      </x:c>
    </x:row>
    <x:row r="155" ht="24" customHeight="1">
      <x:c r="A155" s="326" t="n">
        <x:f>Daily!A49</x:f>
        <x:v>46401.5</x:v>
      </x:c>
      <x:c r="B155" s="318" t="str">
        <x:f>Daily!D49</x:f>
        <x:v>Skill B + interval circuit</x:v>
      </x:c>
      <x:c r="C155" s="318" t="str">
        <x:v>B · Easy wall handstand</x:v>
      </x:c>
      <x:c r="D155" s="318" t="str">
        <x:v>seconds</x:v>
      </x:c>
      <x:c r="E155" s="320" t="b">
        <x:v>1</x:v>
      </x:c>
      <x:c r="F155" s="328" t="n">
        <x:v>15</x:v>
      </x:c>
      <x:c r="G155" s="329" t="str">
        <x:f>IF(AND(Daily!N49=TRUE,COUNT(Daily!O49)&gt;0),SUM(Daily!O49)*86400,"")</x:f>
      </x:c>
      <x:c r="H155" s="329" t="n">
        <x:f>IF(AND(E155=TRUE,ISNUMBER(F155),F155&gt;0),100,"")</x:f>
        <x:v>100</x:v>
      </x:c>
      <x:c r="I155" s="329" t="str">
        <x:f>IF(AND(ISNUMBER(H155),ISNUMBER(G155)),IF(J155="lower",IF(G155&gt;0,100*F155/G155,""),100*G155/F155),"")</x:f>
      </x:c>
      <x:c r="J155" s="321" t="str">
        <x:v>higher</x:v>
      </x:c>
    </x:row>
    <x:row r="156" ht="24" customHeight="1">
      <x:c r="A156" s="327" t="n">
        <x:f>Daily!A49</x:f>
        <x:v>46401.5</x:v>
      </x:c>
      <x:c r="B156" s="322" t="str">
        <x:f>Daily!D49</x:f>
        <x:v>Skill B + interval circuit</x:v>
      </x:c>
      <x:c r="C156" s="322" t="str">
        <x:v>C · Gentle wrist/shoulder mobility</x:v>
      </x:c>
      <x:c r="D156" s="322" t="str">
        <x:v>seconds</x:v>
      </x:c>
      <x:c r="E156" s="324" t="b">
        <x:v>1</x:v>
      </x:c>
      <x:c r="F156" s="330" t="n">
        <x:v>120</x:v>
      </x:c>
      <x:c r="G156" s="331" t="str">
        <x:f>IF(AND(Daily!T49=TRUE,COUNT(Daily!U49)&gt;0),SUM(Daily!U49)*86400,"")</x:f>
      </x:c>
      <x:c r="H156" s="331" t="n">
        <x:f>IF(AND(E156=TRUE,ISNUMBER(F156),F156&gt;0),100,"")</x:f>
        <x:v>100</x:v>
      </x:c>
      <x:c r="I156" s="331" t="str">
        <x:f>IF(AND(ISNUMBER(H156),ISNUMBER(G156)),IF(J156="lower",IF(G156&gt;0,100*F156/G156,""),100*G156/F156),"")</x:f>
      </x:c>
      <x:c r="J156" s="325" t="str">
        <x:v>higher</x:v>
      </x:c>
    </x:row>
    <x:row r="157" ht="24" customHeight="1">
      <x:c r="A157" s="326" t="n">
        <x:f>Daily!A49</x:f>
        <x:v>46401.5</x:v>
      </x:c>
      <x:c r="B157" s="318" t="str">
        <x:f>Daily!D49</x:f>
        <x:v>Skill B + interval circuit</x:v>
      </x:c>
      <x:c r="C157" s="318" t="str">
        <x:v>Core</x:v>
      </x:c>
      <x:c r="D157" s="318" t="str">
        <x:v>rounds</x:v>
      </x:c>
      <x:c r="E157" s="320" t="b">
        <x:v>1</x:v>
      </x:c>
      <x:c r="F157" s="328" t="n">
        <x:v>2</x:v>
      </x:c>
      <x:c r="G157" s="329" t="str">
        <x:f>IF(AND(Daily!Z49=TRUE,COUNT(Daily!AA49)&gt;0),SUM(Daily!AA49),"")</x:f>
      </x:c>
      <x:c r="H157" s="329" t="n">
        <x:f>IF(AND(E157=TRUE,ISNUMBER(F157),F157&gt;0),100,"")</x:f>
        <x:v>100</x:v>
      </x:c>
      <x:c r="I157" s="329" t="str">
        <x:f>IF(AND(ISNUMBER(H157),ISNUMBER(G157)),IF(J157="lower",IF(G157&gt;0,100*F157/G157,""),100*G157/F157),"")</x:f>
      </x:c>
      <x:c r="J157" s="321" t="str">
        <x:v>higher</x:v>
      </x:c>
    </x:row>
    <x:row r="158" ht="24" customHeight="1">
      <x:c r="A158" s="327" t="n">
        <x:f>Daily!A50</x:f>
        <x:v>46403.5</x:v>
      </x:c>
      <x:c r="B158" s="322" t="str">
        <x:f>Daily!D50</x:f>
        <x:v>Skill micro-session</x:v>
      </x:c>
      <x:c r="C158" s="322" t="str">
        <x:v>A · Wrist/shoulder mobility</x:v>
      </x:c>
      <x:c r="D158" s="322" t="str">
        <x:v>seconds</x:v>
      </x:c>
      <x:c r="E158" s="324" t="b">
        <x:v>1</x:v>
      </x:c>
      <x:c r="F158" s="330" t="n">
        <x:v>60</x:v>
      </x:c>
      <x:c r="G158" s="331" t="str">
        <x:f>IF(AND(Daily!H50=TRUE,COUNT(Daily!I50)&gt;0),SUM(Daily!I50)*86400,"")</x:f>
      </x:c>
      <x:c r="H158" s="331" t="n">
        <x:f>IF(AND(E158=TRUE,ISNUMBER(F158),F158&gt;0),100,"")</x:f>
        <x:v>100</x:v>
      </x:c>
      <x:c r="I158" s="331" t="str">
        <x:f>IF(AND(ISNUMBER(H158),ISNUMBER(G158)),IF(J158="lower",IF(G158&gt;0,100*F158/G158,""),100*G158/F158),"")</x:f>
      </x:c>
      <x:c r="J158" s="325" t="str">
        <x:v>higher</x:v>
      </x:c>
    </x:row>
    <x:row r="159" ht="24" customHeight="1">
      <x:c r="A159" s="326" t="n">
        <x:f>Daily!A50</x:f>
        <x:v>46403.5</x:v>
      </x:c>
      <x:c r="B159" s="318" t="str">
        <x:f>Daily!D50</x:f>
        <x:v>Skill micro-session</x:v>
      </x:c>
      <x:c r="C159" s="318" t="str">
        <x:v>B · Easy chest-to-wall hold</x:v>
      </x:c>
      <x:c r="D159" s="318" t="str">
        <x:v>seconds</x:v>
      </x:c>
      <x:c r="E159" s="320" t="b">
        <x:v>1</x:v>
      </x:c>
      <x:c r="F159" s="328" t="n">
        <x:v>20</x:v>
      </x:c>
      <x:c r="G159" s="329" t="str">
        <x:f>IF(AND(Daily!N50=TRUE,COUNT(Daily!O50,Daily!P50)&gt;0),SUM(Daily!O50,Daily!P50)*86400,"")</x:f>
      </x:c>
      <x:c r="H159" s="329" t="n">
        <x:f>IF(AND(E159=TRUE,ISNUMBER(F159),F159&gt;0),100,"")</x:f>
        <x:v>100</x:v>
      </x:c>
      <x:c r="I159" s="329" t="str">
        <x:f>IF(AND(ISNUMBER(H159),ISNUMBER(G159)),IF(J159="lower",IF(G159&gt;0,100*F159/G159,""),100*G159/F159),"")</x:f>
      </x:c>
      <x:c r="J159" s="321" t="str">
        <x:v>higher</x:v>
      </x:c>
    </x:row>
    <x:row r="160" ht="24" customHeight="1">
      <x:c r="A160" s="327" t="n">
        <x:f>Daily!A50</x:f>
        <x:v>46403.5</x:v>
      </x:c>
      <x:c r="B160" s="322" t="str">
        <x:f>Daily!D50</x:f>
        <x:v>Skill micro-session</x:v>
      </x:c>
      <x:c r="C160" s="322" t="str">
        <x:v>C · Wall handstand line drill</x:v>
      </x:c>
      <x:c r="D160" s="322" t="str">
        <x:v>seconds</x:v>
      </x:c>
      <x:c r="E160" s="324" t="b">
        <x:v>1</x:v>
      </x:c>
      <x:c r="F160" s="330" t="n">
        <x:v>10</x:v>
      </x:c>
      <x:c r="G160" s="331" t="str">
        <x:f>IF(AND(Daily!T50=TRUE,COUNT(Daily!U50)&gt;0),SUM(Daily!U50)*86400,"")</x:f>
      </x:c>
      <x:c r="H160" s="331" t="n">
        <x:f>IF(AND(E160=TRUE,ISNUMBER(F160),F160&gt;0),100,"")</x:f>
        <x:v>100</x:v>
      </x:c>
      <x:c r="I160" s="331" t="str">
        <x:f>IF(AND(ISNUMBER(H160),ISNUMBER(G160)),IF(J160="lower",IF(G160&gt;0,100*F160/G160,""),100*G160/F160),"")</x:f>
      </x:c>
      <x:c r="J160" s="325" t="str">
        <x:v>higher</x:v>
      </x:c>
    </x:row>
  </x:sheetData>
  <x:mergeCells>
    <x:mergeCell ref="A2:J2"/>
  </x:mergeCells>
  <x:dataValidations count="3">
    <x:dataValidation type="list" sqref="E5:E160">
      <x:formula1>"TRUE,FALSE"</x:formula1>
    </x:dataValidation>
    <x:dataValidation type="list" sqref="J5:J160">
      <x:formula1>"higher,lower"</x:formula1>
    </x:dataValidation>
    <x:dataValidation type="decimal" operator="greaterThanOrEqual" sqref="F5:F160">
      <x:formula1>0</x:formula1>
    </x:dataValidation>
  </x:dataValidations>
  <x:pageMargins left="0.7" right="0.7" top="0.75" bottom="0.75" header="0.3" footer="0.3"/>
</x:worksheet>
</file>
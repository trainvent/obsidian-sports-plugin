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60172d7a3f41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ategy" sheetId="1" r:id="R4ca80f28de9b48c3"/>
    <x:sheet xmlns:r="http://schemas.openxmlformats.org/officeDocument/2006/relationships" name="Recurring" sheetId="2" r:id="Ra6d092b3991541a7"/>
    <x:sheet xmlns:r="http://schemas.openxmlformats.org/officeDocument/2006/relationships" name="Log" sheetId="3" r:id="R9088dd6b4a724988"/>
  </x:sheets>
</x:workbook>
</file>

<file path=xl/sharedStrings.xml><?xml version="1.0" encoding="utf-8"?>
<x:sst xmlns:x="http://schemas.openxmlformats.org/spreadsheetml/2006/main">
  <x:si>
    <x:t xml:space="preserve">Plan</x:t>
  </x:si>
  <x:si>
    <x:t xml:space="preserve">schema_version</x:t>
  </x:si>
  <x:si>
    <x:t xml:space="preserve">plan_id</x:t>
  </x:si>
  <x:si>
    <x:t xml:space="preserve">plan_name</x:t>
  </x:si>
  <x:si>
    <x:t xml:space="preserve">timezone</x:t>
  </x:si>
  <x:si>
    <x:t xml:space="preserve">start_date</x:t>
  </x:si>
  <x:si>
    <x:t xml:space="preserve">1</x:t>
  </x:si>
  <x:si>
    <x:t xml:space="preserve">my-training</x:t>
  </x:si>
  <x:si>
    <x:t xml:space="preserve">12-week hybrid plan</x:t>
  </x:si>
  <x:si>
    <x:t xml:space="preserve">Europe/Berlin</x:t>
  </x:si>
  <x:si>
    <x:t xml:space="preserve">Goals</x:t>
  </x:si>
  <x:si>
    <x:t xml:space="preserve">goal_id</x:t>
  </x:si>
  <x:si>
    <x:t xml:space="preserve">title</x:t>
  </x:si>
  <x:si>
    <x:t xml:space="preserve">benchmark</x:t>
  </x:si>
  <x:si>
    <x:t xml:space="preserve">baseline</x:t>
  </x:si>
  <x:si>
    <x:t xml:space="preserve">test</x:t>
  </x:si>
  <x:si>
    <x:t xml:space="preserve">category</x:t>
  </x:si>
  <x:si>
    <x:t xml:space="preserve">muscle-up</x:t>
  </x:si>
  <x:si>
    <x:t xml:space="preserve">Muscle-up</x:t>
  </x:si>
  <x:si>
    <x:t xml:space="preserve">Band-assisted or first strict rep</x:t>
  </x:si>
  <x:si>
    <x:t xml:space="preserve">Record assistance and controlled full movement</x:t>
  </x:si>
  <x:si>
    <x:t xml:space="preserve">milestone</x:t>
  </x:si>
  <x:si>
    <x:t xml:space="preserve">hspu</x:t>
  </x:si>
  <x:si>
    <x:t xml:space="preserve">Handstand push-up</x:t>
  </x:si>
  <x:si>
    <x:t xml:space="preserve">3–5 controlled wall reps or deep negatives</x:t>
  </x:si>
  <x:si>
    <x:t xml:space="preserve">Not established</x:t>
  </x:si>
  <x:si>
    <x:t xml:space="preserve">Chest-to-wall, full lockout</x:t>
  </x:si>
  <x:si>
    <x:t xml:space="preserve">pistol</x:t>
  </x:si>
  <x:si>
    <x:t xml:space="preserve">Pistol squat</x:t>
  </x:si>
  <x:si>
    <x:t xml:space="preserve">3–5 clean reps per leg</x:t>
  </x:si>
  <x:si>
    <x:t xml:space="preserve">Heel down, controlled depth</x:t>
  </x:si>
  <x:si>
    <x:t xml:space="preserve">running</x:t>
  </x:si>
  <x:si>
    <x:t xml:space="preserve">Running</x:t>
  </x:si>
  <x:si>
    <x:t xml:space="preserve">Maintain or improve 12 km pace</x:t>
  </x:si>
  <x:si>
    <x:t xml:space="preserve">12 km at 5:00/km (reported)</x:t>
  </x:si>
  <x:si>
    <x:t xml:space="preserve">12 km steady test in week 12</x:t>
  </x:si>
  <x:si>
    <x:t xml:space="preserve">maintenance</x:t>
  </x:si>
  <x:si>
    <x:t xml:space="preserve">Parts</x:t>
  </x:si>
  <x:si>
    <x:t xml:space="preserve">part_id</x:t>
  </x:si>
  <x:si>
    <x:t xml:space="preserve">version</x:t>
  </x:si>
  <x:si>
    <x:t xml:space="preserve">prescription</x:t>
  </x:si>
  <x:si>
    <x:t xml:space="preserve">goal_ids</x:t>
  </x:si>
  <x:si>
    <x:t xml:space="preserve">A</x:t>
  </x:si>
  <x:si>
    <x:t xml:space="preserve">Skills A</x:t>
  </x:si>
  <x:si>
    <x:t xml:space="preserve">Muscle-up + pistol practice: follow block A in Week plans, then Core. Log variation, assistance, sets and reps.</x:t>
  </x:si>
  <x:si>
    <x:t xml:space="preserve">muscle-up, pistol</x:t>
  </x:si>
  <x:si>
    <x:t xml:space="preserve">B</x:t>
  </x:si>
  <x:si>
    <x:t xml:space="preserve">Skills B</x:t>
  </x:si>
  <x:si>
    <x:t xml:space="preserve">HSPU + pistol practice: follow block B in Week plans, then Core. Log variation, assistance, sets and reps.</x:t>
  </x:si>
  <x:si>
    <x:t xml:space="preserve">hspu, pistol</x:t>
  </x:si>
  <x:si>
    <x:t xml:space="preserve">Technique</x:t>
  </x:si>
  <x:si>
    <x:t xml:space="preserve">Light technique</x:t>
  </x:si>
  <x:si>
    <x:t xml:space="preserve">Easy wrist/shoulder mobility, chest-to-wall holds and wall handstand line drills. Follow the short or easy session in the Training log.</x:t>
  </x:si>
  <x:si>
    <x:t xml:space="preserve">Core</x:t>
  </x:si>
  <x:si>
    <x:t xml:space="preserve">Core circuit — 16 min 40 sec</x:t>
  </x:si>
  <x:si>
    <x:t xml:space="preserve">5 rounds: pull-ups, push-ups, weighted squats, upside-down hanging shoulder/ab work. Each exercise: 30 sec work + 20 sec rest, then continue around the circuit. 5 × 4 × 50 sec = 16 min 40 sec including the final rest.</x:t>
  </x:si>
  <x:si>
    <x:t xml:space="preserve">muscle-up, hspu, pistol</x:t>
  </x:si>
  <x:si>
    <x:t xml:space="preserve">Week plans</x:t>
  </x:si>
  <x:si>
    <x:t xml:space="preserve">Week</x:t>
  </x:si>
  <x:si>
    <x:t xml:space="preserve">Start</x:t>
  </x:si>
  <x:si>
    <x:t xml:space="preserve">Phase</x:t>
  </x:si>
  <x:si>
    <x:t xml:space="preserve">Focus</x:t>
  </x:si>
  <x:si>
    <x:t xml:space="preserve">Targets</x:t>
  </x:si>
  <x:si>
    <x:t xml:space="preserve">Advance when</x:t>
  </x:si>
  <x:si>
    <x:t xml:space="preserve">Minutes</x:t>
  </x:si>
  <x:si>
    <x:t xml:space="preserve">Foundation</x:t>
  </x:si>
  <x:si>
    <x:t xml:space="preserve">35 min skills before each circuit; leave reps in reserve</x:t>
  </x:si>
  <x:si>
    <x:t xml:space="preserve">Muscle-up: Scapular pulls + chest-to-bar intent; HSPU: Chest-to-wall hold + pike push-up; Pistol: Box pistol + ankle mobility</x:t>
  </x:si>
  <x:si>
    <x:t xml:space="preserve">Review recorded results and comfort. Repeat or adjust the week if needed.</x:t>
  </x:si>
  <x:si>
    <x:t xml:space="preserve">Scapular pull-up: 3 x 5, High pull (chest-to-bar intent): 3 x 3, Box pistol: 3 x 5/leg, Core: 5 rounds</x:t>
  </x:si>
  <x:si>
    <x:t xml:space="preserve">Chest-to-wall handstand: 3 x 20 sec, Pike push-up: 3 x 5, Box pistol: 3 x 5/leg, Core: 5 rounds</x:t>
  </x:si>
  <x:si>
    <x:t xml:space="preserve">Muscle-up: Band transition drill + high pull; HSPU: Wall hold + elevated pike push-up; Pistol: Lower box pistol + counterweight</x:t>
  </x:si>
  <x:si>
    <x:t xml:space="preserve">Band transition drill: 3 x 3, High pull: 3 x 3, Lower-box pistol with counterweight: 3 x 4/leg, Core: 5 rounds</x:t>
  </x:si>
  <x:si>
    <x:t xml:space="preserve">Wall handstand: 3 x 25 sec, Elevated pike push-up: 3 x 4, Lower-box pistol with counterweight: 3 x 4/leg, Core: 5 rounds</x:t>
  </x:si>
  <x:si>
    <x:t xml:space="preserve">Muscle-up: Explosive pull + low-bar transition; HSPU: Wall negative + pike push-up; Pistol: Assisted pistol to depth</x:t>
  </x:si>
  <x:si>
    <x:t xml:space="preserve">Explosive pull-up: 4 x 2, Low-bar transition: 3 x 3, Assisted full-depth pistol: 3 x 4/leg, Core: 5 rounds</x:t>
  </x:si>
  <x:si>
    <x:t xml:space="preserve">Wall HSPU negative: 3 x 2 (lower 3 sec), Pike push-up: 3 x 5, Assisted full-depth pistol: 3 x 4/leg, Core: 5 rounds</x:t>
  </x:si>
  <x:si>
    <x:t xml:space="preserve">Deload</x:t>
  </x:si>
  <x:si>
    <x:t xml:space="preserve">3 rounds; skip optional strength</x:t>
  </x:si>
  <x:si>
    <x:t xml:space="preserve">Muscle-up: Easy technique only; HSPU: Easy holds + mobility; Pistol: Easy assisted reps</x:t>
  </x:si>
  <x:si>
    <x:t xml:space="preserve">Easy scapular pull-up: 1 x 5, Easy low-bar transition: 1 x 3, Assisted pistol: 1 x 3/leg, Core: 3 rounds</x:t>
  </x:si>
  <x:si>
    <x:t xml:space="preserve">Easy wall handstand: 1 x 15 sec, Gentle wrist/shoulder mobility: 2 min, Assisted pistol: 1 x 3/leg, Core: 3 rounds</x:t>
  </x:si>
  <x:si>
    <x:t xml:space="preserve">Build</x:t>
  </x:si>
  <x:si>
    <x:t xml:space="preserve">Muscle-up: Chest-to-bar + band muscle-up; HSPU: Deficit pike + wall negative; Pistol: Counterweight pistol</x:t>
  </x:si>
  <x:si>
    <x:t xml:space="preserve">Chest-to-bar pull-up: 3 x 3, Band-assisted muscle-up: 4 x 1, Counterweight pistol: 3 x 4/leg, Core: 5 rounds</x:t>
  </x:si>
  <x:si>
    <x:t xml:space="preserve">Deficit pike push-up: 3 x 4, Wall HSPU negative: 3 x 2 (lower 3 sec), Counterweight pistol: 3 x 4/leg, Core: 5 rounds</x:t>
  </x:si>
  <x:si>
    <x:t xml:space="preserve">Muscle-up: Jumping muscle-up + slow transition; HSPU: Partial wall HSPU + negative; Pistol: Light counterweight pistol</x:t>
  </x:si>
  <x:si>
    <x:t xml:space="preserve">Jumping muscle-up: 3 x 3, Low-bar slow transition: 3 x 3, Light-counterweight pistol: 3 x 4/leg, Core: 5 rounds</x:t>
  </x:si>
  <x:si>
    <x:t xml:space="preserve">Partial wall HSPU: 3 x 3, Wall HSPU negative: 3 x 2 (lower 3 sec), Light-counterweight pistol: 3 x 4/leg, Core: 5 rounds</x:t>
  </x:si>
  <x:si>
    <x:t xml:space="preserve">Muscle-up: Light-band muscle-up singles; HSPU: Deeper wall HSPU; Pistol: Unassisted singles to target</x:t>
  </x:si>
  <x:si>
    <x:t xml:space="preserve">Light-band muscle-up: 4 x 1, Band-assisted transition: 3 x 2, Unassisted pistol to target: 3 x 1/leg, Core: 5 rounds</x:t>
  </x:si>
  <x:si>
    <x:t xml:space="preserve">Deeper wall HSPU: 3 x 2, Easy wall handstand: 2 x 20 sec, Unassisted pistol to target: 3 x 1/leg, Core: 5 rounds</x:t>
  </x:si>
  <x:si>
    <x:t xml:space="preserve">Muscle-up: Easy high pulls + transitions; HSPU: Easy holds + pike reps; Pistol: Assisted smooth reps</x:t>
  </x:si>
  <x:si>
    <x:t xml:space="preserve">Easy high pull: 1 x 3, Easy low-bar transition: 1 x 3, Assisted smooth pistol: 1 x 3/leg, Core: 3 rounds</x:t>
  </x:si>
  <x:si>
    <x:t xml:space="preserve">Easy wall handstand: 1 x 15 sec, Easy pike push-up: 1 x 4, Assisted smooth pistol: 1 x 3/leg, Core: 3 rounds</x:t>
  </x:si>
  <x:si>
    <x:t xml:space="preserve">Specific</x:t>
  </x:si>
  <x:si>
    <x:t xml:space="preserve">Muscle-up: Light-band or strict attempts, then back-off; HSPU: Full-ROM negatives + partial reps; Pistol: Unassisted singles</x:t>
  </x:si>
  <x:si>
    <x:t xml:space="preserve">Light-band or strict muscle-up: 3 x 1, Stronger-band back-off muscle-up: 2 x 2, Unassisted pistol: 3 x 1/leg, Core: 5 rounds</x:t>
  </x:si>
  <x:si>
    <x:t xml:space="preserve">Full-ROM wall HSPU negative: 3 x 1, Partial wall HSPU: 3 x 3, Unassisted pistol: 3 x 1/leg, Core: 5 rounds</x:t>
  </x:si>
  <x:si>
    <x:t xml:space="preserve">Muscle-up: 3-5 quality attempts + band reps; HSPU: Wall HSPU clusters; Pistol: Pistol clusters</x:t>
  </x:si>
  <x:si>
    <x:t xml:space="preserve">Quality muscle-up attempts: 3-5 singles, Band-assisted muscle-up: 2 x 2, Pistol clusters: 3 x (1+1)/leg (20 sec between reps), Core: 5 rounds</x:t>
  </x:si>
  <x:si>
    <x:t xml:space="preserve">Wall HSPU clusters: 3 x (1+1) (20 sec between reps), Easy wall handstand: 2 x 20 sec, Pistol clusters: 3 x (1+1)/leg (20 sec between reps), Core: 5 rounds</x:t>
  </x:si>
  <x:si>
    <x:t xml:space="preserve">Muscle-up: 3 quality attempts + crisp high pulls; HSPU: Full-ROM attempts + back-off; Pistol: Sets of clean pistols</x:t>
  </x:si>
  <x:si>
    <x:t xml:space="preserve">Quality muscle-up attempts: 3 singles, Crisp high pull: 3 x 2, Clean pistol: 3 x 2/leg, Core: 5 rounds</x:t>
  </x:si>
  <x:si>
    <x:t xml:space="preserve">Full-ROM wall HSPU: 3 single attempts, Pike push-up back-off: 2 x 4, Clean pistol: 3 x 2/leg, Core: 5 rounds</x:t>
  </x:si>
  <x:si>
    <x:t xml:space="preserve">Test</x:t>
  </x:si>
  <x:si>
    <x:t xml:space="preserve">2 easy rounds; tests replace extras</x:t>
  </x:si>
  <x:si>
    <x:t xml:space="preserve">Muscle-up: Test after warm-up; HSPU: Test after warm-up; Pistol: Test after warm-up</x:t>
  </x:si>
  <x:si>
    <x:t xml:space="preserve">Muscle-up test: up to 3 rested singles, Pistol test: 1 clean set/leg (cap at 5), Easy scapular pull-up: 1 x 5 if time remains, Core: 2 rounds</x:t>
  </x:si>
  <x:si>
    <x:t xml:space="preserve">Wall HSPU test: 1 clean set (cap at 5), Easy wall handstand: 1 x 15 sec, Gentle wrist/shoulder mobility: 2 min, Core: 2 rounds</x:t>
  </x:si>
  <x:si>
    <x:t xml:space="preserve">Exercise arsenal</x:t>
  </x:si>
  <x:si>
    <x:t xml:space="preserve">Group</x:t>
  </x:si>
  <x:si>
    <x:t xml:space="preserve">Exercise</x:t>
  </x:si>
  <x:si>
    <x:t xml:space="preserve">Easy scapular pull-up</x:t>
  </x:si>
  <x:si>
    <x:t xml:space="preserve">Scapular pull-up</x:t>
  </x:si>
  <x:si>
    <x:t xml:space="preserve">Easy high pull</x:t>
  </x:si>
  <x:si>
    <x:t xml:space="preserve">High pull</x:t>
  </x:si>
  <x:si>
    <x:t xml:space="preserve">High pull (chest-to-bar intent)</x:t>
  </x:si>
  <x:si>
    <x:t xml:space="preserve">Explosive pull-up</x:t>
  </x:si>
  <x:si>
    <x:t xml:space="preserve">Chest-to-bar pull-up</x:t>
  </x:si>
  <x:si>
    <x:t xml:space="preserve">Crisp high pull</x:t>
  </x:si>
  <x:si>
    <x:t xml:space="preserve">Easy low-bar transition</x:t>
  </x:si>
  <x:si>
    <x:t xml:space="preserve">Low-bar transition</x:t>
  </x:si>
  <x:si>
    <x:t xml:space="preserve">Low-bar slow transition</x:t>
  </x:si>
  <x:si>
    <x:t xml:space="preserve">Band transition drill</x:t>
  </x:si>
  <x:si>
    <x:t xml:space="preserve">Band-assisted transition</x:t>
  </x:si>
  <x:si>
    <x:t xml:space="preserve">Jumping muscle-up</x:t>
  </x:si>
  <x:si>
    <x:t xml:space="preserve">Band-assisted muscle-up</x:t>
  </x:si>
  <x:si>
    <x:t xml:space="preserve">Stronger-band back-off muscle-up</x:t>
  </x:si>
  <x:si>
    <x:t xml:space="preserve">Light-band muscle-up</x:t>
  </x:si>
  <x:si>
    <x:t xml:space="preserve">Light-band or strict muscle-up</x:t>
  </x:si>
  <x:si>
    <x:t xml:space="preserve">Quality muscle-up attempts</x:t>
  </x:si>
  <x:si>
    <x:t xml:space="preserve">Muscle-up test</x:t>
  </x:si>
  <x:si>
    <x:t xml:space="preserve">Handstand / HSPU</x:t>
  </x:si>
  <x:si>
    <x:t xml:space="preserve">Easy chest-to-wall hold</x:t>
  </x:si>
  <x:si>
    <x:t xml:space="preserve">Chest-to-wall handstand</x:t>
  </x:si>
  <x:si>
    <x:t xml:space="preserve">Easy wall handstand</x:t>
  </x:si>
  <x:si>
    <x:t xml:space="preserve">Wall handstand</x:t>
  </x:si>
  <x:si>
    <x:t xml:space="preserve">Wall handstand line drill</x:t>
  </x:si>
  <x:si>
    <x:t xml:space="preserve">Easy pike push-up</x:t>
  </x:si>
  <x:si>
    <x:t xml:space="preserve">Pike push-up</x:t>
  </x:si>
  <x:si>
    <x:t xml:space="preserve">Elevated pike push-up</x:t>
  </x:si>
  <x:si>
    <x:t xml:space="preserve">Deficit pike push-up</x:t>
  </x:si>
  <x:si>
    <x:t xml:space="preserve">Wall HSPU negative</x:t>
  </x:si>
  <x:si>
    <x:t xml:space="preserve">Full-ROM wall HSPU negative</x:t>
  </x:si>
  <x:si>
    <x:t xml:space="preserve">Partial wall HSPU</x:t>
  </x:si>
  <x:si>
    <x:t xml:space="preserve">Deeper wall HSPU</x:t>
  </x:si>
  <x:si>
    <x:t xml:space="preserve">Full-ROM wall HSPU</x:t>
  </x:si>
  <x:si>
    <x:t xml:space="preserve">Wall HSPU clusters</x:t>
  </x:si>
  <x:si>
    <x:t xml:space="preserve">Pike push-up back-off</x:t>
  </x:si>
  <x:si>
    <x:t xml:space="preserve">Wall HSPU test</x:t>
  </x:si>
  <x:si>
    <x:t xml:space="preserve">Box pistol</x:t>
  </x:si>
  <x:si>
    <x:t xml:space="preserve">Lower-box pistol with counterweight</x:t>
  </x:si>
  <x:si>
    <x:t xml:space="preserve">Assisted pistol</x:t>
  </x:si>
  <x:si>
    <x:t xml:space="preserve">Assisted smooth pistol</x:t>
  </x:si>
  <x:si>
    <x:t xml:space="preserve">Assisted full-depth pistol</x:t>
  </x:si>
  <x:si>
    <x:t xml:space="preserve">Counterweight pistol</x:t>
  </x:si>
  <x:si>
    <x:t xml:space="preserve">Light-counterweight pistol</x:t>
  </x:si>
  <x:si>
    <x:t xml:space="preserve">Unassisted pistol to target</x:t>
  </x:si>
  <x:si>
    <x:t xml:space="preserve">Unassisted pistol</x:t>
  </x:si>
  <x:si>
    <x:t xml:space="preserve">Pistol clusters</x:t>
  </x:si>
  <x:si>
    <x:t xml:space="preserve">Clean pistol</x:t>
  </x:si>
  <x:si>
    <x:t xml:space="preserve">Pistol test</x:t>
  </x:si>
  <x:si>
    <x:t xml:space="preserve">Pull-up</x:t>
  </x:si>
  <x:si>
    <x:t xml:space="preserve">Push-up</x:t>
  </x:si>
  <x:si>
    <x:t xml:space="preserve">Weighted squat</x:t>
  </x:si>
  <x:si>
    <x:t xml:space="preserve">Upside-down hanging shoulder/ab work</x:t>
  </x:si>
  <x:si>
    <x:t xml:space="preserve">Mobility</x:t>
  </x:si>
  <x:si>
    <x:t xml:space="preserve">Gentle wrist/shoulder mobility</x:t>
  </x:si>
  <x:si>
    <x:t xml:space="preserve">Wrist/shoulder mobility</x:t>
  </x:si>
  <x:si>
    <x:t xml:space="preserve">Weekly schedule</x:t>
  </x:si>
  <x:si>
    <x:t xml:space="preserve">Day</x:t>
  </x:si>
  <x:si>
    <x:t xml:space="preserve">Time Start</x:t>
  </x:si>
  <x:si>
    <x:t xml:space="preserve">Time End</x:t>
  </x:si>
  <x:si>
    <x:t xml:space="preserve">Activity</x:t>
  </x:si>
  <x:si>
    <x:t xml:space="preserve">Recorded by</x:t>
  </x:si>
  <x:si>
    <x:t xml:space="preserve">Notes</x:t>
  </x:si>
  <x:si>
    <x:t xml:space="preserve">Monday</x:t>
  </x:si>
  <x:si>
    <x:t xml:space="preserve">Tuesday</x:t>
  </x:si>
  <x:si>
    <x:t xml:space="preserve">Swimming</x:t>
  </x:si>
  <x:si>
    <x:t xml:space="preserve">Tracker</x:t>
  </x:si>
  <x:si>
    <x:t xml:space="preserve">Regular weekly swim training</x:t>
  </x:si>
  <x:si>
    <x:t xml:space="preserve">Wednesday</x:t>
  </x:si>
  <x:si>
    <x:t xml:space="preserve">Thursday</x:t>
  </x:si>
  <x:si>
    <x:t xml:space="preserve">Friday</x:t>
  </x:si>
  <x:si>
    <x:t xml:space="preserve">Saturday</x:t>
  </x:si>
  <x:si>
    <x:t xml:space="preserve">Sunday</x:t>
  </x:si>
  <x:si>
    <x:t xml:space="preserve">Regular weekly run</x:t>
  </x:si>
  <x:si>
    <x:t xml:space="preserve">Date</x:t>
  </x:si>
  <x:si>
    <x:t xml:space="preserve">Block</x:t>
  </x:si>
  <x:si>
    <x:t xml:space="preserve">Title</x:t>
  </x:si>
  <x:si>
    <x:t xml:space="preserve">Planned minutes</x:t>
  </x:si>
  <x:si>
    <x:t xml:space="preserve">Actual minutes</x:t>
  </x:si>
  <x:si>
    <x:t xml:space="preserve">Status</x:t>
  </x:si>
  <x:si>
    <x:t xml:space="preserve">Muscle-up result</x:t>
  </x:si>
  <x:si>
    <x:t xml:space="preserve">HSPU result</x:t>
  </x:si>
  <x:si>
    <x:t xml:space="preserve">Pistol result</x:t>
  </x:si>
  <x:si>
    <x:t xml:space="preserve">Skill A + interval circuit</x:t>
  </x:si>
  <x:si>
    <x:t xml:space="preserve">planned</x:t>
  </x:si>
  <x:si>
    <x:t xml:space="preserve">Handstand technique</x:t>
  </x:si>
  <x:si>
    <x:t xml:space="preserve">Skill B + circuit</x:t>
  </x:si>
  <x:si>
    <x:t xml:space="preserve">Skill micro-session</x:t>
  </x:si>
  <x:si>
    <x:t xml:space="preserve">Skill B + interval circuit</x:t>
  </x:si>
</x:sst>
</file>

<file path=xl/styles.xml><?xml version="1.0" encoding="utf-8"?>
<x:styleSheet xmlns:x="http://schemas.openxmlformats.org/spreadsheetml/2006/main">
  <x:numFmts count="9">
    <x:numFmt numFmtId="164" formatCode="General"/>
    <x:numFmt numFmtId="165" formatCode="_-* #,##0.00\ _€_-;\-* #,##0.00\ _€_-;_-* \-??\ _€_-;_-@_-"/>
    <x:numFmt numFmtId="166" formatCode="_-* #,##0\ _€_-;\-* #,##0\ _€_-;_-* &quot;- &quot;_€_-;_-@_-"/>
    <x:numFmt numFmtId="167" formatCode="_-* #,##0.00&quot; €&quot;_-;\-* #,##0.00&quot; €&quot;_-;_-* \-??&quot; €&quot;_-;_-@_-"/>
    <x:numFmt numFmtId="168" formatCode="_-* #,##0&quot; €&quot;_-;\-* #,##0&quot; €&quot;_-;_-* &quot;- €&quot;_-;_-@_-"/>
    <x:numFmt numFmtId="169" formatCode="0\ %"/>
    <x:numFmt numFmtId="170" formatCode="yyyy\-mm\-dd"/>
    <x:numFmt numFmtId="171" formatCode="hh:mm"/>
    <x:numFmt numFmtId="172" formatCode="0"/>
  </x:numFmts>
  <x:fonts count="13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  <x:family val="2"/>
    </x:font>
    <x:font>
      <x:sz val="11"/>
      <x:name val="Calibri"/>
    </x:font>
    <x:font>
      <x:b/>
      <x:sz val="10"/>
      <x:color rgb="FF243247"/>
      <x:name val="Arial"/>
    </x:font>
    <x:font>
      <x:sz val="10"/>
      <x:color rgb="FF243247"/>
      <x:name val="Arial"/>
    </x:font>
    <x:font>
      <x:sz val="10"/>
      <x:color rgb="FF243247"/>
      <x:name val="Arial"/>
      <x:family val="2"/>
    </x:font>
    <x:font>
      <x:b/>
      <x:sz val="10"/>
      <x:color rgb="FFFFFFFF"/>
      <x:name val="Arial"/>
    </x:font>
    <x:font>
      <x:b/>
      <x:sz val="10"/>
      <x:color rgb="FF243247"/>
      <x:name val="Arial"/>
      <x:family val="2"/>
    </x:font>
    <x:font>
      <x:sz val="11"/>
      <x:color rgb="FF202B3C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D9E3EF"/>
      </x:patternFill>
    </x:fill>
    <x:fill>
      <x:patternFill patternType="solid">
        <x:fgColor rgb="FF33465E"/>
      </x:patternFill>
    </x:fill>
    <x:fill>
      <x:patternFill patternType="solid">
        <x:fgColor rgb="FFE8EFF8"/>
      </x:patternFill>
    </x:fill>
    <x:fill>
      <x:patternFill patternType="solid">
        <x:fgColor rgb="FFFFF4D6"/>
      </x:patternFill>
    </x:fill>
    <x:fill>
      <x:patternFill patternType="solid">
        <x:fgColor rgb="FFF0F2F5"/>
      </x:patternFill>
    </x:fill>
    <x:fill>
      <x:patternFill patternType="solid">
        <x:fgColor rgb="FFE6ECF3"/>
      </x:patternFill>
    </x:fill>
    <x:fill>
      <x:patternFill patternType="solid">
        <x:fgColor rgb="FFE8F3EC"/>
      </x:patternFill>
    </x:fill>
    <x:fill>
      <x:patternFill patternType="solid">
        <x:fgColor rgb="FFFFF4D6"/>
      </x:patternFill>
    </x:fill>
    <x:fill>
      <x:patternFill patternType="solid">
        <x:fgColor rgb="FFD9E3EF"/>
      </x:patternFill>
    </x:fill>
  </x:fills>
  <x:borders count="104">
    <x:border diagonalUp="0" diagonalDown="0">
      <x:left/>
      <x:right/>
      <x:top/>
      <x:bottom/>
      <x:diagonal/>
    </x:border>
    <x:border diagonalUp="0" diagonalDown="0">
      <x:left style="thin"/>
      <x:right/>
      <x:top style="thin"/>
      <x:bottom style="thin"/>
      <x:diagonal/>
    </x:border>
    <x:border diagonalUp="0" diagonalDown="0">
      <x:left/>
      <x:right style="thin"/>
      <x:top style="thin"/>
      <x:bottom/>
      <x:diagonal/>
    </x:border>
    <x:border diagonalUp="0" diagonalDown="0">
      <x:left/>
      <x:right style="thin"/>
      <x:top/>
      <x:bottom/>
      <x:diagonal/>
    </x:border>
    <x:border diagonalUp="0" diagonalDown="0">
      <x:left/>
      <x:right style="thin"/>
      <x:top/>
      <x:bottom style="thin"/>
      <x:diagonal/>
    </x:border>
    <x:border diagonalUp="0" diagonalDown="0">
      <x:left/>
      <x:right/>
      <x:top/>
      <x:bottom style="thin">
        <x:color rgb="FFB7C3CF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</x:borders>
  <x:cellStyleXfs count="27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4" fillId="0" borderId="0" applyFont="1" applyBorder="0" applyAlignment="0" applyProtection="0"/>
    <x:xf numFmtId="167" fontId="4" fillId="0" borderId="0" applyFont="1" applyBorder="0" applyAlignment="0" applyProtection="0"/>
    <x:xf numFmtId="168" fontId="4" fillId="0" borderId="0" applyFont="1" applyBorder="0" applyAlignment="0" applyProtection="0"/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9" fontId="4" fillId="0" borderId="0" applyFont="1" applyBorder="0" applyAlignment="0" applyProtection="0"/>
  </x:cellStyleXfs>
  <x:cellXfs count="132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5" fillId="0" borderId="0" xfId="24" applyFont="0" applyBorder="0" applyAlignment="1" applyProtection="1">
      <x:alignment horizontal="general" vertical="bottom" wrapText="0" shrinkToFit="0"/>
      <x:protection locked="1" hidden="0"/>
    </x:xf>
    <x:xf numFmtId="164" fontId="7" fillId="2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0" borderId="0" xfId="24" applyFont="1" applyBorder="1" applyAlignment="1" applyProtection="0">
      <x:alignment horizontal="general" vertical="top" wrapText="1" shrinkToFit="0"/>
      <x:protection locked="1" hidden="0"/>
    </x:xf>
    <x:xf numFmtId="164" fontId="9" fillId="0" borderId="0" xfId="24" applyFont="1" applyBorder="1" applyAlignment="1" applyProtection="0">
      <x:alignment horizontal="general" vertical="top" wrapText="1" shrinkToFit="0"/>
      <x:protection locked="1" hidden="0"/>
    </x:xf>
    <x:xf numFmtId="164" fontId="10" fillId="3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0" xfId="24" applyFont="1" applyBorder="1" applyAlignment="1" applyProtection="0">
      <x:alignment horizontal="general" vertical="top" wrapText="1" shrinkToFit="0"/>
      <x:protection locked="1" hidden="0"/>
    </x:xf>
    <x:xf numFmtId="170" fontId="8" fillId="5" borderId="0" xfId="24" applyFont="1" applyBorder="1" applyAlignment="1" applyProtection="0">
      <x:alignment horizontal="general" vertical="top" wrapText="1" shrinkToFit="0"/>
      <x:protection locked="1" hidden="0"/>
    </x:xf>
    <x:xf numFmtId="164" fontId="11" fillId="2" borderId="0" xfId="24" applyFont="1" applyBorder="1" applyAlignment="1" applyProtection="0">
      <x:alignment horizontal="general" vertical="top" wrapText="1" shrinkToFit="0"/>
      <x:protection locked="1" hidden="0"/>
    </x:xf>
    <x:xf numFmtId="170" fontId="8" fillId="6" borderId="0" xfId="24" applyFont="1" applyBorder="1" applyAlignment="1" applyProtection="0">
      <x:alignment horizontal="general" vertical="top" wrapText="1" shrinkToFit="0"/>
      <x:protection locked="1" hidden="0"/>
    </x:xf>
    <x:xf numFmtId="164" fontId="7" fillId="7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2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3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4" xfId="24" applyFont="1" applyBorder="1" applyAlignment="1" applyProtection="0">
      <x:alignment horizontal="general" vertical="top" wrapText="1" shrinkToFit="0"/>
      <x:protection locked="1" hidden="0"/>
    </x:xf>
    <x:xf numFmtId="164" fontId="9" fillId="2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5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0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0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5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5" xfId="24" applyFont="1" applyBorder="1" applyAlignment="1" applyProtection="0">
      <x:alignment horizontal="general" vertical="top" wrapText="1" shrinkToFit="0"/>
      <x:protection locked="1" hidden="0"/>
    </x:xf>
    <x:xf numFmtId="164" fontId="8" fillId="6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8" borderId="0" xfId="24" applyFont="1" applyBorder="1" applyAlignment="1" applyProtection="0">
      <x:alignment horizontal="general" vertical="top" wrapText="1" shrinkToFit="0"/>
      <x:protection locked="1" hidden="0"/>
    </x:xf>
    <x:xf numFmtId="170" fontId="12" fillId="0" borderId="0" xfId="25" applyFont="1" applyBorder="1" applyAlignment="1" applyProtection="1">
      <x:alignment horizontal="general" vertical="top" wrapText="1" shrinkToFit="0"/>
      <x:protection locked="1" hidden="0"/>
    </x:xf>
    <x:xf numFmtId="164" fontId="12" fillId="0" borderId="0" xfId="25" applyFont="1" applyBorder="1" applyAlignment="1" applyProtection="1">
      <x:alignment horizontal="general" vertical="top" wrapText="1" shrinkToFit="0"/>
      <x:protection locked="1" hidden="0"/>
    </x:xf>
    <x:xf numFmtId="164" fontId="8" fillId="4" borderId="0" xfId="0" applyFont="1" applyBorder="1" applyAlignment="1" applyProtection="0">
      <x:alignment horizontal="general" vertical="top" wrapText="1" shrinkToFit="0"/>
      <x:protection locked="1" hidden="0"/>
    </x:xf>
    <x:xf numFmtId="164" fontId="8" fillId="5" borderId="0" xfId="0" applyFont="1" applyBorder="1" applyAlignment="1" applyProtection="0">
      <x:alignment horizontal="general" vertical="top" wrapText="1" shrinkToFit="0"/>
      <x:protection locked="1" hidden="0"/>
    </x:xf>
    <x:xf numFmtId="164" fontId="10" fillId="3" borderId="0" xfId="0" applyFont="1" applyBorder="1" applyAlignment="1" applyProtection="0">
      <x:alignment horizontal="general" vertical="top" wrapText="1" shrinkToFit="0"/>
      <x:protection locked="1" hidden="0"/>
    </x:xf>
    <x:xf numFmtId="164" fontId="8" fillId="9" borderId="0" xfId="0" applyNumberFormat="1" applyFont="1" applyFill="1" applyBorder="1" applyAlignment="1">
      <x:alignment horizontal="general" vertical="top" wrapText="1"/>
    </x:xf>
    <x:xf numFmtId="164" fontId="9" fillId="9" borderId="0" xfId="0" applyNumberFormat="1" applyFont="1" applyFill="1" applyBorder="1" applyAlignment="1">
      <x:alignment horizontal="general" vertical="top" wrapText="1"/>
    </x:xf>
    <x:xf numFmtId="164" fontId="10" fillId="3" borderId="0" xfId="0" applyNumberFormat="1" applyFont="1" applyFill="1" applyBorder="1" applyAlignment="1">
      <x:alignment horizontal="general" vertical="top" wrapText="1"/>
    </x:xf>
    <x:xf numFmtId="164" fontId="8" fillId="10" borderId="0" xfId="0" applyNumberFormat="1" applyFont="1" applyFill="1" applyBorder="1" applyAlignment="1">
      <x:alignment horizontal="general" vertical="top" wrapText="1"/>
    </x:xf>
    <x:xf numFmtId="164" fontId="9" fillId="10" borderId="0" xfId="0" applyNumberFormat="1" applyFont="1" applyFill="1" applyBorder="1" applyAlignment="1">
      <x:alignment horizontal="general" vertical="top" wrapText="1"/>
    </x:xf>
    <x:xf numFmtId="164" fontId="8" fillId="4" borderId="6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7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8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9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1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2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13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14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15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16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7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8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9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20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21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22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23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24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25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26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27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28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29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3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31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32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33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34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35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36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37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38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39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40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41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42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43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44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45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46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47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48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49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50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51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52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53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54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55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56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57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58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59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6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61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62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63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64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65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66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67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68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69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70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71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72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73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74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75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76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77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78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79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8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81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82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83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84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85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86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87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88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89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90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91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92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93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94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95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96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97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98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99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10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01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02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03" xfId="24" applyFont="1" applyBorder="1" applyAlignment="1" applyProtection="0">
      <x:alignment horizontal="general" vertical="top" wrapText="1" shrinkToFit="0"/>
      <x:protection locked="1" hidden="0"/>
    </x:xf>
  </x:cellXfs>
  <x:cellStyles count="13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[0]" xfId="21"/>
    <x:cellStyle name="Currency" xfId="22"/>
    <x:cellStyle name="Currency [0]" xfId="23"/>
    <x:cellStyle name="Normal" xfId="24"/>
    <x:cellStyle name="Normal 1" xfId="25"/>
    <x:cellStyle name="Percent" xfId="26"/>
  </x:cellStyles>
  <x:dxfs count="5">
    <x:dxf>
      <x:fill>
        <x:patternFill>
          <x:bgColor rgb="FF33465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243247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FEEE2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7C3CF"/>
      <x:rgbColor rgb="FF808080"/>
      <x:rgbColor rgb="FF9999FF"/>
      <x:rgbColor rgb="FF993366"/>
      <x:rgbColor rgb="FFFFF4D6"/>
      <x:rgbColor rgb="FFE8F3EC"/>
      <x:rgbColor rgb="FF660066"/>
      <x:rgbColor rgb="FFFF8080"/>
      <x:rgbColor rgb="FF0066CC"/>
      <x:rgbColor rgb="FFD9E3E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EFF8"/>
      <x:rgbColor rgb="FFDFEEE2"/>
      <x:rgbColor rgb="FFF0F2F5"/>
      <x:rgbColor rgb="FF99CCFF"/>
      <x:rgbColor rgb="FFFF99CC"/>
      <x:rgbColor rgb="FFCC99FF"/>
      <x:rgbColor rgb="FFE6ECF3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202B3C"/>
      <x:rgbColor rgb="FF339966"/>
      <x:rgbColor rgb="FF003300"/>
      <x:rgbColor rgb="FF333300"/>
      <x:rgbColor rgb="FF993300"/>
      <x:rgbColor rgb="FF993366"/>
      <x:rgbColor rgb="FF33465E"/>
      <x:rgbColor rgb="FF24324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54d70c898a429f" /><Relationship Type="http://schemas.openxmlformats.org/officeDocument/2006/relationships/theme" Target="/xl/theme/theme1.xml" Id="R24be70cfa08043ac" /><Relationship Type="http://schemas.openxmlformats.org/officeDocument/2006/relationships/sharedStrings" Target="/xl/sharedStrings.xml" Id="R4d81b4a7d13248a3" /><Relationship Type="http://schemas.openxmlformats.org/officeDocument/2006/relationships/worksheet" Target="/xl/worksheets/sheet1.xml" Id="R4ca80f28de9b48c3" /><Relationship Type="http://schemas.openxmlformats.org/officeDocument/2006/relationships/worksheet" Target="/xl/worksheets/sheet2.xml" Id="Ra6d092b3991541a7" /><Relationship Type="http://schemas.openxmlformats.org/officeDocument/2006/relationships/worksheet" Target="/xl/worksheets/sheet3.xml" Id="R9088dd6b4a724988" /></Relationships>
</file>

<file path=xl/tables/table1.xml><?xml version="1.0" encoding="utf-8"?>
<x:table xmlns:x="http://schemas.openxmlformats.org/spreadsheetml/2006/main" id="1" name="ExerciseArsenal" displayName="ExerciseArsenal" ref="A35:B90" headerRowCount="1" totalsRowCount="0" totalsRowShown="0">
  <x:tableColumns count="2">
    <x:tableColumn id="1" name="Group"/>
    <x:tableColumn id="2" name="Exercise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af5a92584f844ff" /></Relationships>
</file>

<file path=xl/worksheets/sheet1.xml><?xml version="1.0" encoding="utf-8"?>
<x:worksheet xmlns:x="http://schemas.openxmlformats.org/spreadsheetml/2006/main">
  <x:sheetPr>
    <x:tabColor rgb="FF33465E"/>
  </x:sheetPr>
  <x:sheetViews>
    <x:sheetView showGridLines="0" workbookViewId="0"/>
  </x:sheetViews>
  <x:sheetFormatPr defaultColWidth="8.6796875" defaultRowHeight="15"/>
  <x:cols>
    <x:col min="1" max="2" width="15" style="1" hidden="0" customWidth="1"/>
    <x:col min="3" max="3" width="28" style="1" hidden="0" customWidth="1"/>
    <x:col min="4" max="6" width="55" style="1" hidden="0" customWidth="1"/>
    <x:col min="7" max="7" width="16" style="1" hidden="0" customWidth="1"/>
    <x:col min="8" max="9" width="62" style="1" hidden="0" customWidth="1"/>
  </x:cols>
  <x:sheetData>
    <x:row r="1" ht="28" hidden="0" customHeight="1">
      <x:c r="A1" s="2" t="s">
        <x:v>0</x:v>
      </x:c>
      <x:c r="B1" s="2"/>
      <x:c r="C1" s="2"/>
      <x:c r="D1" s="2"/>
      <x:c r="E1" s="2"/>
      <x:c r="F1" s="3"/>
      <x:c r="G1" s="3"/>
      <x:c r="H1" s="4"/>
      <x:c r="I1" s="4"/>
    </x:row>
    <x:row r="2" ht="30" hidden="0" customHeight="1">
      <x:c r="A2" s="5" t="s">
        <x:v>1</x:v>
      </x:c>
      <x:c r="B2" s="5" t="s">
        <x:v>2</x:v>
      </x:c>
      <x:c r="C2" s="5" t="s">
        <x:v>3</x:v>
      </x:c>
      <x:c r="D2" s="5" t="s">
        <x:v>4</x:v>
      </x:c>
      <x:c r="E2" s="5" t="s">
        <x:v>5</x:v>
      </x:c>
      <x:c r="F2" s="3"/>
      <x:c r="G2" s="3"/>
      <x:c r="H2" s="4"/>
      <x:c r="I2" s="4"/>
    </x:row>
    <x:row r="3" ht="54" hidden="0" customHeight="1">
      <x:c r="A3" s="6" t="s">
        <x:v>6</x:v>
      </x:c>
      <x:c r="B3" s="6" t="s">
        <x:v>7</x:v>
      </x:c>
      <x:c r="C3" s="7" t="s">
        <x:v>8</x:v>
      </x:c>
      <x:c r="D3" s="7" t="s">
        <x:v>9</x:v>
      </x:c>
      <x:c r="E3" s="8" t="n">
        <x:v>46321.5</x:v>
      </x:c>
      <x:c r="F3" s="3"/>
      <x:c r="G3" s="3"/>
      <x:c r="H3" s="4"/>
      <x:c r="I3" s="4"/>
    </x:row>
    <x:row r="4" ht="18" hidden="0" customHeight="1">
      <x:c r="A4" s="3"/>
      <x:c r="B4" s="3"/>
      <x:c r="C4" s="3"/>
      <x:c r="D4" s="3"/>
      <x:c r="E4" s="3"/>
      <x:c r="F4" s="3"/>
      <x:c r="G4" s="3"/>
      <x:c r="H4" s="4"/>
      <x:c r="I4" s="4"/>
    </x:row>
    <x:row r="5" ht="28" hidden="0" customHeight="1">
      <x:c r="A5" s="2" t="s">
        <x:v>10</x:v>
      </x:c>
      <x:c r="B5" s="2"/>
      <x:c r="C5" s="2"/>
      <x:c r="D5" s="2"/>
      <x:c r="E5" s="2"/>
      <x:c r="F5" s="2"/>
      <x:c r="G5" s="32"/>
      <x:c r="H5" s="33"/>
      <x:c r="I5" s="4"/>
    </x:row>
    <x:row r="6" ht="36" hidden="0" customHeight="1">
      <x:c r="A6" s="5" t="s">
        <x:v>11</x:v>
      </x:c>
      <x:c r="B6" s="5" t="s">
        <x:v>12</x:v>
      </x:c>
      <x:c r="C6" s="5" t="s">
        <x:v>13</x:v>
      </x:c>
      <x:c r="D6" s="5" t="s">
        <x:v>14</x:v>
      </x:c>
      <x:c r="E6" s="5" t="s">
        <x:v>15</x:v>
      </x:c>
      <x:c r="F6" s="5" t="s">
        <x:v>16</x:v>
      </x:c>
      <x:c r="G6" s="31" t="str">
        <x:v>result_column</x:v>
      </x:c>
      <x:c r="H6" s="31" t="str">
        <x:v>garmin_types</x:v>
      </x:c>
      <x:c r="I6" s="4"/>
    </x:row>
    <x:row r="7" ht="76" hidden="0" customHeight="1">
      <x:c r="A7" s="6" t="s">
        <x:v>17</x:v>
      </x:c>
      <x:c r="B7" s="7" t="s">
        <x:v>18</x:v>
      </x:c>
      <x:c r="C7" s="7" t="s">
        <x:v>19</x:v>
      </x:c>
      <x:c r="D7" s="7" t="str">
        <x:v>7 pull-ups reported; confirm strict form. Muscle-up baseline not established.</x:v>
      </x:c>
      <x:c r="E7" s="7" t="s">
        <x:v>20</x:v>
      </x:c>
      <x:c r="F7" s="7" t="s">
        <x:v>21</x:v>
      </x:c>
      <x:c r="G7" s="29" t="str">
        <x:v>Muscle-up result</x:v>
      </x:c>
      <x:c r="H7" s="30"/>
      <x:c r="I7" s="4"/>
    </x:row>
    <x:row r="8" ht="76" hidden="0" customHeight="1">
      <x:c r="A8" s="6" t="s">
        <x:v>22</x:v>
      </x:c>
      <x:c r="B8" s="7" t="s">
        <x:v>23</x:v>
      </x:c>
      <x:c r="C8" s="7" t="s">
        <x:v>24</x:v>
      </x:c>
      <x:c r="D8" s="7" t="s">
        <x:v>25</x:v>
      </x:c>
      <x:c r="E8" s="7" t="s">
        <x:v>26</x:v>
      </x:c>
      <x:c r="F8" s="7" t="s">
        <x:v>21</x:v>
      </x:c>
      <x:c r="G8" s="29" t="str">
        <x:v>HSPU result</x:v>
      </x:c>
      <x:c r="H8" s="30"/>
      <x:c r="I8" s="4"/>
    </x:row>
    <x:row r="9" ht="76" hidden="0" customHeight="1">
      <x:c r="A9" s="6" t="s">
        <x:v>27</x:v>
      </x:c>
      <x:c r="B9" s="7" t="s">
        <x:v>28</x:v>
      </x:c>
      <x:c r="C9" s="7" t="s">
        <x:v>29</x:v>
      </x:c>
      <x:c r="D9" s="7" t="s">
        <x:v>25</x:v>
      </x:c>
      <x:c r="E9" s="7" t="s">
        <x:v>30</x:v>
      </x:c>
      <x:c r="F9" s="7" t="s">
        <x:v>21</x:v>
      </x:c>
      <x:c r="G9" s="29" t="str">
        <x:v>Pistol result</x:v>
      </x:c>
      <x:c r="H9" s="30"/>
      <x:c r="I9" s="4"/>
    </x:row>
    <x:row r="10" ht="76" hidden="0" customHeight="1">
      <x:c r="A10" s="6" t="s">
        <x:v>31</x:v>
      </x:c>
      <x:c r="B10" s="7" t="s">
        <x:v>32</x:v>
      </x:c>
      <x:c r="C10" s="7" t="s">
        <x:v>33</x:v>
      </x:c>
      <x:c r="D10" s="7" t="s">
        <x:v>34</x:v>
      </x:c>
      <x:c r="E10" s="7" t="s">
        <x:v>35</x:v>
      </x:c>
      <x:c r="F10" s="7" t="s">
        <x:v>36</x:v>
      </x:c>
      <x:c r="G10" s="29"/>
      <x:c r="H10" s="30" t="str">
        <x:v>running</x:v>
      </x:c>
      <x:c r="I10" s="4"/>
    </x:row>
    <x:row r="11" ht="84" hidden="0" customHeight="1">
      <x:c r="A11" s="26" t="str">
        <x:v>swimming</x:v>
      </x:c>
      <x:c r="B11" s="27" t="str">
        <x:v>Swimming</x:v>
      </x:c>
      <x:c r="C11" s="27" t="str">
        <x:v>Maintain regular swimming</x:v>
      </x:c>
      <x:c r="D11" s="27" t="str">
        <x:v>3 fixed 60 min guided swims/week; optional fourth (reported routine)</x:v>
      </x:c>
      <x:c r="E11" s="27" t="str">
        <x:v>Record duration and distance for comparable swims</x:v>
      </x:c>
      <x:c r="F11" s="27" t="str">
        <x:v>maintenance</x:v>
      </x:c>
      <x:c r="G11" s="29"/>
      <x:c r="H11" s="30" t="str">
        <x:v>swimming</x:v>
      </x:c>
      <x:c r="I11" s="4"/>
    </x:row>
    <x:row r="12" ht="28" hidden="0" customHeight="1">
      <x:c r="A12" s="2" t="s">
        <x:v>37</x:v>
      </x:c>
      <x:c r="B12" s="2"/>
      <x:c r="C12" s="2"/>
      <x:c r="D12" s="2"/>
      <x:c r="E12" s="2"/>
      <x:c r="F12" s="3"/>
      <x:c r="G12" s="3"/>
      <x:c r="H12" s="4"/>
      <x:c r="I12" s="4"/>
    </x:row>
    <x:row r="13" ht="30" hidden="0" customHeight="1">
      <x:c r="A13" s="5" t="s">
        <x:v>38</x:v>
      </x:c>
      <x:c r="B13" s="5" t="s">
        <x:v>39</x:v>
      </x:c>
      <x:c r="C13" s="5" t="s">
        <x:v>12</x:v>
      </x:c>
      <x:c r="D13" s="5" t="s">
        <x:v>40</x:v>
      </x:c>
      <x:c r="E13" s="5" t="s">
        <x:v>41</x:v>
      </x:c>
      <x:c r="F13" s="3"/>
      <x:c r="G13" s="3"/>
      <x:c r="H13" s="4"/>
      <x:c r="I13" s="4"/>
    </x:row>
    <x:row r="14" ht="110" hidden="0" customHeight="1">
      <x:c r="A14" s="6" t="s">
        <x:v>42</x:v>
      </x:c>
      <x:c r="B14" s="6" t="s">
        <x:v>6</x:v>
      </x:c>
      <x:c r="C14" s="7" t="s">
        <x:v>43</x:v>
      </x:c>
      <x:c r="D14" s="7" t="s">
        <x:v>44</x:v>
      </x:c>
      <x:c r="E14" s="7" t="s">
        <x:v>45</x:v>
      </x:c>
      <x:c r="F14" s="3"/>
      <x:c r="G14" s="3"/>
      <x:c r="H14" s="4"/>
      <x:c r="I14" s="4"/>
    </x:row>
    <x:row r="15" ht="110" hidden="0" customHeight="1">
      <x:c r="A15" s="6" t="s">
        <x:v>46</x:v>
      </x:c>
      <x:c r="B15" s="6" t="s">
        <x:v>6</x:v>
      </x:c>
      <x:c r="C15" s="7" t="s">
        <x:v>47</x:v>
      </x:c>
      <x:c r="D15" s="7" t="s">
        <x:v>48</x:v>
      </x:c>
      <x:c r="E15" s="7" t="s">
        <x:v>49</x:v>
      </x:c>
      <x:c r="F15" s="3"/>
      <x:c r="G15" s="3"/>
      <x:c r="H15" s="4"/>
      <x:c r="I15" s="4"/>
    </x:row>
    <x:row r="16" ht="110" hidden="0" customHeight="1">
      <x:c r="A16" s="6" t="s">
        <x:v>50</x:v>
      </x:c>
      <x:c r="B16" s="6" t="s">
        <x:v>6</x:v>
      </x:c>
      <x:c r="C16" s="7" t="s">
        <x:v>51</x:v>
      </x:c>
      <x:c r="D16" s="7" t="s">
        <x:v>52</x:v>
      </x:c>
      <x:c r="E16" s="7" t="s">
        <x:v>22</x:v>
      </x:c>
      <x:c r="F16" s="3"/>
      <x:c r="G16" s="3"/>
      <x:c r="H16" s="4"/>
      <x:c r="I16" s="4"/>
    </x:row>
    <x:row r="17" ht="110" hidden="0" customHeight="1">
      <x:c r="A17" s="6" t="s">
        <x:v>53</x:v>
      </x:c>
      <x:c r="B17" s="6" t="s">
        <x:v>6</x:v>
      </x:c>
      <x:c r="C17" s="7" t="s">
        <x:v>54</x:v>
      </x:c>
      <x:c r="D17" s="7" t="s">
        <x:v>55</x:v>
      </x:c>
      <x:c r="E17" s="7" t="s">
        <x:v>56</x:v>
      </x:c>
      <x:c r="F17" s="3"/>
      <x:c r="G17" s="3"/>
      <x:c r="H17" s="4"/>
      <x:c r="I17" s="4"/>
    </x:row>
    <x:row r="18" ht="18" hidden="0" customHeight="1">
      <x:c r="A18" s="4"/>
      <x:c r="B18" s="4"/>
      <x:c r="C18" s="4"/>
      <x:c r="D18" s="4"/>
      <x:c r="E18" s="4"/>
      <x:c r="F18" s="4"/>
      <x:c r="G18" s="4"/>
      <x:c r="H18" s="4"/>
      <x:c r="I18" s="4"/>
    </x:row>
    <x:row r="19" ht="28" hidden="0" customHeight="1">
      <x:c r="A19" s="2" t="s">
        <x:v>57</x:v>
      </x:c>
      <x:c r="B19" s="2"/>
      <x:c r="C19" s="2"/>
      <x:c r="D19" s="2"/>
      <x:c r="E19" s="2"/>
      <x:c r="F19" s="2"/>
      <x:c r="G19" s="2"/>
      <x:c r="H19" s="9"/>
      <x:c r="I19" s="9"/>
    </x:row>
    <x:row r="20" ht="30" hidden="0" customHeight="1">
      <x:c r="A20" s="5" t="s">
        <x:v>58</x:v>
      </x:c>
      <x:c r="B20" s="5" t="s">
        <x:v>59</x:v>
      </x:c>
      <x:c r="C20" s="5" t="s">
        <x:v>60</x:v>
      </x:c>
      <x:c r="D20" s="5" t="s">
        <x:v>61</x:v>
      </x:c>
      <x:c r="E20" s="5" t="s">
        <x:v>62</x:v>
      </x:c>
      <x:c r="F20" s="5" t="s">
        <x:v>63</x:v>
      </x:c>
      <x:c r="G20" s="5" t="s">
        <x:v>64</x:v>
      </x:c>
      <x:c r="H20" s="5" t="s">
        <x:v>42</x:v>
      </x:c>
      <x:c r="I20" s="5" t="s">
        <x:v>46</x:v>
      </x:c>
    </x:row>
    <x:row r="21" ht="95" hidden="0" customHeight="1">
      <x:c r="A21" s="6" t="n">
        <x:v>1</x:v>
      </x:c>
      <x:c r="B21" s="10" t="n">
        <x:f aca="0">$E$3+7*(A21-1)</x:f>
        <x:v>46321.5</x:v>
      </x:c>
      <x:c r="C21" s="7" t="s">
        <x:v>65</x:v>
      </x:c>
      <x:c r="D21" s="7" t="s">
        <x:v>66</x:v>
      </x:c>
      <x:c r="E21" s="7" t="s">
        <x:v>67</x:v>
      </x:c>
      <x:c r="F21" s="7" t="s">
        <x:v>68</x:v>
      </x:c>
      <x:c r="G21" s="7" t="n">
        <x:v>160</x:v>
      </x:c>
      <x:c r="H21" s="7" t="s">
        <x:v>69</x:v>
      </x:c>
      <x:c r="I21" s="7" t="s">
        <x:v>70</x:v>
      </x:c>
    </x:row>
    <x:row r="22" ht="95" hidden="0" customHeight="1">
      <x:c r="A22" s="6" t="n">
        <x:v>2</x:v>
      </x:c>
      <x:c r="B22" s="10" t="n">
        <x:f aca="0">$E$3+7*(A22-1)</x:f>
        <x:v>46328.5</x:v>
      </x:c>
      <x:c r="C22" s="7" t="s">
        <x:v>65</x:v>
      </x:c>
      <x:c r="D22" s="7" t="s">
        <x:v>66</x:v>
      </x:c>
      <x:c r="E22" s="7" t="s">
        <x:v>71</x:v>
      </x:c>
      <x:c r="F22" s="7" t="s">
        <x:v>68</x:v>
      </x:c>
      <x:c r="G22" s="7" t="n">
        <x:v>160</x:v>
      </x:c>
      <x:c r="H22" s="7" t="s">
        <x:v>72</x:v>
      </x:c>
      <x:c r="I22" s="7" t="s">
        <x:v>73</x:v>
      </x:c>
    </x:row>
    <x:row r="23" ht="95" hidden="0" customHeight="1">
      <x:c r="A23" s="6" t="n">
        <x:v>3</x:v>
      </x:c>
      <x:c r="B23" s="10" t="n">
        <x:f aca="0">$E$3+7*(A23-1)</x:f>
        <x:v>46335.5</x:v>
      </x:c>
      <x:c r="C23" s="7" t="s">
        <x:v>65</x:v>
      </x:c>
      <x:c r="D23" s="7" t="s">
        <x:v>66</x:v>
      </x:c>
      <x:c r="E23" s="7" t="s">
        <x:v>74</x:v>
      </x:c>
      <x:c r="F23" s="7" t="s">
        <x:v>68</x:v>
      </x:c>
      <x:c r="G23" s="7" t="n">
        <x:v>160</x:v>
      </x:c>
      <x:c r="H23" s="7" t="s">
        <x:v>75</x:v>
      </x:c>
      <x:c r="I23" s="7" t="s">
        <x:v>76</x:v>
      </x:c>
    </x:row>
    <x:row r="24" ht="95" hidden="0" customHeight="1">
      <x:c r="A24" s="6" t="n">
        <x:v>4</x:v>
      </x:c>
      <x:c r="B24" s="10" t="n">
        <x:f aca="0">$E$3+7*(A24-1)</x:f>
        <x:v>46342.5</x:v>
      </x:c>
      <x:c r="C24" s="7" t="s">
        <x:v>77</x:v>
      </x:c>
      <x:c r="D24" s="7" t="s">
        <x:v>78</x:v>
      </x:c>
      <x:c r="E24" s="7" t="s">
        <x:v>79</x:v>
      </x:c>
      <x:c r="F24" s="7" t="s">
        <x:v>68</x:v>
      </x:c>
      <x:c r="G24" s="7" t="n">
        <x:v>81</x:v>
      </x:c>
      <x:c r="H24" s="7" t="s">
        <x:v>80</x:v>
      </x:c>
      <x:c r="I24" s="7" t="s">
        <x:v>81</x:v>
      </x:c>
    </x:row>
    <x:row r="25" ht="95" hidden="0" customHeight="1">
      <x:c r="A25" s="6" t="n">
        <x:v>5</x:v>
      </x:c>
      <x:c r="B25" s="10" t="n">
        <x:f aca="0">$E$3+7*(A25-1)</x:f>
        <x:v>46349.5</x:v>
      </x:c>
      <x:c r="C25" s="7" t="s">
        <x:v>82</x:v>
      </x:c>
      <x:c r="D25" s="7" t="s">
        <x:v>66</x:v>
      </x:c>
      <x:c r="E25" s="7" t="s">
        <x:v>83</x:v>
      </x:c>
      <x:c r="F25" s="7" t="s">
        <x:v>68</x:v>
      </x:c>
      <x:c r="G25" s="7" t="n">
        <x:v>160</x:v>
      </x:c>
      <x:c r="H25" s="7" t="s">
        <x:v>84</x:v>
      </x:c>
      <x:c r="I25" s="7" t="s">
        <x:v>85</x:v>
      </x:c>
    </x:row>
    <x:row r="26" ht="95" hidden="0" customHeight="1">
      <x:c r="A26" s="6" t="n">
        <x:v>6</x:v>
      </x:c>
      <x:c r="B26" s="10" t="n">
        <x:f aca="0">$E$3+7*(A26-1)</x:f>
        <x:v>46356.5</x:v>
      </x:c>
      <x:c r="C26" s="7" t="s">
        <x:v>82</x:v>
      </x:c>
      <x:c r="D26" s="7" t="s">
        <x:v>66</x:v>
      </x:c>
      <x:c r="E26" s="7" t="s">
        <x:v>86</x:v>
      </x:c>
      <x:c r="F26" s="7" t="s">
        <x:v>68</x:v>
      </x:c>
      <x:c r="G26" s="7" t="n">
        <x:v>160</x:v>
      </x:c>
      <x:c r="H26" s="7" t="s">
        <x:v>87</x:v>
      </x:c>
      <x:c r="I26" s="7" t="s">
        <x:v>88</x:v>
      </x:c>
    </x:row>
    <x:row r="27" ht="95" hidden="0" customHeight="1">
      <x:c r="A27" s="6" t="n">
        <x:v>7</x:v>
      </x:c>
      <x:c r="B27" s="10" t="n">
        <x:f aca="0">$E$3+7*(A27-1)</x:f>
        <x:v>46363.5</x:v>
      </x:c>
      <x:c r="C27" s="7" t="s">
        <x:v>82</x:v>
      </x:c>
      <x:c r="D27" s="7" t="s">
        <x:v>66</x:v>
      </x:c>
      <x:c r="E27" s="7" t="s">
        <x:v>89</x:v>
      </x:c>
      <x:c r="F27" s="7" t="s">
        <x:v>68</x:v>
      </x:c>
      <x:c r="G27" s="7" t="n">
        <x:v>160</x:v>
      </x:c>
      <x:c r="H27" s="7" t="s">
        <x:v>90</x:v>
      </x:c>
      <x:c r="I27" s="7" t="s">
        <x:v>91</x:v>
      </x:c>
    </x:row>
    <x:row r="28" ht="95" hidden="0" customHeight="1">
      <x:c r="A28" s="6" t="n">
        <x:v>8</x:v>
      </x:c>
      <x:c r="B28" s="10" t="n">
        <x:f aca="0">$E$3+7*(A28-1)</x:f>
        <x:v>46370.5</x:v>
      </x:c>
      <x:c r="C28" s="7" t="s">
        <x:v>77</x:v>
      </x:c>
      <x:c r="D28" s="7" t="s">
        <x:v>78</x:v>
      </x:c>
      <x:c r="E28" s="7" t="s">
        <x:v>92</x:v>
      </x:c>
      <x:c r="F28" s="7" t="s">
        <x:v>68</x:v>
      </x:c>
      <x:c r="G28" s="7" t="n">
        <x:v>81</x:v>
      </x:c>
      <x:c r="H28" s="7" t="s">
        <x:v>93</x:v>
      </x:c>
      <x:c r="I28" s="7" t="s">
        <x:v>94</x:v>
      </x:c>
    </x:row>
    <x:row r="29" ht="95" hidden="0" customHeight="1">
      <x:c r="A29" s="6" t="n">
        <x:v>9</x:v>
      </x:c>
      <x:c r="B29" s="10" t="n">
        <x:f aca="0">$E$3+7*(A29-1)</x:f>
        <x:v>46377.5</x:v>
      </x:c>
      <x:c r="C29" s="7" t="s">
        <x:v>95</x:v>
      </x:c>
      <x:c r="D29" s="7" t="s">
        <x:v>66</x:v>
      </x:c>
      <x:c r="E29" s="7" t="s">
        <x:v>96</x:v>
      </x:c>
      <x:c r="F29" s="7" t="s">
        <x:v>68</x:v>
      </x:c>
      <x:c r="G29" s="7" t="n">
        <x:v>160</x:v>
      </x:c>
      <x:c r="H29" s="7" t="s">
        <x:v>97</x:v>
      </x:c>
      <x:c r="I29" s="7" t="s">
        <x:v>98</x:v>
      </x:c>
    </x:row>
    <x:row r="30" ht="95" hidden="0" customHeight="1">
      <x:c r="A30" s="6" t="n">
        <x:v>10</x:v>
      </x:c>
      <x:c r="B30" s="10" t="n">
        <x:f aca="0">$E$3+7*(A30-1)</x:f>
        <x:v>46384.5</x:v>
      </x:c>
      <x:c r="C30" s="7" t="s">
        <x:v>95</x:v>
      </x:c>
      <x:c r="D30" s="7" t="s">
        <x:v>66</x:v>
      </x:c>
      <x:c r="E30" s="7" t="s">
        <x:v>99</x:v>
      </x:c>
      <x:c r="F30" s="7" t="s">
        <x:v>68</x:v>
      </x:c>
      <x:c r="G30" s="7" t="n">
        <x:v>160</x:v>
      </x:c>
      <x:c r="H30" s="7" t="s">
        <x:v>100</x:v>
      </x:c>
      <x:c r="I30" s="7" t="s">
        <x:v>101</x:v>
      </x:c>
    </x:row>
    <x:row r="31" ht="95" hidden="0" customHeight="1">
      <x:c r="A31" s="6" t="n">
        <x:v>11</x:v>
      </x:c>
      <x:c r="B31" s="10" t="n">
        <x:f aca="0">$E$3+7*(A31-1)</x:f>
        <x:v>46391.5</x:v>
      </x:c>
      <x:c r="C31" s="7" t="s">
        <x:v>95</x:v>
      </x:c>
      <x:c r="D31" s="7" t="s">
        <x:v>66</x:v>
      </x:c>
      <x:c r="E31" s="7" t="s">
        <x:v>102</x:v>
      </x:c>
      <x:c r="F31" s="7" t="s">
        <x:v>68</x:v>
      </x:c>
      <x:c r="G31" s="7" t="n">
        <x:v>160</x:v>
      </x:c>
      <x:c r="H31" s="7" t="s">
        <x:v>103</x:v>
      </x:c>
      <x:c r="I31" s="7" t="s">
        <x:v>104</x:v>
      </x:c>
    </x:row>
    <x:row r="32" ht="95" hidden="0" customHeight="1">
      <x:c r="A32" s="6" t="n">
        <x:v>12</x:v>
      </x:c>
      <x:c r="B32" s="10" t="n">
        <x:f aca="0">$E$3+7*(A32-1)</x:f>
        <x:v>46398.5</x:v>
      </x:c>
      <x:c r="C32" s="7" t="s">
        <x:v>105</x:v>
      </x:c>
      <x:c r="D32" s="7" t="s">
        <x:v>106</x:v>
      </x:c>
      <x:c r="E32" s="7" t="s">
        <x:v>107</x:v>
      </x:c>
      <x:c r="F32" s="7" t="s">
        <x:v>68</x:v>
      </x:c>
      <x:c r="G32" s="7" t="n">
        <x:v>75</x:v>
      </x:c>
      <x:c r="H32" s="7" t="s">
        <x:v>108</x:v>
      </x:c>
      <x:c r="I32" s="7" t="s">
        <x:v>109</x:v>
      </x:c>
    </x:row>
    <x:row r="33" ht="18" hidden="0" customHeight="1">
      <x:c r="A33" s="4"/>
      <x:c r="B33" s="4"/>
      <x:c r="C33" s="4"/>
      <x:c r="D33" s="4"/>
      <x:c r="E33" s="4"/>
      <x:c r="F33" s="4"/>
      <x:c r="G33" s="4"/>
      <x:c r="H33" s="4"/>
      <x:c r="I33" s="4"/>
    </x:row>
    <x:row r="34" ht="28" hidden="0" customHeight="1">
      <x:c r="A34" s="2" t="s">
        <x:v>110</x:v>
      </x:c>
      <x:c r="B34" s="2"/>
      <x:c r="C34" s="11"/>
      <x:c r="D34" s="11"/>
      <x:c r="E34" s="11"/>
      <x:c r="F34" s="11"/>
      <x:c r="G34" s="11"/>
      <x:c r="H34" s="4"/>
      <x:c r="I34" s="4"/>
    </x:row>
    <x:row r="35" ht="30" hidden="0" customHeight="1">
      <x:c r="A35" s="5" t="s">
        <x:v>111</x:v>
      </x:c>
      <x:c r="B35" s="5" t="s">
        <x:v>112</x:v>
      </x:c>
      <x:c r="C35" s="4"/>
      <x:c r="D35" s="4"/>
      <x:c r="E35" s="4"/>
      <x:c r="F35" s="4"/>
      <x:c r="G35" s="4"/>
      <x:c r="H35" s="4"/>
      <x:c r="I35" s="4"/>
    </x:row>
    <x:row r="36" ht="30" hidden="0" customHeight="1">
      <x:c r="A36" s="12" t="s">
        <x:v>18</x:v>
      </x:c>
      <x:c r="B36" s="13" t="s">
        <x:v>113</x:v>
      </x:c>
      <x:c r="C36" s="4"/>
      <x:c r="D36" s="4"/>
      <x:c r="E36" s="4"/>
      <x:c r="F36" s="4"/>
      <x:c r="G36" s="4"/>
      <x:c r="H36" s="4"/>
      <x:c r="I36" s="4"/>
    </x:row>
    <x:row r="37" ht="30" hidden="0" customHeight="1">
      <x:c r="A37" s="12" t="s">
        <x:v>18</x:v>
      </x:c>
      <x:c r="B37" s="14" t="s">
        <x:v>114</x:v>
      </x:c>
      <x:c r="C37" s="4"/>
      <x:c r="D37" s="4"/>
      <x:c r="E37" s="4"/>
      <x:c r="F37" s="3"/>
      <x:c r="G37" s="3"/>
      <x:c r="H37" s="4"/>
      <x:c r="I37" s="4"/>
    </x:row>
    <x:row r="38" ht="30" hidden="0" customHeight="1">
      <x:c r="A38" s="12" t="s">
        <x:v>18</x:v>
      </x:c>
      <x:c r="B38" s="14" t="s">
        <x:v>115</x:v>
      </x:c>
      <x:c r="C38" s="4"/>
      <x:c r="D38" s="4"/>
      <x:c r="E38" s="4"/>
      <x:c r="F38" s="3"/>
      <x:c r="G38" s="3"/>
      <x:c r="H38" s="4"/>
      <x:c r="I38" s="4"/>
    </x:row>
    <x:row r="39" ht="30" hidden="0" customHeight="1">
      <x:c r="A39" s="12" t="s">
        <x:v>18</x:v>
      </x:c>
      <x:c r="B39" s="14" t="s">
        <x:v>116</x:v>
      </x:c>
      <x:c r="C39" s="4"/>
      <x:c r="D39" s="4"/>
      <x:c r="E39" s="4"/>
      <x:c r="F39" s="3"/>
      <x:c r="G39" s="3"/>
      <x:c r="H39" s="4"/>
      <x:c r="I39" s="4"/>
    </x:row>
    <x:row r="40" ht="30" hidden="0" customHeight="1">
      <x:c r="A40" s="12" t="s">
        <x:v>18</x:v>
      </x:c>
      <x:c r="B40" s="14" t="s">
        <x:v>117</x:v>
      </x:c>
      <x:c r="C40" s="4"/>
      <x:c r="D40" s="4"/>
      <x:c r="E40" s="4"/>
      <x:c r="F40" s="3"/>
      <x:c r="G40" s="3"/>
      <x:c r="H40" s="4"/>
      <x:c r="I40" s="4"/>
    </x:row>
    <x:row r="41" ht="30" hidden="0" customHeight="1">
      <x:c r="A41" s="12" t="s">
        <x:v>18</x:v>
      </x:c>
      <x:c r="B41" s="14" t="s">
        <x:v>118</x:v>
      </x:c>
      <x:c r="C41" s="4"/>
      <x:c r="D41" s="4"/>
      <x:c r="E41" s="4"/>
      <x:c r="F41" s="3"/>
      <x:c r="G41" s="3"/>
      <x:c r="H41" s="4"/>
      <x:c r="I41" s="4"/>
    </x:row>
    <x:row r="42" ht="30" hidden="0" customHeight="1">
      <x:c r="A42" s="12" t="s">
        <x:v>18</x:v>
      </x:c>
      <x:c r="B42" s="14" t="s">
        <x:v>119</x:v>
      </x:c>
      <x:c r="C42" s="4"/>
      <x:c r="D42" s="4"/>
      <x:c r="E42" s="4"/>
      <x:c r="F42" s="3"/>
      <x:c r="G42" s="3"/>
      <x:c r="H42" s="4"/>
      <x:c r="I42" s="4"/>
    </x:row>
    <x:row r="43" ht="30" hidden="0" customHeight="1">
      <x:c r="A43" s="12" t="s">
        <x:v>18</x:v>
      </x:c>
      <x:c r="B43" s="14" t="s">
        <x:v>120</x:v>
      </x:c>
      <x:c r="C43" s="4"/>
      <x:c r="D43" s="4"/>
      <x:c r="E43" s="4"/>
      <x:c r="F43" s="3"/>
      <x:c r="G43" s="3"/>
      <x:c r="H43" s="4"/>
      <x:c r="I43" s="4"/>
    </x:row>
    <x:row r="44" ht="30" hidden="0" customHeight="1">
      <x:c r="A44" s="12" t="s">
        <x:v>18</x:v>
      </x:c>
      <x:c r="B44" s="14" t="s">
        <x:v>121</x:v>
      </x:c>
      <x:c r="C44" s="4"/>
      <x:c r="D44" s="4"/>
      <x:c r="E44" s="4"/>
      <x:c r="F44" s="3"/>
      <x:c r="G44" s="3"/>
      <x:c r="H44" s="4"/>
      <x:c r="I44" s="4"/>
    </x:row>
    <x:row r="45" ht="30" hidden="0" customHeight="1">
      <x:c r="A45" s="12" t="s">
        <x:v>18</x:v>
      </x:c>
      <x:c r="B45" s="14" t="s">
        <x:v>122</x:v>
      </x:c>
      <x:c r="C45" s="4"/>
      <x:c r="D45" s="4"/>
      <x:c r="E45" s="4"/>
      <x:c r="F45" s="3"/>
      <x:c r="G45" s="3"/>
      <x:c r="H45" s="4"/>
      <x:c r="I45" s="4"/>
    </x:row>
    <x:row r="46" ht="30" hidden="0" customHeight="1">
      <x:c r="A46" s="12" t="s">
        <x:v>18</x:v>
      </x:c>
      <x:c r="B46" s="14" t="s">
        <x:v>123</x:v>
      </x:c>
      <x:c r="C46" s="4"/>
      <x:c r="D46" s="4"/>
      <x:c r="E46" s="4"/>
      <x:c r="F46" s="3"/>
      <x:c r="G46" s="3"/>
      <x:c r="H46" s="4"/>
      <x:c r="I46" s="4"/>
    </x:row>
    <x:row r="47" ht="30" hidden="0" customHeight="1">
      <x:c r="A47" s="12" t="s">
        <x:v>18</x:v>
      </x:c>
      <x:c r="B47" s="14" t="s">
        <x:v>124</x:v>
      </x:c>
      <x:c r="C47" s="4"/>
      <x:c r="D47" s="4"/>
      <x:c r="E47" s="4"/>
      <x:c r="F47" s="4"/>
      <x:c r="G47" s="4"/>
      <x:c r="H47" s="4"/>
      <x:c r="I47" s="4"/>
    </x:row>
    <x:row r="48" ht="30" hidden="0" customHeight="1">
      <x:c r="A48" s="12" t="s">
        <x:v>18</x:v>
      </x:c>
      <x:c r="B48" s="14" t="s">
        <x:v>125</x:v>
      </x:c>
      <x:c r="C48" s="4"/>
      <x:c r="D48" s="4"/>
      <x:c r="E48" s="4"/>
      <x:c r="F48" s="4"/>
      <x:c r="G48" s="4"/>
      <x:c r="H48" s="4"/>
      <x:c r="I48" s="4"/>
    </x:row>
    <x:row r="49" ht="30" hidden="0" customHeight="1">
      <x:c r="A49" s="12" t="s">
        <x:v>18</x:v>
      </x:c>
      <x:c r="B49" s="14" t="s">
        <x:v>126</x:v>
      </x:c>
      <x:c r="C49" s="4"/>
      <x:c r="D49" s="4"/>
      <x:c r="E49" s="4"/>
      <x:c r="F49" s="4"/>
      <x:c r="G49" s="4"/>
      <x:c r="H49" s="4"/>
      <x:c r="I49" s="4"/>
    </x:row>
    <x:row r="50" ht="30" hidden="0" customHeight="1">
      <x:c r="A50" s="12" t="s">
        <x:v>18</x:v>
      </x:c>
      <x:c r="B50" s="14" t="s">
        <x:v>127</x:v>
      </x:c>
      <x:c r="C50" s="4"/>
      <x:c r="D50" s="4"/>
      <x:c r="E50" s="4"/>
      <x:c r="F50" s="4"/>
      <x:c r="G50" s="4"/>
      <x:c r="H50" s="4"/>
      <x:c r="I50" s="4"/>
    </x:row>
    <x:row r="51" ht="30" hidden="0" customHeight="1">
      <x:c r="A51" s="12" t="s">
        <x:v>18</x:v>
      </x:c>
      <x:c r="B51" s="14" t="s">
        <x:v>128</x:v>
      </x:c>
      <x:c r="C51" s="4"/>
      <x:c r="D51" s="4"/>
      <x:c r="E51" s="4"/>
      <x:c r="F51" s="4"/>
      <x:c r="G51" s="4"/>
      <x:c r="H51" s="4"/>
      <x:c r="I51" s="4"/>
    </x:row>
    <x:row r="52" ht="30" hidden="0" customHeight="1">
      <x:c r="A52" s="12" t="s">
        <x:v>18</x:v>
      </x:c>
      <x:c r="B52" s="14" t="s">
        <x:v>129</x:v>
      </x:c>
      <x:c r="C52" s="4"/>
      <x:c r="D52" s="4"/>
      <x:c r="E52" s="4"/>
      <x:c r="F52" s="4"/>
      <x:c r="G52" s="4"/>
      <x:c r="H52" s="4"/>
      <x:c r="I52" s="4"/>
    </x:row>
    <x:row r="53" ht="30" hidden="0" customHeight="1">
      <x:c r="A53" s="12" t="s">
        <x:v>18</x:v>
      </x:c>
      <x:c r="B53" s="14" t="s">
        <x:v>130</x:v>
      </x:c>
      <x:c r="C53" s="4"/>
      <x:c r="D53" s="4"/>
      <x:c r="E53" s="4"/>
      <x:c r="F53" s="4"/>
      <x:c r="G53" s="4"/>
      <x:c r="H53" s="4"/>
      <x:c r="I53" s="4"/>
    </x:row>
    <x:row r="54" ht="30" hidden="0" customHeight="1">
      <x:c r="A54" s="12" t="s">
        <x:v>18</x:v>
      </x:c>
      <x:c r="B54" s="14" t="s">
        <x:v>131</x:v>
      </x:c>
      <x:c r="C54" s="4"/>
      <x:c r="D54" s="4"/>
      <x:c r="E54" s="4"/>
      <x:c r="F54" s="4"/>
      <x:c r="G54" s="4"/>
      <x:c r="H54" s="4"/>
      <x:c r="I54" s="4"/>
    </x:row>
    <x:row r="55" ht="30" hidden="0" customHeight="1">
      <x:c r="A55" s="12" t="s">
        <x:v>18</x:v>
      </x:c>
      <x:c r="B55" s="15" t="s">
        <x:v>132</x:v>
      </x:c>
      <x:c r="C55" s="4"/>
      <x:c r="D55" s="4"/>
      <x:c r="E55" s="4"/>
      <x:c r="F55" s="4"/>
      <x:c r="G55" s="4"/>
      <x:c r="H55" s="4"/>
      <x:c r="I55" s="4"/>
    </x:row>
    <x:row r="56" ht="30" hidden="0" customHeight="1">
      <x:c r="A56" s="12" t="s">
        <x:v>133</x:v>
      </x:c>
      <x:c r="B56" s="13" t="s">
        <x:v>134</x:v>
      </x:c>
      <x:c r="C56" s="4"/>
      <x:c r="D56" s="4"/>
      <x:c r="E56" s="4"/>
      <x:c r="F56" s="4"/>
      <x:c r="G56" s="4"/>
      <x:c r="H56" s="4"/>
      <x:c r="I56" s="4"/>
    </x:row>
    <x:row r="57" ht="30" hidden="0" customHeight="1">
      <x:c r="A57" s="12" t="s">
        <x:v>133</x:v>
      </x:c>
      <x:c r="B57" s="14" t="s">
        <x:v>135</x:v>
      </x:c>
      <x:c r="C57" s="4"/>
      <x:c r="D57" s="4"/>
      <x:c r="E57" s="4"/>
      <x:c r="F57" s="4"/>
      <x:c r="G57" s="4"/>
      <x:c r="H57" s="4"/>
      <x:c r="I57" s="4"/>
    </x:row>
    <x:row r="58" ht="30" hidden="0" customHeight="1">
      <x:c r="A58" s="12" t="s">
        <x:v>133</x:v>
      </x:c>
      <x:c r="B58" s="14" t="s">
        <x:v>136</x:v>
      </x:c>
      <x:c r="C58" s="4"/>
      <x:c r="D58" s="4"/>
      <x:c r="E58" s="4"/>
      <x:c r="F58" s="4"/>
      <x:c r="G58" s="4"/>
      <x:c r="H58" s="4"/>
      <x:c r="I58" s="4"/>
    </x:row>
    <x:row r="59" ht="30" hidden="0" customHeight="1">
      <x:c r="A59" s="12" t="s">
        <x:v>133</x:v>
      </x:c>
      <x:c r="B59" s="14" t="s">
        <x:v>137</x:v>
      </x:c>
      <x:c r="C59" s="4"/>
      <x:c r="D59" s="4"/>
      <x:c r="E59" s="4"/>
      <x:c r="F59" s="4"/>
      <x:c r="G59" s="4"/>
      <x:c r="H59" s="4"/>
      <x:c r="I59" s="4"/>
    </x:row>
    <x:row r="60" ht="30" hidden="0" customHeight="1">
      <x:c r="A60" s="12" t="s">
        <x:v>133</x:v>
      </x:c>
      <x:c r="B60" s="14" t="s">
        <x:v>138</x:v>
      </x:c>
      <x:c r="C60" s="4"/>
      <x:c r="D60" s="4"/>
      <x:c r="E60" s="4"/>
      <x:c r="F60" s="4"/>
      <x:c r="G60" s="4"/>
      <x:c r="H60" s="4"/>
      <x:c r="I60" s="4"/>
    </x:row>
    <x:row r="61" ht="30" hidden="0" customHeight="1">
      <x:c r="A61" s="12" t="s">
        <x:v>133</x:v>
      </x:c>
      <x:c r="B61" s="14" t="s">
        <x:v>139</x:v>
      </x:c>
      <x:c r="C61" s="4"/>
      <x:c r="D61" s="4"/>
      <x:c r="E61" s="4"/>
      <x:c r="F61" s="4"/>
      <x:c r="G61" s="4"/>
      <x:c r="H61" s="4"/>
      <x:c r="I61" s="4"/>
    </x:row>
    <x:row r="62" ht="30" hidden="0" customHeight="1">
      <x:c r="A62" s="12" t="s">
        <x:v>133</x:v>
      </x:c>
      <x:c r="B62" s="14" t="s">
        <x:v>140</x:v>
      </x:c>
      <x:c r="C62" s="4"/>
      <x:c r="D62" s="4"/>
      <x:c r="E62" s="4"/>
      <x:c r="F62" s="4"/>
      <x:c r="G62" s="4"/>
      <x:c r="H62" s="4"/>
      <x:c r="I62" s="4"/>
    </x:row>
    <x:row r="63" ht="30" hidden="0" customHeight="1">
      <x:c r="A63" s="12" t="s">
        <x:v>133</x:v>
      </x:c>
      <x:c r="B63" s="14" t="s">
        <x:v>141</x:v>
      </x:c>
      <x:c r="C63" s="4"/>
      <x:c r="D63" s="4"/>
      <x:c r="E63" s="4"/>
      <x:c r="F63" s="4"/>
      <x:c r="G63" s="4"/>
      <x:c r="H63" s="4"/>
      <x:c r="I63" s="4"/>
    </x:row>
    <x:row r="64" ht="30" hidden="0" customHeight="1">
      <x:c r="A64" s="12" t="s">
        <x:v>133</x:v>
      </x:c>
      <x:c r="B64" s="14" t="s">
        <x:v>142</x:v>
      </x:c>
      <x:c r="C64" s="4"/>
      <x:c r="D64" s="4"/>
      <x:c r="E64" s="4"/>
      <x:c r="F64" s="4"/>
      <x:c r="G64" s="4"/>
      <x:c r="H64" s="4"/>
      <x:c r="I64" s="4"/>
    </x:row>
    <x:row r="65" ht="30" hidden="0" customHeight="1">
      <x:c r="A65" s="12" t="s">
        <x:v>133</x:v>
      </x:c>
      <x:c r="B65" s="14" t="s">
        <x:v>143</x:v>
      </x:c>
      <x:c r="C65" s="4"/>
      <x:c r="D65" s="4"/>
      <x:c r="E65" s="4"/>
      <x:c r="F65" s="4"/>
      <x:c r="G65" s="4"/>
      <x:c r="H65" s="4"/>
      <x:c r="I65" s="4"/>
    </x:row>
    <x:row r="66" ht="30" hidden="0" customHeight="1">
      <x:c r="A66" s="12" t="s">
        <x:v>133</x:v>
      </x:c>
      <x:c r="B66" s="14" t="s">
        <x:v>144</x:v>
      </x:c>
      <x:c r="C66" s="4"/>
      <x:c r="D66" s="4"/>
      <x:c r="E66" s="4"/>
      <x:c r="F66" s="4"/>
      <x:c r="G66" s="4"/>
      <x:c r="H66" s="4"/>
      <x:c r="I66" s="4"/>
    </x:row>
    <x:row r="67" ht="30" hidden="0" customHeight="1">
      <x:c r="A67" s="12" t="s">
        <x:v>133</x:v>
      </x:c>
      <x:c r="B67" s="14" t="s">
        <x:v>145</x:v>
      </x:c>
      <x:c r="C67" s="4"/>
      <x:c r="D67" s="4"/>
      <x:c r="E67" s="4"/>
      <x:c r="F67" s="4"/>
      <x:c r="G67" s="4"/>
      <x:c r="H67" s="4"/>
      <x:c r="I67" s="4"/>
    </x:row>
    <x:row r="68" ht="30" hidden="0" customHeight="1">
      <x:c r="A68" s="12" t="s">
        <x:v>133</x:v>
      </x:c>
      <x:c r="B68" s="14" t="s">
        <x:v>146</x:v>
      </x:c>
      <x:c r="C68" s="4"/>
      <x:c r="D68" s="4"/>
      <x:c r="E68" s="4"/>
      <x:c r="F68" s="4"/>
      <x:c r="G68" s="4"/>
      <x:c r="H68" s="4"/>
      <x:c r="I68" s="4"/>
    </x:row>
    <x:row r="69" ht="30" hidden="0" customHeight="1">
      <x:c r="A69" s="12" t="s">
        <x:v>133</x:v>
      </x:c>
      <x:c r="B69" s="14" t="s">
        <x:v>147</x:v>
      </x:c>
      <x:c r="C69" s="4"/>
      <x:c r="D69" s="4"/>
      <x:c r="E69" s="4"/>
      <x:c r="F69" s="4"/>
      <x:c r="G69" s="4"/>
      <x:c r="H69" s="4"/>
      <x:c r="I69" s="4"/>
    </x:row>
    <x:row r="70" ht="30" hidden="0" customHeight="1">
      <x:c r="A70" s="12" t="s">
        <x:v>133</x:v>
      </x:c>
      <x:c r="B70" s="14" t="s">
        <x:v>148</x:v>
      </x:c>
      <x:c r="C70" s="4"/>
      <x:c r="D70" s="4"/>
      <x:c r="E70" s="4"/>
      <x:c r="F70" s="4"/>
      <x:c r="G70" s="4"/>
      <x:c r="H70" s="4"/>
      <x:c r="I70" s="4"/>
    </x:row>
    <x:row r="71" ht="30" hidden="0" customHeight="1">
      <x:c r="A71" s="12" t="s">
        <x:v>133</x:v>
      </x:c>
      <x:c r="B71" s="14" t="s">
        <x:v>149</x:v>
      </x:c>
      <x:c r="C71" s="4"/>
      <x:c r="D71" s="4"/>
      <x:c r="E71" s="4"/>
      <x:c r="F71" s="4"/>
      <x:c r="G71" s="4"/>
      <x:c r="H71" s="4"/>
      <x:c r="I71" s="4"/>
    </x:row>
    <x:row r="72" ht="30" hidden="0" customHeight="1">
      <x:c r="A72" s="12" t="s">
        <x:v>133</x:v>
      </x:c>
      <x:c r="B72" s="15" t="s">
        <x:v>150</x:v>
      </x:c>
      <x:c r="C72" s="4"/>
      <x:c r="D72" s="4"/>
      <x:c r="E72" s="4"/>
      <x:c r="F72" s="4"/>
      <x:c r="G72" s="4"/>
      <x:c r="H72" s="4"/>
      <x:c r="I72" s="4"/>
    </x:row>
    <x:row r="73" ht="30" hidden="0" customHeight="1">
      <x:c r="A73" s="12" t="s">
        <x:v>28</x:v>
      </x:c>
      <x:c r="B73" s="13" t="s">
        <x:v>151</x:v>
      </x:c>
      <x:c r="C73" s="4"/>
      <x:c r="D73" s="4"/>
      <x:c r="E73" s="4"/>
      <x:c r="F73" s="4"/>
      <x:c r="G73" s="4"/>
      <x:c r="H73" s="4"/>
      <x:c r="I73" s="4"/>
    </x:row>
    <x:row r="74" ht="30" hidden="0" customHeight="1">
      <x:c r="A74" s="12" t="s">
        <x:v>28</x:v>
      </x:c>
      <x:c r="B74" s="14" t="s">
        <x:v>152</x:v>
      </x:c>
      <x:c r="C74" s="4"/>
      <x:c r="D74" s="4"/>
      <x:c r="E74" s="4"/>
      <x:c r="F74" s="4"/>
      <x:c r="G74" s="4"/>
      <x:c r="H74" s="4"/>
      <x:c r="I74" s="4"/>
    </x:row>
    <x:row r="75" ht="30" hidden="0" customHeight="1">
      <x:c r="A75" s="12" t="s">
        <x:v>28</x:v>
      </x:c>
      <x:c r="B75" s="14" t="s">
        <x:v>153</x:v>
      </x:c>
      <x:c r="C75" s="4"/>
      <x:c r="D75" s="4"/>
      <x:c r="E75" s="4"/>
      <x:c r="F75" s="4"/>
      <x:c r="G75" s="4"/>
      <x:c r="H75" s="4"/>
      <x:c r="I75" s="4"/>
    </x:row>
    <x:row r="76" ht="30" hidden="0" customHeight="1">
      <x:c r="A76" s="12" t="s">
        <x:v>28</x:v>
      </x:c>
      <x:c r="B76" s="14" t="s">
        <x:v>154</x:v>
      </x:c>
      <x:c r="C76" s="4"/>
      <x:c r="D76" s="4"/>
      <x:c r="E76" s="4"/>
      <x:c r="F76" s="4"/>
      <x:c r="G76" s="4"/>
      <x:c r="H76" s="4"/>
      <x:c r="I76" s="4"/>
    </x:row>
    <x:row r="77" ht="30" hidden="0" customHeight="1">
      <x:c r="A77" s="12" t="s">
        <x:v>28</x:v>
      </x:c>
      <x:c r="B77" s="14" t="s">
        <x:v>155</x:v>
      </x:c>
      <x:c r="C77" s="4"/>
      <x:c r="D77" s="4"/>
      <x:c r="E77" s="4"/>
      <x:c r="F77" s="4"/>
      <x:c r="G77" s="4"/>
      <x:c r="H77" s="4"/>
      <x:c r="I77" s="4"/>
    </x:row>
    <x:row r="78" ht="30" hidden="0" customHeight="1">
      <x:c r="A78" s="12" t="s">
        <x:v>28</x:v>
      </x:c>
      <x:c r="B78" s="14" t="s">
        <x:v>156</x:v>
      </x:c>
      <x:c r="C78" s="4"/>
      <x:c r="D78" s="4"/>
      <x:c r="E78" s="4"/>
      <x:c r="F78" s="4"/>
      <x:c r="G78" s="4"/>
      <x:c r="H78" s="4"/>
      <x:c r="I78" s="4"/>
    </x:row>
    <x:row r="79" ht="30" hidden="0" customHeight="1">
      <x:c r="A79" s="12" t="s">
        <x:v>28</x:v>
      </x:c>
      <x:c r="B79" s="14" t="s">
        <x:v>157</x:v>
      </x:c>
      <x:c r="C79" s="4"/>
      <x:c r="D79" s="4"/>
      <x:c r="E79" s="4"/>
      <x:c r="F79" s="4"/>
      <x:c r="G79" s="4"/>
      <x:c r="H79" s="4"/>
      <x:c r="I79" s="4"/>
    </x:row>
    <x:row r="80" ht="30" hidden="0" customHeight="1">
      <x:c r="A80" s="12" t="s">
        <x:v>28</x:v>
      </x:c>
      <x:c r="B80" s="14" t="s">
        <x:v>158</x:v>
      </x:c>
      <x:c r="C80" s="4"/>
      <x:c r="D80" s="4"/>
      <x:c r="E80" s="4"/>
      <x:c r="F80" s="4"/>
      <x:c r="G80" s="4"/>
      <x:c r="H80" s="4"/>
      <x:c r="I80" s="4"/>
    </x:row>
    <x:row r="81" ht="30" hidden="0" customHeight="1">
      <x:c r="A81" s="12" t="s">
        <x:v>28</x:v>
      </x:c>
      <x:c r="B81" s="14" t="s">
        <x:v>159</x:v>
      </x:c>
      <x:c r="C81" s="4"/>
      <x:c r="D81" s="4"/>
      <x:c r="E81" s="4"/>
      <x:c r="F81" s="4"/>
      <x:c r="G81" s="4"/>
      <x:c r="H81" s="4"/>
      <x:c r="I81" s="4"/>
    </x:row>
    <x:row r="82" ht="30" hidden="0" customHeight="1">
      <x:c r="A82" s="12" t="s">
        <x:v>28</x:v>
      </x:c>
      <x:c r="B82" s="14" t="s">
        <x:v>160</x:v>
      </x:c>
      <x:c r="C82" s="4"/>
      <x:c r="D82" s="4"/>
      <x:c r="E82" s="4"/>
      <x:c r="F82" s="4"/>
      <x:c r="G82" s="4"/>
      <x:c r="H82" s="4"/>
      <x:c r="I82" s="4"/>
    </x:row>
    <x:row r="83" ht="30" hidden="0" customHeight="1">
      <x:c r="A83" s="12" t="s">
        <x:v>28</x:v>
      </x:c>
      <x:c r="B83" s="14" t="s">
        <x:v>161</x:v>
      </x:c>
      <x:c r="C83" s="4"/>
      <x:c r="D83" s="4"/>
      <x:c r="E83" s="4"/>
      <x:c r="F83" s="4"/>
      <x:c r="G83" s="4"/>
      <x:c r="H83" s="4"/>
      <x:c r="I83" s="4"/>
    </x:row>
    <x:row r="84" ht="30" hidden="0" customHeight="1">
      <x:c r="A84" s="12" t="s">
        <x:v>28</x:v>
      </x:c>
      <x:c r="B84" s="14" t="s">
        <x:v>162</x:v>
      </x:c>
      <x:c r="C84" s="4"/>
      <x:c r="D84" s="4"/>
      <x:c r="E84" s="4"/>
      <x:c r="F84" s="4"/>
      <x:c r="G84" s="4"/>
      <x:c r="H84" s="4"/>
      <x:c r="I84" s="4"/>
    </x:row>
    <x:row r="85" ht="30" hidden="0" customHeight="1">
      <x:c r="A85" s="12" t="s">
        <x:v>28</x:v>
      </x:c>
      <x:c r="B85" s="14" t="s">
        <x:v>163</x:v>
      </x:c>
      <x:c r="C85" s="4"/>
      <x:c r="D85" s="4"/>
      <x:c r="E85" s="4"/>
      <x:c r="F85" s="4"/>
      <x:c r="G85" s="4"/>
      <x:c r="H85" s="4"/>
      <x:c r="I85" s="4"/>
    </x:row>
    <x:row r="86" ht="30" hidden="0" customHeight="1">
      <x:c r="A86" s="12" t="s">
        <x:v>28</x:v>
      </x:c>
      <x:c r="B86" s="14" t="s">
        <x:v>164</x:v>
      </x:c>
      <x:c r="C86" s="4"/>
      <x:c r="D86" s="4"/>
      <x:c r="E86" s="4"/>
      <x:c r="F86" s="4"/>
      <x:c r="G86" s="4"/>
      <x:c r="H86" s="4"/>
      <x:c r="I86" s="4"/>
    </x:row>
    <x:row r="87" ht="30" hidden="0" customHeight="1">
      <x:c r="A87" s="12" t="s">
        <x:v>28</x:v>
      </x:c>
      <x:c r="B87" s="14" t="s">
        <x:v>165</x:v>
      </x:c>
      <x:c r="C87" s="4"/>
      <x:c r="D87" s="4"/>
      <x:c r="E87" s="4"/>
      <x:c r="F87" s="4"/>
      <x:c r="G87" s="4"/>
      <x:c r="H87" s="4"/>
      <x:c r="I87" s="4"/>
    </x:row>
    <x:row r="88" ht="30" hidden="0" customHeight="1">
      <x:c r="A88" s="12" t="s">
        <x:v>28</x:v>
      </x:c>
      <x:c r="B88" s="15" t="s">
        <x:v>166</x:v>
      </x:c>
      <x:c r="C88" s="4"/>
      <x:c r="D88" s="4"/>
      <x:c r="E88" s="4"/>
      <x:c r="F88" s="4"/>
      <x:c r="G88" s="4"/>
      <x:c r="H88" s="4"/>
      <x:c r="I88" s="4"/>
    </x:row>
    <x:row r="89" ht="30" hidden="0" customHeight="1">
      <x:c r="A89" s="12" t="s">
        <x:v>167</x:v>
      </x:c>
      <x:c r="B89" s="13" t="s">
        <x:v>168</x:v>
      </x:c>
      <x:c r="C89" s="4"/>
      <x:c r="D89" s="4"/>
      <x:c r="E89" s="4"/>
      <x:c r="F89" s="4"/>
      <x:c r="G89" s="4"/>
      <x:c r="H89" s="4"/>
      <x:c r="I89" s="4"/>
    </x:row>
    <x:row r="90" ht="30" hidden="0" customHeight="1">
      <x:c r="A90" s="12" t="s">
        <x:v>167</x:v>
      </x:c>
      <x:c r="B90" s="15" t="s">
        <x:v>169</x:v>
      </x:c>
      <x:c r="C90" s="4"/>
      <x:c r="D90" s="4"/>
      <x:c r="E90" s="4"/>
      <x:c r="F90" s="4"/>
      <x:c r="G90" s="4"/>
      <x:c r="H90" s="4"/>
      <x:c r="I90" s="4"/>
    </x:row>
    <x:row r="91" ht="82" hidden="0" customHeight="1"/>
    <x:row r="92" ht="82" hidden="0" customHeight="1"/>
    <x:row r="93" ht="82" hidden="0" customHeight="1"/>
    <x:row r="94" ht="82" hidden="0" customHeight="1"/>
    <x:row r="95" ht="82" hidden="0" customHeight="1"/>
    <x:row r="96" ht="82" hidden="0" customHeight="1"/>
    <x:row r="97" ht="82" hidden="0" customHeight="1"/>
    <x:row r="98" ht="82" hidden="0" customHeight="1"/>
    <x:row r="99" ht="82" hidden="0" customHeight="1"/>
    <x:row r="100" ht="82" hidden="0" customHeight="1"/>
    <x:row r="101" ht="82" hidden="0" customHeight="1"/>
    <x:row r="102" ht="82" hidden="0" customHeight="1"/>
    <x:row r="103" ht="82" hidden="0" customHeight="1"/>
    <x:row r="1048574" ht="12.800000190734863" hidden="0"/>
    <x:row r="1048575" ht="12.800000190734863" hidden="0"/>
    <x:row r="1048576" ht="12.800000190734863" hidden="0"/>
  </x:sheetData>
  <x:dataValidations count="2">
    <x:dataValidation type="list" errorStyle="stop" operator="between" allowBlank="0" showDropDown="0" showInputMessage="0" showErrorMessage="0" sqref="F7:F10">
      <x:formula1>"milestone,maintenance"</x:formula1>
      <x:formula2>0</x:formula2>
    </x:dataValidation>
    <x:dataValidation type="list" sqref="F11">
      <x:formula1>"milestone,maintenance"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f5a92584f844ff"/>
  </x:tableParts>
</x:worksheet>
</file>

<file path=xl/worksheets/sheet2.xml><?xml version="1.0" encoding="utf-8"?>
<x:worksheet xmlns:x="http://schemas.openxmlformats.org/spreadsheetml/2006/main">
  <x:sheetPr>
    <x:tabColor rgb="FF33465E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3" width="16" style="1" hidden="0" customWidth="1"/>
    <x:col min="4" max="4" width="12" style="1" hidden="0" customWidth="1"/>
    <x:col min="5" max="6" width="22" style="1" hidden="0" customWidth="1"/>
    <x:col min="7" max="7" width="44" hidden="0" customWidth="1"/>
  </x:cols>
  <x:sheetData>
    <x:row r="1" ht="26" hidden="0" customHeight="1">
      <x:c r="A1" s="2" t="s">
        <x:v>170</x:v>
      </x:c>
      <x:c r="B1" s="2"/>
      <x:c r="C1" s="2"/>
      <x:c r="D1" s="2"/>
      <x:c r="E1" s="2"/>
      <x:c r="F1" s="2"/>
      <x:c r="G1" s="16"/>
    </x:row>
    <x:row r="2" ht="26" hidden="0" customHeight="1">
      <x:c r="A2" s="5" t="s">
        <x:v>171</x:v>
      </x:c>
      <x:c r="B2" s="5" t="s">
        <x:v>172</x:v>
      </x:c>
      <x:c r="C2" s="5" t="s">
        <x:v>173</x:v>
      </x:c>
      <x:c r="D2" s="5" t="s">
        <x:v>64</x:v>
      </x:c>
      <x:c r="E2" s="5" t="s">
        <x:v>174</x:v>
      </x:c>
      <x:c r="F2" s="5" t="s">
        <x:v>175</x:v>
      </x:c>
      <x:c r="G2" s="5" t="s">
        <x:v>176</x:v>
      </x:c>
    </x:row>
    <x:row r="3" ht="40" hidden="0" customHeight="1">
      <x:c r="A3" s="34" t="s">
        <x:v>177</x:v>
      </x:c>
      <x:c r="B3" s="35"/>
      <x:c r="C3" s="36"/>
      <x:c r="D3" s="37" t="str">
        <x:f aca="0">IF(OR(B3="",C3=""),"",ROUND(MOD(C3-B3,1)*1440,6))</x:f>
      </x:c>
      <x:c r="E3" s="38"/>
      <x:c r="F3" s="39"/>
      <x:c r="G3" s="40"/>
    </x:row>
    <x:row r="4" ht="40" hidden="0" customHeight="1">
      <x:c r="A4" s="41" t="s">
        <x:v>177</x:v>
      </x:c>
      <x:c r="B4" s="42"/>
      <x:c r="C4" s="43"/>
      <x:c r="D4" s="44" t="str">
        <x:f aca="0">IF(OR(B4="",C4=""),"",ROUND(MOD(C4-B4,1)*1440,6))</x:f>
      </x:c>
      <x:c r="E4" s="45"/>
      <x:c r="F4" s="46"/>
      <x:c r="G4" s="47"/>
    </x:row>
    <x:row r="5" ht="40" hidden="0" customHeight="1">
      <x:c r="A5" s="48" t="s">
        <x:v>178</x:v>
      </x:c>
      <x:c r="B5" s="49" t="n">
        <x:v>0.833333333333333</x:v>
      </x:c>
      <x:c r="C5" s="50" t="n">
        <x:v>0.875</x:v>
      </x:c>
      <x:c r="D5" s="51" t="n">
        <x:f aca="0">IF(OR(B5="",C5=""),"",ROUND(MOD(C5-B5,1)*1440,6))</x:f>
        <x:v>60</x:v>
      </x:c>
      <x:c r="E5" s="52" t="s">
        <x:v>179</x:v>
      </x:c>
      <x:c r="F5" s="53" t="s">
        <x:v>180</x:v>
      </x:c>
      <x:c r="G5" s="54" t="s">
        <x:v>181</x:v>
      </x:c>
    </x:row>
    <x:row r="6" ht="40" hidden="0" customHeight="1">
      <x:c r="A6" s="55" t="s">
        <x:v>178</x:v>
      </x:c>
      <x:c r="B6" s="56"/>
      <x:c r="C6" s="57"/>
      <x:c r="D6" s="58" t="str">
        <x:f aca="0">IF(OR(B6="",C6=""),"",ROUND(MOD(C6-B6,1)*1440,6))</x:f>
      </x:c>
      <x:c r="E6" s="59"/>
      <x:c r="F6" s="60"/>
      <x:c r="G6" s="61"/>
    </x:row>
    <x:row r="7" ht="40" hidden="0" customHeight="1">
      <x:c r="A7" s="62" t="s">
        <x:v>182</x:v>
      </x:c>
      <x:c r="B7" s="63"/>
      <x:c r="C7" s="64"/>
      <x:c r="D7" s="65" t="str">
        <x:f aca="0">IF(OR(B7="",C7=""),"",ROUND(MOD(C7-B7,1)*1440,6))</x:f>
      </x:c>
      <x:c r="E7" s="66"/>
      <x:c r="F7" s="67"/>
      <x:c r="G7" s="68"/>
    </x:row>
    <x:row r="8" ht="40" hidden="0" customHeight="1">
      <x:c r="A8" s="69" t="s">
        <x:v>182</x:v>
      </x:c>
      <x:c r="B8" s="70"/>
      <x:c r="C8" s="71"/>
      <x:c r="D8" s="72" t="str">
        <x:f aca="0">IF(OR(B8="",C8=""),"",ROUND(MOD(C8-B8,1)*1440,6))</x:f>
      </x:c>
      <x:c r="E8" s="73"/>
      <x:c r="F8" s="74"/>
      <x:c r="G8" s="75"/>
    </x:row>
    <x:row r="9" ht="40" hidden="0" customHeight="1">
      <x:c r="A9" s="76" t="s">
        <x:v>183</x:v>
      </x:c>
      <x:c r="B9" s="77"/>
      <x:c r="C9" s="78"/>
      <x:c r="D9" s="79" t="str">
        <x:f aca="0">IF(OR(B9="",C9=""),"",ROUND(MOD(C9-B9,1)*1440,6))</x:f>
      </x:c>
      <x:c r="E9" s="80"/>
      <x:c r="F9" s="81"/>
      <x:c r="G9" s="82"/>
    </x:row>
    <x:row r="10" ht="40" hidden="0" customHeight="1">
      <x:c r="A10" s="83" t="s">
        <x:v>183</x:v>
      </x:c>
      <x:c r="B10" s="84"/>
      <x:c r="C10" s="85"/>
      <x:c r="D10" s="86" t="str">
        <x:f aca="0">IF(OR(B10="",C10=""),"",ROUND(MOD(C10-B10,1)*1440,6))</x:f>
      </x:c>
      <x:c r="E10" s="87"/>
      <x:c r="F10" s="88"/>
      <x:c r="G10" s="89"/>
    </x:row>
    <x:row r="11" ht="40" hidden="0" customHeight="1">
      <x:c r="A11" s="90" t="s">
        <x:v>184</x:v>
      </x:c>
      <x:c r="B11" s="91"/>
      <x:c r="C11" s="92"/>
      <x:c r="D11" s="93" t="str">
        <x:f aca="0">IF(OR(B11="",C11=""),"",ROUND(MOD(C11-B11,1)*1440,6))</x:f>
      </x:c>
      <x:c r="E11" s="94"/>
      <x:c r="F11" s="95"/>
      <x:c r="G11" s="96"/>
    </x:row>
    <x:row r="12" ht="40" hidden="0" customHeight="1">
      <x:c r="A12" s="97" t="s">
        <x:v>184</x:v>
      </x:c>
      <x:c r="B12" s="98"/>
      <x:c r="C12" s="99"/>
      <x:c r="D12" s="100" t="str">
        <x:f aca="0">IF(OR(B12="",C12=""),"",ROUND(MOD(C12-B12,1)*1440,6))</x:f>
      </x:c>
      <x:c r="E12" s="101"/>
      <x:c r="F12" s="102"/>
      <x:c r="G12" s="103"/>
    </x:row>
    <x:row r="13" ht="40" hidden="0" customHeight="1">
      <x:c r="A13" s="104" t="s">
        <x:v>185</x:v>
      </x:c>
      <x:c r="B13" s="105"/>
      <x:c r="C13" s="106"/>
      <x:c r="D13" s="107" t="str">
        <x:f aca="0">IF(OR(B13="",C13=""),"",ROUND(MOD(C13-B13,1)*1440,6))</x:f>
      </x:c>
      <x:c r="E13" s="108"/>
      <x:c r="F13" s="109"/>
      <x:c r="G13" s="110"/>
    </x:row>
    <x:row r="14" ht="40" hidden="0" customHeight="1">
      <x:c r="A14" s="111" t="s">
        <x:v>185</x:v>
      </x:c>
      <x:c r="B14" s="112"/>
      <x:c r="C14" s="113"/>
      <x:c r="D14" s="114" t="str">
        <x:f aca="0">IF(OR(B14="",C14=""),"",ROUND(MOD(C14-B14,1)*1440,6))</x:f>
      </x:c>
      <x:c r="E14" s="115"/>
      <x:c r="F14" s="116"/>
      <x:c r="G14" s="117"/>
    </x:row>
    <x:row r="15" ht="40" hidden="0" customHeight="1">
      <x:c r="A15" s="118" t="s">
        <x:v>186</x:v>
      </x:c>
      <x:c r="B15" s="119" t="n">
        <x:v>0.4375</x:v>
      </x:c>
      <x:c r="C15" s="120" t="n">
        <x:v>0.479166666666667</x:v>
      </x:c>
      <x:c r="D15" s="121" t="n">
        <x:f aca="0">IF(OR(B15="",C15=""),"",ROUND(MOD(C15-B15,1)*1440,6))</x:f>
        <x:v>60</x:v>
      </x:c>
      <x:c r="E15" s="122" t="s">
        <x:v>32</x:v>
      </x:c>
      <x:c r="F15" s="123" t="s">
        <x:v>180</x:v>
      </x:c>
      <x:c r="G15" s="124" t="s">
        <x:v>187</x:v>
      </x:c>
    </x:row>
    <x:row r="16" ht="40" hidden="0" customHeight="1">
      <x:c r="A16" s="125" t="s">
        <x:v>186</x:v>
      </x:c>
      <x:c r="B16" s="126"/>
      <x:c r="C16" s="127"/>
      <x:c r="D16" s="128" t="str">
        <x:f aca="0">IF(OR(B16="",C16=""),"",ROUND(MOD(C16-B16,1)*1440,6))</x:f>
      </x:c>
      <x:c r="E16" s="129"/>
      <x:c r="F16" s="130"/>
      <x:c r="G16" s="13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3465E"/>
  </x:sheetPr>
  <x:sheetViews>
    <x:sheetView showGridLines="0" workbookViewId="0">
      <x:pane xSplit="2" ySplit="1" topLeftCell="C2" activePane="bottomRight" state="frozen"/>
    </x:sheetView>
  </x:sheetViews>
  <x:sheetFormatPr defaultColWidth="8.6796875" defaultRowHeight="15"/>
  <x:cols>
    <x:col min="1" max="2" width="14" style="1" hidden="0" customWidth="1"/>
    <x:col min="3" max="3" width="72" style="1" hidden="0" customWidth="1"/>
    <x:col min="4" max="4" width="29" style="1" hidden="0" customWidth="1"/>
    <x:col min="5" max="7" width="17" style="1" hidden="0" customWidth="1"/>
    <x:col min="8" max="11" width="30" style="1" hidden="0" customWidth="1"/>
  </x:cols>
  <x:sheetData>
    <x:row r="1" ht="32" hidden="0" customHeight="1">
      <x:c r="A1" s="5" t="s">
        <x:v>188</x:v>
      </x:c>
      <x:c r="B1" s="5" t="s">
        <x:v>189</x:v>
      </x:c>
      <x:c r="C1" s="5" t="s">
        <x:v>0</x:v>
      </x:c>
      <x:c r="D1" s="5" t="s">
        <x:v>190</x:v>
      </x:c>
      <x:c r="E1" s="5" t="s">
        <x:v>191</x:v>
      </x:c>
      <x:c r="F1" s="5" t="s">
        <x:v>192</x:v>
      </x:c>
      <x:c r="G1" s="5" t="s">
        <x:v>193</x:v>
      </x:c>
      <x:c r="H1" s="5" t="s">
        <x:v>194</x:v>
      </x:c>
      <x:c r="I1" s="5" t="s">
        <x:v>195</x:v>
      </x:c>
      <x:c r="J1" s="5" t="s">
        <x:v>196</x:v>
      </x:c>
      <x:c r="K1" s="5" t="s">
        <x:v>176</x:v>
      </x:c>
    </x:row>
    <x:row r="2" ht="84" hidden="0" customHeight="1">
      <x:c r="A2" s="10" t="n">
        <x:f aca="0">Strategy!$E$3+0</x:f>
        <x:v>46321.5</x:v>
      </x:c>
      <x:c r="B2" s="6" t="s">
        <x:v>42</x:v>
      </x:c>
      <x:c r="C2" s="22" t="str">
        <x:f aca="0">"35 min skills"&amp;CHAR(10)&amp;Strategy!H21&amp;CHAR(10)&amp;"Core: 30 sec work / 20 sec rest each exercise."</x:f>
        <x:v>35 min skills
Scapular pull-up: 3 x 5, High pull (chest-to-bar intent): 3 x 3, Box pistol: 3 x 5/leg, Core: 5 rounds
Core: 30 sec work / 20 sec rest each exercise.</x:v>
      </x:c>
      <x:c r="D2" s="7" t="s">
        <x:v>197</x:v>
      </x:c>
      <x:c r="E2" s="7" t="n">
        <x:v>65</x:v>
      </x:c>
      <x:c r="F2" s="23"/>
      <x:c r="G2" s="23" t="s">
        <x:v>198</x:v>
      </x:c>
      <x:c r="H2" s="23"/>
      <x:c r="I2" s="23"/>
      <x:c r="J2" s="23"/>
      <x:c r="K2" s="23"/>
    </x:row>
    <x:row r="3" ht="84" hidden="0" customHeight="1">
      <x:c r="A3" s="10" t="n">
        <x:f aca="0">Strategy!$E$3+1</x:f>
        <x:v>46322.5</x:v>
      </x:c>
      <x:c r="B3" s="6" t="s">
        <x:v>50</x:v>
      </x:c>
      <x:c r="C3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3" s="7" t="s">
        <x:v>199</x:v>
      </x:c>
      <x:c r="E3" s="7" t="n">
        <x:v>10</x:v>
      </x:c>
      <x:c r="F3" s="23"/>
      <x:c r="G3" s="23" t="s">
        <x:v>198</x:v>
      </x:c>
      <x:c r="H3" s="23"/>
      <x:c r="I3" s="23"/>
      <x:c r="J3" s="23"/>
      <x:c r="K3" s="23"/>
    </x:row>
    <x:row r="4" ht="84" hidden="0" customHeight="1">
      <x:c r="A4" s="10" t="n">
        <x:f aca="0">Strategy!$E$3+3</x:f>
        <x:v>46324.5</x:v>
      </x:c>
      <x:c r="B4" s="6" t="s">
        <x:v>46</x:v>
      </x:c>
      <x:c r="C4" s="22" t="str">
        <x:f aca="0">"35 min skills"&amp;CHAR(10)&amp;Strategy!I21&amp;CHAR(10)&amp;"Core: 30 sec work / 20 sec rest each exercise."</x:f>
        <x:v>35 min skills
Chest-to-wall handstand: 3 x 20 sec, Pike push-up: 3 x 5, Box pistol: 3 x 5/leg, Core: 5 rounds
Core: 30 sec work / 20 sec rest each exercise.</x:v>
      </x:c>
      <x:c r="D4" s="7" t="s">
        <x:v>200</x:v>
      </x:c>
      <x:c r="E4" s="7" t="n">
        <x:v>65</x:v>
      </x:c>
      <x:c r="F4" s="23"/>
      <x:c r="G4" s="23" t="s">
        <x:v>198</x:v>
      </x:c>
      <x:c r="H4" s="23"/>
      <x:c r="I4" s="23"/>
      <x:c r="J4" s="23"/>
      <x:c r="K4" s="23"/>
    </x:row>
    <x:row r="5" ht="84" hidden="0" customHeight="1">
      <x:c r="A5" s="10" t="n">
        <x:f aca="0">Strategy!$E$3+5</x:f>
        <x:v>46326.5</x:v>
      </x:c>
      <x:c r="B5" s="6" t="s">
        <x:v>50</x:v>
      </x:c>
      <x:c r="C5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5" s="7" t="s">
        <x:v>201</x:v>
      </x:c>
      <x:c r="E5" s="7" t="n">
        <x:v>20</x:v>
      </x:c>
      <x:c r="F5" s="23"/>
      <x:c r="G5" s="23" t="s">
        <x:v>198</x:v>
      </x:c>
      <x:c r="H5" s="23"/>
      <x:c r="I5" s="23"/>
      <x:c r="J5" s="23"/>
      <x:c r="K5" s="23"/>
    </x:row>
    <x:row r="6" ht="84" hidden="0" customHeight="1">
      <x:c r="A6" s="10" t="n">
        <x:f aca="0">Strategy!$E$3+7</x:f>
        <x:v>46328.5</x:v>
      </x:c>
      <x:c r="B6" s="6" t="s">
        <x:v>42</x:v>
      </x:c>
      <x:c r="C6" s="22" t="str">
        <x:f aca="0">"35 min skills"&amp;CHAR(10)&amp;Strategy!H22&amp;CHAR(10)&amp;"Core: 30 sec work / 20 sec rest each exercise."</x:f>
        <x:v>35 min skills
Band transition drill: 3 x 3, High pull: 3 x 3, Lower-box pistol with counterweight: 3 x 4/leg, Core: 5 rounds
Core: 30 sec work / 20 sec rest each exercise.</x:v>
      </x:c>
      <x:c r="D6" s="7" t="s">
        <x:v>197</x:v>
      </x:c>
      <x:c r="E6" s="7" t="n">
        <x:v>65</x:v>
      </x:c>
      <x:c r="F6" s="23"/>
      <x:c r="G6" s="23" t="s">
        <x:v>198</x:v>
      </x:c>
      <x:c r="H6" s="23"/>
      <x:c r="I6" s="23"/>
      <x:c r="J6" s="23"/>
      <x:c r="K6" s="23"/>
    </x:row>
    <x:row r="7" ht="84" hidden="0" customHeight="1">
      <x:c r="A7" s="10" t="n">
        <x:f aca="0">Strategy!$E$3+8</x:f>
        <x:v>46329.5</x:v>
      </x:c>
      <x:c r="B7" s="6" t="s">
        <x:v>50</x:v>
      </x:c>
      <x:c r="C7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7" s="7" t="s">
        <x:v>199</x:v>
      </x:c>
      <x:c r="E7" s="7" t="n">
        <x:v>10</x:v>
      </x:c>
      <x:c r="F7" s="23"/>
      <x:c r="G7" s="23" t="s">
        <x:v>198</x:v>
      </x:c>
      <x:c r="H7" s="23"/>
      <x:c r="I7" s="23"/>
      <x:c r="J7" s="23"/>
      <x:c r="K7" s="23"/>
    </x:row>
    <x:row r="8" ht="84" hidden="0" customHeight="1">
      <x:c r="A8" s="10" t="n">
        <x:f aca="0">Strategy!$E$3+10</x:f>
        <x:v>46331.5</x:v>
      </x:c>
      <x:c r="B8" s="6" t="s">
        <x:v>46</x:v>
      </x:c>
      <x:c r="C8" s="22" t="str">
        <x:f aca="0">"35 min skills"&amp;CHAR(10)&amp;Strategy!I22&amp;CHAR(10)&amp;"Core: 30 sec work / 20 sec rest each exercise."</x:f>
        <x:v>35 min skills
Wall handstand: 3 x 25 sec, Elevated pike push-up: 3 x 4, Lower-box pistol with counterweight: 3 x 4/leg, Core: 5 rounds
Core: 30 sec work / 20 sec rest each exercise.</x:v>
      </x:c>
      <x:c r="D8" s="7" t="s">
        <x:v>200</x:v>
      </x:c>
      <x:c r="E8" s="7" t="n">
        <x:v>65</x:v>
      </x:c>
      <x:c r="F8" s="23"/>
      <x:c r="G8" s="23" t="s">
        <x:v>198</x:v>
      </x:c>
      <x:c r="H8" s="23"/>
      <x:c r="I8" s="23"/>
      <x:c r="J8" s="23"/>
      <x:c r="K8" s="23"/>
    </x:row>
    <x:row r="9" ht="84" hidden="0" customHeight="1">
      <x:c r="A9" s="10" t="n">
        <x:f aca="0">Strategy!$E$3+12</x:f>
        <x:v>46333.5</x:v>
      </x:c>
      <x:c r="B9" s="6" t="s">
        <x:v>50</x:v>
      </x:c>
      <x:c r="C9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9" s="7" t="s">
        <x:v>201</x:v>
      </x:c>
      <x:c r="E9" s="7" t="n">
        <x:v>20</x:v>
      </x:c>
      <x:c r="F9" s="23"/>
      <x:c r="G9" s="23" t="s">
        <x:v>198</x:v>
      </x:c>
      <x:c r="H9" s="23"/>
      <x:c r="I9" s="23"/>
      <x:c r="J9" s="23"/>
      <x:c r="K9" s="23"/>
    </x:row>
    <x:row r="10" ht="84" hidden="0" customHeight="1">
      <x:c r="A10" s="10" t="n">
        <x:f aca="0">Strategy!$E$3+14</x:f>
        <x:v>46335.5</x:v>
      </x:c>
      <x:c r="B10" s="6" t="s">
        <x:v>42</x:v>
      </x:c>
      <x:c r="C10" s="22" t="str">
        <x:f aca="0">"35 min skills"&amp;CHAR(10)&amp;Strategy!H23&amp;CHAR(10)&amp;"Core: 30 sec work / 20 sec rest each exercise."</x:f>
        <x:v>35 min skills
Explosive pull-up: 4 x 2, Low-bar transition: 3 x 3, Assisted full-depth pistol: 3 x 4/leg, Core: 5 rounds
Core: 30 sec work / 20 sec rest each exercise.</x:v>
      </x:c>
      <x:c r="D10" s="7" t="s">
        <x:v>197</x:v>
      </x:c>
      <x:c r="E10" s="7" t="n">
        <x:v>65</x:v>
      </x:c>
      <x:c r="F10" s="23"/>
      <x:c r="G10" s="23" t="s">
        <x:v>198</x:v>
      </x:c>
      <x:c r="H10" s="23"/>
      <x:c r="I10" s="23"/>
      <x:c r="J10" s="23"/>
      <x:c r="K10" s="23"/>
    </x:row>
    <x:row r="11" ht="84" hidden="0" customHeight="1">
      <x:c r="A11" s="10" t="n">
        <x:f aca="0">Strategy!$E$3+15</x:f>
        <x:v>46336.5</x:v>
      </x:c>
      <x:c r="B11" s="6" t="s">
        <x:v>50</x:v>
      </x:c>
      <x:c r="C11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11" s="7" t="s">
        <x:v>199</x:v>
      </x:c>
      <x:c r="E11" s="7" t="n">
        <x:v>10</x:v>
      </x:c>
      <x:c r="F11" s="23"/>
      <x:c r="G11" s="23" t="s">
        <x:v>198</x:v>
      </x:c>
      <x:c r="H11" s="23"/>
      <x:c r="I11" s="23"/>
      <x:c r="J11" s="23"/>
      <x:c r="K11" s="23"/>
    </x:row>
    <x:row r="12" ht="84" hidden="0" customHeight="1">
      <x:c r="A12" s="10" t="n">
        <x:f aca="0">Strategy!$E$3+17</x:f>
        <x:v>46338.5</x:v>
      </x:c>
      <x:c r="B12" s="6" t="s">
        <x:v>46</x:v>
      </x:c>
      <x:c r="C12" s="22" t="str">
        <x:f aca="0">"35 min skills"&amp;CHAR(10)&amp;Strategy!I23&amp;CHAR(10)&amp;"Core: 30 sec work / 20 sec rest each exercise."</x:f>
        <x:v>35 min skills
Wall HSPU negative: 3 x 2 (lower 3 sec), Pike push-up: 3 x 5, Assisted full-depth pistol: 3 x 4/leg, Core: 5 rounds
Core: 30 sec work / 20 sec rest each exercise.</x:v>
      </x:c>
      <x:c r="D12" s="7" t="s">
        <x:v>200</x:v>
      </x:c>
      <x:c r="E12" s="7" t="n">
        <x:v>65</x:v>
      </x:c>
      <x:c r="F12" s="23"/>
      <x:c r="G12" s="23" t="s">
        <x:v>198</x:v>
      </x:c>
      <x:c r="H12" s="23"/>
      <x:c r="I12" s="23"/>
      <x:c r="J12" s="23"/>
      <x:c r="K12" s="23"/>
    </x:row>
    <x:row r="13" ht="84" hidden="0" customHeight="1">
      <x:c r="A13" s="10" t="n">
        <x:f aca="0">Strategy!$E$3+19</x:f>
        <x:v>46340.5</x:v>
      </x:c>
      <x:c r="B13" s="6" t="s">
        <x:v>50</x:v>
      </x:c>
      <x:c r="C13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13" s="7" t="s">
        <x:v>201</x:v>
      </x:c>
      <x:c r="E13" s="7" t="n">
        <x:v>20</x:v>
      </x:c>
      <x:c r="F13" s="23"/>
      <x:c r="G13" s="23" t="s">
        <x:v>198</x:v>
      </x:c>
      <x:c r="H13" s="23"/>
      <x:c r="I13" s="23"/>
      <x:c r="J13" s="23"/>
      <x:c r="K13" s="23"/>
    </x:row>
    <x:row r="14" ht="84" hidden="0" customHeight="1">
      <x:c r="A14" s="10" t="n">
        <x:f aca="0">Strategy!$E$3+21</x:f>
        <x:v>46342.5</x:v>
      </x:c>
      <x:c r="B14" s="6" t="s">
        <x:v>42</x:v>
      </x:c>
      <x:c r="C14" s="22" t="str">
        <x:f aca="0">"10 min skills"&amp;CHAR(10)&amp;Strategy!H24&amp;CHAR(10)&amp;"Core: 30 sec work / 20 sec rest each exercise."</x:f>
        <x:v>10 min skills
Easy scapular pull-up: 1 x 5, Easy low-bar transition: 1 x 3, Assisted pistol: 1 x 3/leg, Core: 3 rounds
Core: 30 sec work / 20 sec rest each exercise.</x:v>
      </x:c>
      <x:c r="D14" s="7" t="s">
        <x:v>197</x:v>
      </x:c>
      <x:c r="E14" s="7" t="n">
        <x:v>33</x:v>
      </x:c>
      <x:c r="F14" s="23"/>
      <x:c r="G14" s="23" t="s">
        <x:v>198</x:v>
      </x:c>
      <x:c r="H14" s="23"/>
      <x:c r="I14" s="23"/>
      <x:c r="J14" s="23"/>
      <x:c r="K14" s="23"/>
    </x:row>
    <x:row r="15" ht="84" hidden="0" customHeight="1">
      <x:c r="A15" s="10" t="n">
        <x:f aca="0">Strategy!$E$3+22</x:f>
        <x:v>46343.5</x:v>
      </x:c>
      <x:c r="B15" s="6" t="s">
        <x:v>50</x:v>
      </x:c>
      <x:c r="C15" s="22" t="str">
        <x:f aca="0">"5 min easy technique"&amp;CHAR(10)&amp;"Wrist/shoulder mobility: 1 min"&amp;CHAR(10)&amp;"Easy chest-to-wall hold: 2 x 10 sec"&amp;CHAR(10)&amp;"Wall handstand line drill: 1 x 10 sec"</x:f>
        <x:v>5 min easy technique
Wrist/shoulder mobility: 1 min
Easy chest-to-wall hold: 2 x 10 sec
Wall handstand line drill: 1 x 10 sec</x:v>
      </x:c>
      <x:c r="D15" s="7" t="s">
        <x:v>199</x:v>
      </x:c>
      <x:c r="E15" s="7" t="n">
        <x:v>5</x:v>
      </x:c>
      <x:c r="F15" s="23"/>
      <x:c r="G15" s="23" t="s">
        <x:v>198</x:v>
      </x:c>
      <x:c r="H15" s="23"/>
      <x:c r="I15" s="23"/>
      <x:c r="J15" s="23"/>
      <x:c r="K15" s="23"/>
    </x:row>
    <x:row r="16" ht="84" hidden="0" customHeight="1">
      <x:c r="A16" s="10" t="n">
        <x:f aca="0">Strategy!$E$3+24</x:f>
        <x:v>46345.5</x:v>
      </x:c>
      <x:c r="B16" s="6" t="s">
        <x:v>46</x:v>
      </x:c>
      <x:c r="C16" s="22" t="str">
        <x:f aca="0">"10 min skills"&amp;CHAR(10)&amp;Strategy!I24&amp;CHAR(10)&amp;"Core: 30 sec work / 20 sec rest each exercise."</x:f>
        <x:v>10 min skills
Easy wall handstand: 1 x 15 sec, Gentle wrist/shoulder mobility: 2 min, Assisted pistol: 1 x 3/leg, Core: 3 rounds
Core: 30 sec work / 20 sec rest each exercise.</x:v>
      </x:c>
      <x:c r="D16" s="7" t="s">
        <x:v>202</x:v>
      </x:c>
      <x:c r="E16" s="7" t="n">
        <x:v>33</x:v>
      </x:c>
      <x:c r="F16" s="23"/>
      <x:c r="G16" s="23" t="s">
        <x:v>198</x:v>
      </x:c>
      <x:c r="H16" s="23"/>
      <x:c r="I16" s="23"/>
      <x:c r="J16" s="23"/>
      <x:c r="K16" s="23"/>
    </x:row>
    <x:row r="17" ht="84" hidden="0" customHeight="1">
      <x:c r="A17" s="10" t="n">
        <x:f aca="0">Strategy!$E$3+26</x:f>
        <x:v>46347.5</x:v>
      </x:c>
      <x:c r="B17" s="6" t="s">
        <x:v>50</x:v>
      </x:c>
      <x:c r="C17" s="22" t="str">
        <x:f aca="0">"10 min easy technique"&amp;CHAR(10)&amp;"Wrist/shoulder mobility: 1 min"&amp;CHAR(10)&amp;"Easy chest-to-wall hold: 2 x 10 sec"&amp;CHAR(10)&amp;"Wall handstand line drill: 1 x 10 sec"</x:f>
        <x:v>10 min easy technique
Wrist/shoulder mobility: 1 min
Easy chest-to-wall hold: 2 x 10 sec
Wall handstand line drill: 1 x 10 sec</x:v>
      </x:c>
      <x:c r="D17" s="7" t="s">
        <x:v>201</x:v>
      </x:c>
      <x:c r="E17" s="7" t="n">
        <x:v>10</x:v>
      </x:c>
      <x:c r="F17" s="23"/>
      <x:c r="G17" s="23" t="s">
        <x:v>198</x:v>
      </x:c>
      <x:c r="H17" s="23"/>
      <x:c r="I17" s="23"/>
      <x:c r="J17" s="23"/>
      <x:c r="K17" s="23"/>
    </x:row>
    <x:row r="18" ht="84" hidden="0" customHeight="1">
      <x:c r="A18" s="10" t="n">
        <x:f aca="0">Strategy!$E$3+28</x:f>
        <x:v>46349.5</x:v>
      </x:c>
      <x:c r="B18" s="6" t="s">
        <x:v>42</x:v>
      </x:c>
      <x:c r="C18" s="22" t="str">
        <x:f aca="0">"35 min skills"&amp;CHAR(10)&amp;Strategy!H25&amp;CHAR(10)&amp;"Core: 30 sec work / 20 sec rest each exercise."</x:f>
        <x:v>35 min skills
Chest-to-bar pull-up: 3 x 3, Band-assisted muscle-up: 4 x 1, Counterweight pistol: 3 x 4/leg, Core: 5 rounds
Core: 30 sec work / 20 sec rest each exercise.</x:v>
      </x:c>
      <x:c r="D18" s="7" t="s">
        <x:v>197</x:v>
      </x:c>
      <x:c r="E18" s="7" t="n">
        <x:v>65</x:v>
      </x:c>
      <x:c r="F18" s="23"/>
      <x:c r="G18" s="23" t="s">
        <x:v>198</x:v>
      </x:c>
      <x:c r="H18" s="23"/>
      <x:c r="I18" s="23"/>
      <x:c r="J18" s="23"/>
      <x:c r="K18" s="23"/>
    </x:row>
    <x:row r="19" ht="84" hidden="0" customHeight="1">
      <x:c r="A19" s="10" t="n">
        <x:f aca="0">Strategy!$E$3+29</x:f>
        <x:v>46350.5</x:v>
      </x:c>
      <x:c r="B19" s="6" t="s">
        <x:v>50</x:v>
      </x:c>
      <x:c r="C19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19" s="7" t="s">
        <x:v>199</x:v>
      </x:c>
      <x:c r="E19" s="7" t="n">
        <x:v>10</x:v>
      </x:c>
      <x:c r="F19" s="23"/>
      <x:c r="G19" s="23" t="s">
        <x:v>198</x:v>
      </x:c>
      <x:c r="H19" s="23"/>
      <x:c r="I19" s="23"/>
      <x:c r="J19" s="23"/>
      <x:c r="K19" s="23"/>
    </x:row>
    <x:row r="20" ht="84" hidden="0" customHeight="1">
      <x:c r="A20" s="10" t="n">
        <x:f aca="0">Strategy!$E$3+31</x:f>
        <x:v>46352.5</x:v>
      </x:c>
      <x:c r="B20" s="6" t="s">
        <x:v>46</x:v>
      </x:c>
      <x:c r="C20" s="22" t="str">
        <x:f aca="0">"35 min skills"&amp;CHAR(10)&amp;Strategy!I25&amp;CHAR(10)&amp;"Core: 30 sec work / 20 sec rest each exercise."</x:f>
        <x:v>35 min skills
Deficit pike push-up: 3 x 4, Wall HSPU negative: 3 x 2 (lower 3 sec), Counterweight pistol: 3 x 4/leg, Core: 5 rounds
Core: 30 sec work / 20 sec rest each exercise.</x:v>
      </x:c>
      <x:c r="D20" s="7" t="s">
        <x:v>200</x:v>
      </x:c>
      <x:c r="E20" s="7" t="n">
        <x:v>65</x:v>
      </x:c>
      <x:c r="F20" s="23"/>
      <x:c r="G20" s="23" t="s">
        <x:v>198</x:v>
      </x:c>
      <x:c r="H20" s="23"/>
      <x:c r="I20" s="23"/>
      <x:c r="J20" s="23"/>
      <x:c r="K20" s="23"/>
    </x:row>
    <x:row r="21" ht="84" hidden="0" customHeight="1">
      <x:c r="A21" s="10" t="n">
        <x:f aca="0">Strategy!$E$3+33</x:f>
        <x:v>46354.5</x:v>
      </x:c>
      <x:c r="B21" s="6" t="s">
        <x:v>50</x:v>
      </x:c>
      <x:c r="C21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21" s="7" t="s">
        <x:v>201</x:v>
      </x:c>
      <x:c r="E21" s="7" t="n">
        <x:v>20</x:v>
      </x:c>
      <x:c r="F21" s="23"/>
      <x:c r="G21" s="23" t="s">
        <x:v>198</x:v>
      </x:c>
      <x:c r="H21" s="23"/>
      <x:c r="I21" s="23"/>
      <x:c r="J21" s="23"/>
      <x:c r="K21" s="23"/>
    </x:row>
    <x:row r="22" ht="84" hidden="0" customHeight="1">
      <x:c r="A22" s="10" t="n">
        <x:f aca="0">Strategy!$E$3+35</x:f>
        <x:v>46356.5</x:v>
      </x:c>
      <x:c r="B22" s="6" t="s">
        <x:v>42</x:v>
      </x:c>
      <x:c r="C22" s="22" t="str">
        <x:f aca="0">"35 min skills"&amp;CHAR(10)&amp;Strategy!H26&amp;CHAR(10)&amp;"Core: 30 sec work / 20 sec rest each exercise."</x:f>
        <x:v>35 min skills
Jumping muscle-up: 3 x 3, Low-bar slow transition: 3 x 3, Light-counterweight pistol: 3 x 4/leg, Core: 5 rounds
Core: 30 sec work / 20 sec rest each exercise.</x:v>
      </x:c>
      <x:c r="D22" s="7" t="s">
        <x:v>197</x:v>
      </x:c>
      <x:c r="E22" s="7" t="n">
        <x:v>65</x:v>
      </x:c>
      <x:c r="F22" s="23"/>
      <x:c r="G22" s="23" t="s">
        <x:v>198</x:v>
      </x:c>
      <x:c r="H22" s="23"/>
      <x:c r="I22" s="23"/>
      <x:c r="J22" s="23"/>
      <x:c r="K22" s="23"/>
    </x:row>
    <x:row r="23" ht="84" hidden="0" customHeight="1">
      <x:c r="A23" s="10" t="n">
        <x:f aca="0">Strategy!$E$3+36</x:f>
        <x:v>46357.5</x:v>
      </x:c>
      <x:c r="B23" s="6" t="s">
        <x:v>50</x:v>
      </x:c>
      <x:c r="C23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23" s="7" t="s">
        <x:v>199</x:v>
      </x:c>
      <x:c r="E23" s="7" t="n">
        <x:v>10</x:v>
      </x:c>
      <x:c r="F23" s="23"/>
      <x:c r="G23" s="23" t="s">
        <x:v>198</x:v>
      </x:c>
      <x:c r="H23" s="23"/>
      <x:c r="I23" s="23"/>
      <x:c r="J23" s="23"/>
      <x:c r="K23" s="23"/>
    </x:row>
    <x:row r="24" ht="84" hidden="0" customHeight="1">
      <x:c r="A24" s="10" t="n">
        <x:f aca="0">Strategy!$E$3+38</x:f>
        <x:v>46359.5</x:v>
      </x:c>
      <x:c r="B24" s="6" t="s">
        <x:v>46</x:v>
      </x:c>
      <x:c r="C24" s="22" t="str">
        <x:f aca="0">"35 min skills"&amp;CHAR(10)&amp;Strategy!I26&amp;CHAR(10)&amp;"Core: 30 sec work / 20 sec rest each exercise."</x:f>
        <x:v>35 min skills
Partial wall HSPU: 3 x 3, Wall HSPU negative: 3 x 2 (lower 3 sec), Light-counterweight pistol: 3 x 4/leg, Core: 5 rounds
Core: 30 sec work / 20 sec rest each exercise.</x:v>
      </x:c>
      <x:c r="D24" s="7" t="s">
        <x:v>200</x:v>
      </x:c>
      <x:c r="E24" s="7" t="n">
        <x:v>65</x:v>
      </x:c>
      <x:c r="F24" s="23"/>
      <x:c r="G24" s="23" t="s">
        <x:v>198</x:v>
      </x:c>
      <x:c r="H24" s="23"/>
      <x:c r="I24" s="23"/>
      <x:c r="J24" s="23"/>
      <x:c r="K24" s="23"/>
    </x:row>
    <x:row r="25" ht="84" hidden="0" customHeight="1">
      <x:c r="A25" s="10" t="n">
        <x:f aca="0">Strategy!$E$3+40</x:f>
        <x:v>46361.5</x:v>
      </x:c>
      <x:c r="B25" s="6" t="s">
        <x:v>50</x:v>
      </x:c>
      <x:c r="C25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25" s="7" t="s">
        <x:v>201</x:v>
      </x:c>
      <x:c r="E25" s="7" t="n">
        <x:v>20</x:v>
      </x:c>
      <x:c r="F25" s="23"/>
      <x:c r="G25" s="23" t="s">
        <x:v>198</x:v>
      </x:c>
      <x:c r="H25" s="23"/>
      <x:c r="I25" s="23"/>
      <x:c r="J25" s="23"/>
      <x:c r="K25" s="23"/>
    </x:row>
    <x:row r="26" ht="84" hidden="0" customHeight="1">
      <x:c r="A26" s="10" t="n">
        <x:f aca="0">Strategy!$E$3+42</x:f>
        <x:v>46363.5</x:v>
      </x:c>
      <x:c r="B26" s="6" t="s">
        <x:v>42</x:v>
      </x:c>
      <x:c r="C26" s="22" t="str">
        <x:f aca="0">"35 min skills"&amp;CHAR(10)&amp;Strategy!H27&amp;CHAR(10)&amp;"Core: 30 sec work / 20 sec rest each exercise."</x:f>
        <x:v>35 min skills
Light-band muscle-up: 4 x 1, Band-assisted transition: 3 x 2, Unassisted pistol to target: 3 x 1/leg, Core: 5 rounds
Core: 30 sec work / 20 sec rest each exercise.</x:v>
      </x:c>
      <x:c r="D26" s="7" t="s">
        <x:v>197</x:v>
      </x:c>
      <x:c r="E26" s="7" t="n">
        <x:v>65</x:v>
      </x:c>
      <x:c r="F26" s="23"/>
      <x:c r="G26" s="23" t="s">
        <x:v>198</x:v>
      </x:c>
      <x:c r="H26" s="23"/>
      <x:c r="I26" s="23"/>
      <x:c r="J26" s="23"/>
      <x:c r="K26" s="23"/>
    </x:row>
    <x:row r="27" ht="84" hidden="0" customHeight="1">
      <x:c r="A27" s="10" t="n">
        <x:f aca="0">Strategy!$E$3+43</x:f>
        <x:v>46364.5</x:v>
      </x:c>
      <x:c r="B27" s="6" t="s">
        <x:v>50</x:v>
      </x:c>
      <x:c r="C27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27" s="7" t="s">
        <x:v>199</x:v>
      </x:c>
      <x:c r="E27" s="7" t="n">
        <x:v>10</x:v>
      </x:c>
      <x:c r="F27" s="23"/>
      <x:c r="G27" s="23" t="s">
        <x:v>198</x:v>
      </x:c>
      <x:c r="H27" s="23"/>
      <x:c r="I27" s="23"/>
      <x:c r="J27" s="23"/>
      <x:c r="K27" s="23"/>
    </x:row>
    <x:row r="28" ht="84" hidden="0" customHeight="1">
      <x:c r="A28" s="10" t="n">
        <x:f aca="0">Strategy!$E$3+45</x:f>
        <x:v>46366.5</x:v>
      </x:c>
      <x:c r="B28" s="6" t="s">
        <x:v>46</x:v>
      </x:c>
      <x:c r="C28" s="22" t="str">
        <x:f aca="0">"35 min skills"&amp;CHAR(10)&amp;Strategy!I27&amp;CHAR(10)&amp;"Core: 30 sec work / 20 sec rest each exercise."</x:f>
        <x:v>35 min skills
Deeper wall HSPU: 3 x 2, Easy wall handstand: 2 x 20 sec, Unassisted pistol to target: 3 x 1/leg, Core: 5 rounds
Core: 30 sec work / 20 sec rest each exercise.</x:v>
      </x:c>
      <x:c r="D28" s="7" t="s">
        <x:v>200</x:v>
      </x:c>
      <x:c r="E28" s="7" t="n">
        <x:v>65</x:v>
      </x:c>
      <x:c r="F28" s="23"/>
      <x:c r="G28" s="23" t="s">
        <x:v>198</x:v>
      </x:c>
      <x:c r="H28" s="23"/>
      <x:c r="I28" s="23"/>
      <x:c r="J28" s="23"/>
      <x:c r="K28" s="23"/>
    </x:row>
    <x:row r="29" ht="84" hidden="0" customHeight="1">
      <x:c r="A29" s="10" t="n">
        <x:f aca="0">Strategy!$E$3+47</x:f>
        <x:v>46368.5</x:v>
      </x:c>
      <x:c r="B29" s="6" t="s">
        <x:v>50</x:v>
      </x:c>
      <x:c r="C29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29" s="7" t="s">
        <x:v>201</x:v>
      </x:c>
      <x:c r="E29" s="7" t="n">
        <x:v>20</x:v>
      </x:c>
      <x:c r="F29" s="23"/>
      <x:c r="G29" s="23" t="s">
        <x:v>198</x:v>
      </x:c>
      <x:c r="H29" s="23"/>
      <x:c r="I29" s="23"/>
      <x:c r="J29" s="23"/>
      <x:c r="K29" s="23"/>
    </x:row>
    <x:row r="30" ht="84" hidden="0" customHeight="1">
      <x:c r="A30" s="10" t="n">
        <x:f aca="0">Strategy!$E$3+49</x:f>
        <x:v>46370.5</x:v>
      </x:c>
      <x:c r="B30" s="6" t="s">
        <x:v>42</x:v>
      </x:c>
      <x:c r="C30" s="22" t="str">
        <x:f aca="0">"10 min skills"&amp;CHAR(10)&amp;Strategy!H28&amp;CHAR(10)&amp;"Core: 30 sec work / 20 sec rest each exercise."</x:f>
        <x:v>10 min skills
Easy high pull: 1 x 3, Easy low-bar transition: 1 x 3, Assisted smooth pistol: 1 x 3/leg, Core: 3 rounds
Core: 30 sec work / 20 sec rest each exercise.</x:v>
      </x:c>
      <x:c r="D30" s="7" t="s">
        <x:v>197</x:v>
      </x:c>
      <x:c r="E30" s="7" t="n">
        <x:v>33</x:v>
      </x:c>
      <x:c r="F30" s="23"/>
      <x:c r="G30" s="23" t="s">
        <x:v>198</x:v>
      </x:c>
      <x:c r="H30" s="23"/>
      <x:c r="I30" s="23"/>
      <x:c r="J30" s="23"/>
      <x:c r="K30" s="23"/>
    </x:row>
    <x:row r="31" ht="84" hidden="0" customHeight="1">
      <x:c r="A31" s="10" t="n">
        <x:f aca="0">Strategy!$E$3+50</x:f>
        <x:v>46371.5</x:v>
      </x:c>
      <x:c r="B31" s="6" t="s">
        <x:v>50</x:v>
      </x:c>
      <x:c r="C31" s="22" t="str">
        <x:f aca="0">"5 min easy technique"&amp;CHAR(10)&amp;"Wrist/shoulder mobility: 1 min"&amp;CHAR(10)&amp;"Easy chest-to-wall hold: 2 x 10 sec"&amp;CHAR(10)&amp;"Wall handstand line drill: 1 x 10 sec"</x:f>
        <x:v>5 min easy technique
Wrist/shoulder mobility: 1 min
Easy chest-to-wall hold: 2 x 10 sec
Wall handstand line drill: 1 x 10 sec</x:v>
      </x:c>
      <x:c r="D31" s="7" t="s">
        <x:v>199</x:v>
      </x:c>
      <x:c r="E31" s="7" t="n">
        <x:v>5</x:v>
      </x:c>
      <x:c r="F31" s="23"/>
      <x:c r="G31" s="23" t="s">
        <x:v>198</x:v>
      </x:c>
      <x:c r="H31" s="23"/>
      <x:c r="I31" s="23"/>
      <x:c r="J31" s="23"/>
      <x:c r="K31" s="23"/>
    </x:row>
    <x:row r="32" ht="84" hidden="0" customHeight="1">
      <x:c r="A32" s="10" t="n">
        <x:f aca="0">Strategy!$E$3+52</x:f>
        <x:v>46373.5</x:v>
      </x:c>
      <x:c r="B32" s="6" t="s">
        <x:v>46</x:v>
      </x:c>
      <x:c r="C32" s="22" t="str">
        <x:f aca="0">"10 min skills"&amp;CHAR(10)&amp;Strategy!I28&amp;CHAR(10)&amp;"Core: 30 sec work / 20 sec rest each exercise."</x:f>
        <x:v>10 min skills
Easy wall handstand: 1 x 15 sec, Easy pike push-up: 1 x 4, Assisted smooth pistol: 1 x 3/leg, Core: 3 rounds
Core: 30 sec work / 20 sec rest each exercise.</x:v>
      </x:c>
      <x:c r="D32" s="7" t="s">
        <x:v>202</x:v>
      </x:c>
      <x:c r="E32" s="7" t="n">
        <x:v>33</x:v>
      </x:c>
      <x:c r="F32" s="23"/>
      <x:c r="G32" s="23" t="s">
        <x:v>198</x:v>
      </x:c>
      <x:c r="H32" s="23"/>
      <x:c r="I32" s="23"/>
      <x:c r="J32" s="23"/>
      <x:c r="K32" s="23"/>
    </x:row>
    <x:row r="33" ht="84" hidden="0" customHeight="1">
      <x:c r="A33" s="10" t="n">
        <x:f aca="0">Strategy!$E$3+54</x:f>
        <x:v>46375.5</x:v>
      </x:c>
      <x:c r="B33" s="6" t="s">
        <x:v>50</x:v>
      </x:c>
      <x:c r="C33" s="22" t="str">
        <x:f aca="0">"10 min easy technique"&amp;CHAR(10)&amp;"Wrist/shoulder mobility: 1 min"&amp;CHAR(10)&amp;"Easy chest-to-wall hold: 2 x 10 sec"&amp;CHAR(10)&amp;"Wall handstand line drill: 1 x 10 sec"</x:f>
        <x:v>10 min easy technique
Wrist/shoulder mobility: 1 min
Easy chest-to-wall hold: 2 x 10 sec
Wall handstand line drill: 1 x 10 sec</x:v>
      </x:c>
      <x:c r="D33" s="7" t="s">
        <x:v>201</x:v>
      </x:c>
      <x:c r="E33" s="7" t="n">
        <x:v>10</x:v>
      </x:c>
      <x:c r="F33" s="23"/>
      <x:c r="G33" s="23" t="s">
        <x:v>198</x:v>
      </x:c>
      <x:c r="H33" s="23"/>
      <x:c r="I33" s="23"/>
      <x:c r="J33" s="23"/>
      <x:c r="K33" s="23"/>
    </x:row>
    <x:row r="34" ht="84" hidden="0" customHeight="1">
      <x:c r="A34" s="10" t="n">
        <x:f aca="0">Strategy!$E$3+56</x:f>
        <x:v>46377.5</x:v>
      </x:c>
      <x:c r="B34" s="6" t="s">
        <x:v>42</x:v>
      </x:c>
      <x:c r="C34" s="22" t="str">
        <x:f aca="0">"35 min skills"&amp;CHAR(10)&amp;Strategy!H29&amp;CHAR(10)&amp;"Core: 30 sec work / 20 sec rest each exercise."</x:f>
        <x:v>35 min skills
Light-band or strict muscle-up: 3 x 1, Stronger-band back-off muscle-up: 2 x 2, Unassisted pistol: 3 x 1/leg, Core: 5 rounds
Core: 30 sec work / 20 sec rest each exercise.</x:v>
      </x:c>
      <x:c r="D34" s="7" t="s">
        <x:v>197</x:v>
      </x:c>
      <x:c r="E34" s="7" t="n">
        <x:v>65</x:v>
      </x:c>
      <x:c r="F34" s="23"/>
      <x:c r="G34" s="23" t="s">
        <x:v>198</x:v>
      </x:c>
      <x:c r="H34" s="23"/>
      <x:c r="I34" s="23"/>
      <x:c r="J34" s="23"/>
      <x:c r="K34" s="23"/>
    </x:row>
    <x:row r="35" ht="84" hidden="0" customHeight="1">
      <x:c r="A35" s="10" t="n">
        <x:f aca="0">Strategy!$E$3+57</x:f>
        <x:v>46378.5</x:v>
      </x:c>
      <x:c r="B35" s="6" t="s">
        <x:v>50</x:v>
      </x:c>
      <x:c r="C35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35" s="7" t="s">
        <x:v>199</x:v>
      </x:c>
      <x:c r="E35" s="7" t="n">
        <x:v>10</x:v>
      </x:c>
      <x:c r="F35" s="23"/>
      <x:c r="G35" s="23" t="s">
        <x:v>198</x:v>
      </x:c>
      <x:c r="H35" s="23"/>
      <x:c r="I35" s="23"/>
      <x:c r="J35" s="23"/>
      <x:c r="K35" s="23"/>
    </x:row>
    <x:row r="36" ht="84" hidden="0" customHeight="1">
      <x:c r="A36" s="10" t="n">
        <x:f aca="0">Strategy!$E$3+59</x:f>
        <x:v>46380.5</x:v>
      </x:c>
      <x:c r="B36" s="6" t="s">
        <x:v>46</x:v>
      </x:c>
      <x:c r="C36" s="22" t="str">
        <x:f aca="0">"35 min skills"&amp;CHAR(10)&amp;Strategy!I29&amp;CHAR(10)&amp;"Core: 30 sec work / 20 sec rest each exercise."</x:f>
        <x:v>35 min skills
Full-ROM wall HSPU negative: 3 x 1, Partial wall HSPU: 3 x 3, Unassisted pistol: 3 x 1/leg, Core: 5 rounds
Core: 30 sec work / 20 sec rest each exercise.</x:v>
      </x:c>
      <x:c r="D36" s="7" t="s">
        <x:v>200</x:v>
      </x:c>
      <x:c r="E36" s="7" t="n">
        <x:v>65</x:v>
      </x:c>
      <x:c r="F36" s="23"/>
      <x:c r="G36" s="23" t="s">
        <x:v>198</x:v>
      </x:c>
      <x:c r="H36" s="23"/>
      <x:c r="I36" s="23"/>
      <x:c r="J36" s="23"/>
      <x:c r="K36" s="23"/>
    </x:row>
    <x:row r="37" ht="84" hidden="0" customHeight="1">
      <x:c r="A37" s="10" t="n">
        <x:f aca="0">Strategy!$E$3+61</x:f>
        <x:v>46382.5</x:v>
      </x:c>
      <x:c r="B37" s="6" t="s">
        <x:v>50</x:v>
      </x:c>
      <x:c r="C37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37" s="7" t="s">
        <x:v>201</x:v>
      </x:c>
      <x:c r="E37" s="7" t="n">
        <x:v>20</x:v>
      </x:c>
      <x:c r="F37" s="23"/>
      <x:c r="G37" s="23" t="s">
        <x:v>198</x:v>
      </x:c>
      <x:c r="H37" s="23"/>
      <x:c r="I37" s="23"/>
      <x:c r="J37" s="23"/>
      <x:c r="K37" s="23"/>
    </x:row>
    <x:row r="38" ht="84" hidden="0" customHeight="1">
      <x:c r="A38" s="10" t="n">
        <x:f aca="0">Strategy!$E$3+63</x:f>
        <x:v>46384.5</x:v>
      </x:c>
      <x:c r="B38" s="6" t="s">
        <x:v>42</x:v>
      </x:c>
      <x:c r="C38" s="22" t="str">
        <x:f aca="0">"35 min skills"&amp;CHAR(10)&amp;Strategy!H30&amp;CHAR(10)&amp;"Core: 30 sec work / 20 sec rest each exercise."</x:f>
        <x:v>35 min skills
Quality muscle-up attempts: 3-5 singles, Band-assisted muscle-up: 2 x 2, Pistol clusters: 3 x (1+1)/leg (20 sec between reps), Core: 5 rounds
Core: 30 sec work / 20 sec rest each exercise.</x:v>
      </x:c>
      <x:c r="D38" s="7" t="s">
        <x:v>197</x:v>
      </x:c>
      <x:c r="E38" s="7" t="n">
        <x:v>65</x:v>
      </x:c>
      <x:c r="F38" s="23"/>
      <x:c r="G38" s="23" t="s">
        <x:v>198</x:v>
      </x:c>
      <x:c r="H38" s="23"/>
      <x:c r="I38" s="23"/>
      <x:c r="J38" s="23"/>
      <x:c r="K38" s="23"/>
    </x:row>
    <x:row r="39" ht="84" hidden="0" customHeight="1">
      <x:c r="A39" s="10" t="n">
        <x:f aca="0">Strategy!$E$3+64</x:f>
        <x:v>46385.5</x:v>
      </x:c>
      <x:c r="B39" s="6" t="s">
        <x:v>50</x:v>
      </x:c>
      <x:c r="C39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39" s="7" t="s">
        <x:v>199</x:v>
      </x:c>
      <x:c r="E39" s="7" t="n">
        <x:v>10</x:v>
      </x:c>
      <x:c r="F39" s="23"/>
      <x:c r="G39" s="23" t="s">
        <x:v>198</x:v>
      </x:c>
      <x:c r="H39" s="23"/>
      <x:c r="I39" s="23"/>
      <x:c r="J39" s="23"/>
      <x:c r="K39" s="23"/>
    </x:row>
    <x:row r="40" ht="84" hidden="0" customHeight="1">
      <x:c r="A40" s="10" t="n">
        <x:f aca="0">Strategy!$E$3+66</x:f>
        <x:v>46387.5</x:v>
      </x:c>
      <x:c r="B40" s="6" t="s">
        <x:v>46</x:v>
      </x:c>
      <x:c r="C40" s="22" t="str">
        <x:f aca="0">"35 min skills"&amp;CHAR(10)&amp;Strategy!I30&amp;CHAR(10)&amp;"Core: 30 sec work / 20 sec rest each exercise."</x:f>
        <x:v>35 min skills
Wall HSPU clusters: 3 x (1+1) (20 sec between reps), Easy wall handstand: 2 x 20 sec, Pistol clusters: 3 x (1+1)/leg (20 sec between reps), Core: 5 rounds
Core: 30 sec work / 20 sec rest each exercise.</x:v>
      </x:c>
      <x:c r="D40" s="7" t="s">
        <x:v>200</x:v>
      </x:c>
      <x:c r="E40" s="7" t="n">
        <x:v>65</x:v>
      </x:c>
      <x:c r="F40" s="23"/>
      <x:c r="G40" s="23" t="s">
        <x:v>198</x:v>
      </x:c>
      <x:c r="H40" s="23"/>
      <x:c r="I40" s="23"/>
      <x:c r="J40" s="23"/>
      <x:c r="K40" s="23"/>
    </x:row>
    <x:row r="41" ht="84" hidden="0" customHeight="1">
      <x:c r="A41" s="10" t="n">
        <x:f aca="0">Strategy!$E$3+68</x:f>
        <x:v>46389.5</x:v>
      </x:c>
      <x:c r="B41" s="6" t="s">
        <x:v>50</x:v>
      </x:c>
      <x:c r="C41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41" s="7" t="s">
        <x:v>201</x:v>
      </x:c>
      <x:c r="E41" s="7" t="n">
        <x:v>20</x:v>
      </x:c>
      <x:c r="F41" s="23"/>
      <x:c r="G41" s="23" t="s">
        <x:v>198</x:v>
      </x:c>
      <x:c r="H41" s="23"/>
      <x:c r="I41" s="23"/>
      <x:c r="J41" s="23"/>
      <x:c r="K41" s="23"/>
    </x:row>
    <x:row r="42" ht="84" hidden="0" customHeight="1">
      <x:c r="A42" s="10" t="n">
        <x:f aca="0">Strategy!$E$3+70</x:f>
        <x:v>46391.5</x:v>
      </x:c>
      <x:c r="B42" s="6" t="s">
        <x:v>42</x:v>
      </x:c>
      <x:c r="C42" s="22" t="str">
        <x:f aca="0">"35 min skills"&amp;CHAR(10)&amp;Strategy!H31&amp;CHAR(10)&amp;"Core: 30 sec work / 20 sec rest each exercise."</x:f>
        <x:v>35 min skills
Quality muscle-up attempts: 3 singles, Crisp high pull: 3 x 2, Clean pistol: 3 x 2/leg, Core: 5 rounds
Core: 30 sec work / 20 sec rest each exercise.</x:v>
      </x:c>
      <x:c r="D42" s="7" t="s">
        <x:v>197</x:v>
      </x:c>
      <x:c r="E42" s="7" t="n">
        <x:v>65</x:v>
      </x:c>
      <x:c r="F42" s="23"/>
      <x:c r="G42" s="23" t="s">
        <x:v>198</x:v>
      </x:c>
      <x:c r="H42" s="23"/>
      <x:c r="I42" s="23"/>
      <x:c r="J42" s="23"/>
      <x:c r="K42" s="23"/>
    </x:row>
    <x:row r="43" ht="84" hidden="0" customHeight="1">
      <x:c r="A43" s="10" t="n">
        <x:f aca="0">Strategy!$E$3+71</x:f>
        <x:v>46392.5</x:v>
      </x:c>
      <x:c r="B43" s="6" t="s">
        <x:v>50</x:v>
      </x:c>
      <x:c r="C43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43" s="7" t="s">
        <x:v>199</x:v>
      </x:c>
      <x:c r="E43" s="7" t="n">
        <x:v>10</x:v>
      </x:c>
      <x:c r="F43" s="23"/>
      <x:c r="G43" s="23" t="s">
        <x:v>198</x:v>
      </x:c>
      <x:c r="H43" s="23"/>
      <x:c r="I43" s="23"/>
      <x:c r="J43" s="23"/>
      <x:c r="K43" s="23"/>
    </x:row>
    <x:row r="44" ht="84" hidden="0" customHeight="1">
      <x:c r="A44" s="10" t="n">
        <x:f aca="0">Strategy!$E$3+73</x:f>
        <x:v>46394.5</x:v>
      </x:c>
      <x:c r="B44" s="6" t="s">
        <x:v>46</x:v>
      </x:c>
      <x:c r="C44" s="22" t="str">
        <x:f aca="0">"35 min skills"&amp;CHAR(10)&amp;Strategy!I31&amp;CHAR(10)&amp;"Core: 30 sec work / 20 sec rest each exercise."</x:f>
        <x:v>35 min skills
Full-ROM wall HSPU: 3 single attempts, Pike push-up back-off: 2 x 4, Clean pistol: 3 x 2/leg, Core: 5 rounds
Core: 30 sec work / 20 sec rest each exercise.</x:v>
      </x:c>
      <x:c r="D44" s="7" t="s">
        <x:v>200</x:v>
      </x:c>
      <x:c r="E44" s="7" t="n">
        <x:v>65</x:v>
      </x:c>
      <x:c r="F44" s="23"/>
      <x:c r="G44" s="23" t="s">
        <x:v>198</x:v>
      </x:c>
      <x:c r="H44" s="23"/>
      <x:c r="I44" s="23"/>
      <x:c r="J44" s="23"/>
      <x:c r="K44" s="23"/>
    </x:row>
    <x:row r="45" ht="84" hidden="0" customHeight="1">
      <x:c r="A45" s="10" t="n">
        <x:f aca="0">Strategy!$E$3+75</x:f>
        <x:v>46396.5</x:v>
      </x:c>
      <x:c r="B45" s="6" t="s">
        <x:v>50</x:v>
      </x:c>
      <x:c r="C45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45" s="7" t="s">
        <x:v>201</x:v>
      </x:c>
      <x:c r="E45" s="7" t="n">
        <x:v>20</x:v>
      </x:c>
      <x:c r="F45" s="23"/>
      <x:c r="G45" s="23" t="s">
        <x:v>198</x:v>
      </x:c>
      <x:c r="H45" s="23"/>
      <x:c r="I45" s="23"/>
      <x:c r="J45" s="23"/>
      <x:c r="K45" s="23"/>
    </x:row>
    <x:row r="46" ht="84" hidden="0" customHeight="1">
      <x:c r="A46" s="10" t="n">
        <x:f aca="0">Strategy!$E$3+77</x:f>
        <x:v>46398.5</x:v>
      </x:c>
      <x:c r="B46" s="6" t="s">
        <x:v>42</x:v>
      </x:c>
      <x:c r="C46" s="22" t="str">
        <x:f aca="0">"10 min skills"&amp;CHAR(10)&amp;Strategy!H32&amp;CHAR(10)&amp;"Core: 30 sec work / 20 sec rest each exercise."</x:f>
        <x:v>10 min skills
Muscle-up test: up to 3 rested singles, Pistol test: 1 clean set/leg (cap at 5), Easy scapular pull-up: 1 x 5 if time remains, Core: 2 rounds
Core: 30 sec work / 20 sec rest each exercise.</x:v>
      </x:c>
      <x:c r="D46" s="7" t="s">
        <x:v>197</x:v>
      </x:c>
      <x:c r="E46" s="7" t="n">
        <x:v>30</x:v>
      </x:c>
      <x:c r="F46" s="23"/>
      <x:c r="G46" s="23" t="s">
        <x:v>198</x:v>
      </x:c>
      <x:c r="H46" s="23"/>
      <x:c r="I46" s="23"/>
      <x:c r="J46" s="23"/>
      <x:c r="K46" s="23"/>
    </x:row>
    <x:row r="47" ht="84" hidden="0" customHeight="1">
      <x:c r="A47" s="10" t="n">
        <x:f aca="0">Strategy!$E$3+78</x:f>
        <x:v>46399.5</x:v>
      </x:c>
      <x:c r="B47" s="6" t="s">
        <x:v>50</x:v>
      </x:c>
      <x:c r="C47" s="22" t="str">
        <x:f aca="0">"5 min easy technique"&amp;CHAR(10)&amp;"Wrist/shoulder mobility: 1 min"&amp;CHAR(10)&amp;"Easy chest-to-wall hold: 2 x 10 sec"&amp;CHAR(10)&amp;"Wall handstand line drill: 1 x 10 sec"</x:f>
        <x:v>5 min easy technique
Wrist/shoulder mobility: 1 min
Easy chest-to-wall hold: 2 x 10 sec
Wall handstand line drill: 1 x 10 sec</x:v>
      </x:c>
      <x:c r="D47" s="7" t="s">
        <x:v>199</x:v>
      </x:c>
      <x:c r="E47" s="7" t="n">
        <x:v>5</x:v>
      </x:c>
      <x:c r="F47" s="23"/>
      <x:c r="G47" s="23" t="s">
        <x:v>198</x:v>
      </x:c>
      <x:c r="H47" s="23"/>
      <x:c r="I47" s="23"/>
      <x:c r="J47" s="23"/>
      <x:c r="K47" s="23"/>
    </x:row>
    <x:row r="48" ht="84" hidden="0" customHeight="1">
      <x:c r="A48" s="10" t="n">
        <x:f aca="0">Strategy!$E$3+80</x:f>
        <x:v>46401.5</x:v>
      </x:c>
      <x:c r="B48" s="6" t="s">
        <x:v>46</x:v>
      </x:c>
      <x:c r="C48" s="22" t="str">
        <x:f aca="0">"10 min skills"&amp;CHAR(10)&amp;Strategy!I32&amp;CHAR(10)&amp;"Core: 30 sec work / 20 sec rest each exercise."</x:f>
        <x:v>10 min skills
Wall HSPU test: 1 clean set (cap at 5), Easy wall handstand: 1 x 15 sec, Gentle wrist/shoulder mobility: 2 min, Core: 2 rounds
Core: 30 sec work / 20 sec rest each exercise.</x:v>
      </x:c>
      <x:c r="D48" s="7" t="s">
        <x:v>202</x:v>
      </x:c>
      <x:c r="E48" s="7" t="n">
        <x:v>30</x:v>
      </x:c>
      <x:c r="F48" s="23"/>
      <x:c r="G48" s="23" t="s">
        <x:v>198</x:v>
      </x:c>
      <x:c r="H48" s="23"/>
      <x:c r="I48" s="23"/>
      <x:c r="J48" s="23"/>
      <x:c r="K48" s="23"/>
    </x:row>
    <x:row r="49" ht="84" hidden="0" customHeight="1">
      <x:c r="A49" s="10" t="n">
        <x:f aca="0">Strategy!$E$3+82</x:f>
        <x:v>46403.5</x:v>
      </x:c>
      <x:c r="B49" s="6" t="s">
        <x:v>50</x:v>
      </x:c>
      <x:c r="C49" s="22" t="str">
        <x:f aca="0">"10 min easy technique"&amp;CHAR(10)&amp;"Wrist/shoulder mobility: 1 min"&amp;CHAR(10)&amp;"Easy chest-to-wall hold: 2 x 10 sec"&amp;CHAR(10)&amp;"Wall handstand line drill: 1 x 10 sec"</x:f>
        <x:v>10 min easy technique
Wrist/shoulder mobility: 1 min
Easy chest-to-wall hold: 2 x 10 sec
Wall handstand line drill: 1 x 10 sec</x:v>
      </x:c>
      <x:c r="D49" s="7" t="s">
        <x:v>201</x:v>
      </x:c>
      <x:c r="E49" s="7" t="n">
        <x:v>10</x:v>
      </x:c>
      <x:c r="F49" s="23"/>
      <x:c r="G49" s="23" t="s">
        <x:v>198</x:v>
      </x:c>
      <x:c r="H49" s="23"/>
      <x:c r="I49" s="23"/>
      <x:c r="J49" s="23"/>
      <x:c r="K49" s="23"/>
    </x:row>
  </x:sheetData>
  <x:conditionalFormatting sqref="G2:G49">
    <x:cfRule type="containsText" dxfId="4" priority="2" aboveAverage="0" percent="0" bottom="0" operator="containsText" text="completed" rank="0" equalAverage="0">
      <x:formula>NOT(ISERROR(SEARCH("completed",G2)))</x:formula>
    </x:cfRule>
  </x:conditionalFormatting>
  <x:dataValidations count="2">
    <x:dataValidation type="list" errorStyle="stop" operator="between" allowBlank="0" showDropDown="0" showInputMessage="0" showErrorMessage="0" sqref="G2:G49">
      <x:formula1>"planned,in-progress,completed,incomplete,skipped,cancelled"</x:formula1>
      <x:formula2>0</x:formula2>
    </x:dataValidation>
    <x:dataValidation type="list" errorStyle="stop" operator="between" allowBlank="0" showDropDown="0" showInputMessage="0" showErrorMessage="0" sqref="B2:B133">
      <x:formula1>"A,B,Technique,Core,Empty"</x:formula1>
      <x:formula2>0</x:formula2>
    </x:dataValidation>
  </x:dataValidations>
  <x:pageMargins left="0.7" right="0.7" top="0.75" bottom="0.75" header="0.3" footer="0.3"/>
</x:worksheet>
</file>
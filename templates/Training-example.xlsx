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3437b325a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ategy" sheetId="1" r:id="Rc170a79f441e4aff"/>
    <x:sheet xmlns:r="http://schemas.openxmlformats.org/officeDocument/2006/relationships" name="Recurring" sheetId="2" r:id="R8e03c013c31f45d2"/>
    <x:sheet xmlns:r="http://schemas.openxmlformats.org/officeDocument/2006/relationships" name="Daily" sheetId="3" r:id="R4a2d43ce51554aff"/>
    <x:sheet xmlns:r="http://schemas.openxmlformats.org/officeDocument/2006/relationships" name="Scoring" sheetId="4" r:id="R47a77be76529491a"/>
    <x:sheet xmlns:r="http://schemas.openxmlformats.org/officeDocument/2006/relationships" name="Library" sheetId="5" r:id="Ra5adeda67f06414b"/>
    <x:sheet xmlns:r="http://schemas.openxmlformats.org/officeDocument/2006/relationships" name="Loads" sheetId="6" r:id="R33c7eb7cfbe74058"/>
  </x:sheets>
</x:workbook>
</file>

<file path=xl/sharedStrings.xml><?xml version="1.0" encoding="utf-8"?>
<x:sst xmlns:x="http://schemas.openxmlformats.org/spreadsheetml/2006/main">
  <x:si>
    <x:t xml:space="preserve">Plan</x:t>
  </x:si>
  <x:si>
    <x:t xml:space="preserve">schema_version</x:t>
  </x:si>
  <x:si>
    <x:t xml:space="preserve">plan_id</x:t>
  </x:si>
  <x:si>
    <x:t xml:space="preserve">plan_name</x:t>
  </x:si>
  <x:si>
    <x:t xml:space="preserve">timezone</x:t>
  </x:si>
  <x:si>
    <x:t xml:space="preserve">start_date</x:t>
  </x:si>
  <x:si>
    <x:t xml:space="preserve">1</x:t>
  </x:si>
  <x:si>
    <x:t xml:space="preserve">my-training</x:t>
  </x:si>
  <x:si>
    <x:t xml:space="preserve">12-week hybrid plan</x:t>
  </x:si>
  <x:si>
    <x:t xml:space="preserve">Europe/Berlin</x:t>
  </x:si>
  <x:si>
    <x:t xml:space="preserve">Goals</x:t>
  </x:si>
  <x:si>
    <x:t xml:space="preserve">goal_id</x:t>
  </x:si>
  <x:si>
    <x:t xml:space="preserve">title</x:t>
  </x:si>
  <x:si>
    <x:t xml:space="preserve">benchmark</x:t>
  </x:si>
  <x:si>
    <x:t xml:space="preserve">baseline</x:t>
  </x:si>
  <x:si>
    <x:t xml:space="preserve">test</x:t>
  </x:si>
  <x:si>
    <x:t xml:space="preserve">category</x:t>
  </x:si>
  <x:si>
    <x:t xml:space="preserve">result_column</x:t>
  </x:si>
  <x:si>
    <x:t xml:space="preserve">garmin_types</x:t>
  </x:si>
  <x:si>
    <x:t xml:space="preserve">muscle-up</x:t>
  </x:si>
  <x:si>
    <x:t xml:space="preserve">Muscle-up</x:t>
  </x:si>
  <x:si>
    <x:t xml:space="preserve">Band-assisted or first strict rep</x:t>
  </x:si>
  <x:si>
    <x:t xml:space="preserve">7 pull-ups reported; confirm strict form. Muscle-up baseline not established.</x:t>
  </x:si>
  <x:si>
    <x:t xml:space="preserve">Record assistance and controlled full movement</x:t>
  </x:si>
  <x:si>
    <x:t xml:space="preserve">milestone</x:t>
  </x:si>
  <x:si>
    <x:t xml:space="preserve">Muscle-up result</x:t>
  </x:si>
  <x:si>
    <x:t xml:space="preserve">hspu</x:t>
  </x:si>
  <x:si>
    <x:t xml:space="preserve">Handstand push-up</x:t>
  </x:si>
  <x:si>
    <x:t xml:space="preserve">3–5 controlled wall reps or deep negatives</x:t>
  </x:si>
  <x:si>
    <x:t xml:space="preserve">Not established</x:t>
  </x:si>
  <x:si>
    <x:t xml:space="preserve">Chest-to-wall, full lockout</x:t>
  </x:si>
  <x:si>
    <x:t xml:space="preserve">HSPU result</x:t>
  </x:si>
  <x:si>
    <x:t xml:space="preserve">pistol</x:t>
  </x:si>
  <x:si>
    <x:t xml:space="preserve">Pistol squat</x:t>
  </x:si>
  <x:si>
    <x:t xml:space="preserve">3–5 clean reps per leg</x:t>
  </x:si>
  <x:si>
    <x:t xml:space="preserve">Heel down, controlled depth</x:t>
  </x:si>
  <x:si>
    <x:t xml:space="preserve">Pistol result</x:t>
  </x:si>
  <x:si>
    <x:t xml:space="preserve">running</x:t>
  </x:si>
  <x:si>
    <x:t xml:space="preserve">Running</x:t>
  </x:si>
  <x:si>
    <x:t xml:space="preserve">Maintain or improve 12 km pace</x:t>
  </x:si>
  <x:si>
    <x:t xml:space="preserve">12 km at 5:00/km (reported)</x:t>
  </x:si>
  <x:si>
    <x:t xml:space="preserve">12 km steady test in week 12</x:t>
  </x:si>
  <x:si>
    <x:t xml:space="preserve">maintenance</x:t>
  </x:si>
  <x:si>
    <x:t xml:space="preserve">swimming</x:t>
  </x:si>
  <x:si>
    <x:t xml:space="preserve">Swimming</x:t>
  </x:si>
  <x:si>
    <x:t xml:space="preserve">Maintain regular swimming</x:t>
  </x:si>
  <x:si>
    <x:t xml:space="preserve">3 fixed 60 min guided swims/week; optional fourth (reported routine)</x:t>
  </x:si>
  <x:si>
    <x:t xml:space="preserve">Record duration and distance for comparable swims</x:t>
  </x:si>
  <x:si>
    <x:t xml:space="preserve">Parts</x:t>
  </x:si>
  <x:si>
    <x:t xml:space="preserve">part_id</x:t>
  </x:si>
  <x:si>
    <x:t xml:space="preserve">version</x:t>
  </x:si>
  <x:si>
    <x:t xml:space="preserve">prescription</x:t>
  </x:si>
  <x:si>
    <x:t xml:space="preserve">goal_ids</x:t>
  </x:si>
  <x:si>
    <x:t xml:space="preserve">A</x:t>
  </x:si>
  <x:si>
    <x:t xml:space="preserve">Skills A</x:t>
  </x:si>
  <x:si>
    <x:t xml:space="preserve">muscle-up, pistol</x:t>
  </x:si>
  <x:si>
    <x:t xml:space="preserve">B</x:t>
  </x:si>
  <x:si>
    <x:t xml:space="preserve">Skills B</x:t>
  </x:si>
  <x:si>
    <x:t xml:space="preserve">hspu, pistol</x:t>
  </x:si>
  <x:si>
    <x:t xml:space="preserve">Technique</x:t>
  </x:si>
  <x:si>
    <x:t xml:space="preserve">Light technique</x:t>
  </x:si>
  <x:si>
    <x:t xml:space="preserve">Follow the easy technique session in Daily. A/B/C label its three exercises.</x:t>
  </x:si>
  <x:si>
    <x:t xml:space="preserve">muscle-up, hspu, pistol</x:t>
  </x:si>
  <x:si>
    <x:t xml:space="preserve">Week plans</x:t>
  </x:si>
  <x:si>
    <x:t xml:space="preserve">Week</x:t>
  </x:si>
  <x:si>
    <x:t xml:space="preserve">Start</x:t>
  </x:si>
  <x:si>
    <x:t xml:space="preserve">Phase</x:t>
  </x:si>
  <x:si>
    <x:t xml:space="preserve">Focus</x:t>
  </x:si>
  <x:si>
    <x:t xml:space="preserve">Targets</x:t>
  </x:si>
  <x:si>
    <x:t xml:space="preserve">Advance when</x:t>
  </x:si>
  <x:si>
    <x:t xml:space="preserve">Minutes</x:t>
  </x:si>
  <x:si>
    <x:t xml:space="preserve">Foundation</x:t>
  </x:si>
  <x:si>
    <x:t xml:space="preserve">35 min skills before each circuit; leave reps in reserve</x:t>
  </x:si>
  <x:si>
    <x:t xml:space="preserve">Muscle-up: Scapular pulls + chest-to-bar intent; HSPU: Chest-to-wall hold + pike push-up; Pistol: Box pistol + ankle mobility</x:t>
  </x:si>
  <x:si>
    <x:t xml:space="preserve">Review recorded results and comfort. Repeat or adjust the week if needed.</x:t>
  </x:si>
  <x:si>
    <x:t xml:space="preserve">Muscle-up: Band transition drill + high pull; HSPU: Wall hold + elevated pike push-up; Pistol: Lower box pistol + counterweight</x:t>
  </x:si>
  <x:si>
    <x:t xml:space="preserve">Muscle-up: Explosive pull + low-bar transition; HSPU: Wall negative + pike push-up; Pistol: Assisted pistol to depth</x:t>
  </x:si>
  <x:si>
    <x:t xml:space="preserve">Deload</x:t>
  </x:si>
  <x:si>
    <x:t xml:space="preserve">3 rounds; skip optional strength</x:t>
  </x:si>
  <x:si>
    <x:t xml:space="preserve">Muscle-up: Easy technique only; HSPU: Easy holds + mobility; Pistol: Easy assisted reps</x:t>
  </x:si>
  <x:si>
    <x:t xml:space="preserve">Build</x:t>
  </x:si>
  <x:si>
    <x:t xml:space="preserve">Muscle-up: Chest-to-bar + band muscle-up; HSPU: Deficit pike + wall negative; Pistol: Counterweight pistol</x:t>
  </x:si>
  <x:si>
    <x:t xml:space="preserve">Muscle-up: Jumping muscle-up + slow transition; HSPU: Partial wall HSPU + negative; Pistol: Light counterweight pistol</x:t>
  </x:si>
  <x:si>
    <x:t xml:space="preserve">Muscle-up: Light-band muscle-up singles; HSPU: Deeper wall HSPU; Pistol: Unassisted singles to target</x:t>
  </x:si>
  <x:si>
    <x:t xml:space="preserve">Muscle-up: Easy high pulls + transitions; HSPU: Easy holds + pike reps; Pistol: Assisted smooth reps</x:t>
  </x:si>
  <x:si>
    <x:t xml:space="preserve">Specific</x:t>
  </x:si>
  <x:si>
    <x:t xml:space="preserve">Muscle-up: Light-band or strict attempts, then back-off; HSPU: Full-ROM negatives + partial reps; Pistol: Unassisted singles</x:t>
  </x:si>
  <x:si>
    <x:t xml:space="preserve">Muscle-up: 3-5 quality attempts + band reps; HSPU: Wall HSPU clusters; Pistol: Pistol clusters</x:t>
  </x:si>
  <x:si>
    <x:t xml:space="preserve">Muscle-up: 3 quality attempts + crisp high pulls; HSPU: Full-ROM attempts + back-off; Pistol: Sets of clean pistols</x:t>
  </x:si>
  <x:si>
    <x:t xml:space="preserve">Test</x:t>
  </x:si>
  <x:si>
    <x:t xml:space="preserve">2 easy rounds; tests replace extras</x:t>
  </x:si>
  <x:si>
    <x:t xml:space="preserve">Muscle-up: Test after warm-up; HSPU: Test after warm-up; Pistol: Test after warm-up</x:t>
  </x:si>
  <x:si>
    <x:t xml:space="preserve">Weekly schedule</x:t>
  </x:si>
  <x:si>
    <x:t xml:space="preserve">Day</x:t>
  </x:si>
  <x:si>
    <x:t xml:space="preserve">Time Start</x:t>
  </x:si>
  <x:si>
    <x:t xml:space="preserve">Time End</x:t>
  </x:si>
  <x:si>
    <x:t xml:space="preserve">Activity</x:t>
  </x:si>
  <x:si>
    <x:t xml:space="preserve">Recorded by</x:t>
  </x:si>
  <x:si>
    <x:t xml:space="preserve">Notes</x:t>
  </x:si>
  <x:si>
    <x:t xml:space="preserve">Monday</x:t>
  </x:si>
  <x:si>
    <x:t xml:space="preserve">Tuesday</x:t>
  </x:si>
  <x:si>
    <x:t xml:space="preserve">Tracker</x:t>
  </x:si>
  <x:si>
    <x:t xml:space="preserve">Regular weekly swim training</x:t>
  </x:si>
  <x:si>
    <x:t xml:space="preserve">Wednesday</x:t>
  </x:si>
  <x:si>
    <x:t xml:space="preserve">Thursday</x:t>
  </x:si>
  <x:si>
    <x:t xml:space="preserve">Friday</x:t>
  </x:si>
  <x:si>
    <x:t xml:space="preserve">Saturday</x:t>
  </x:si>
  <x:si>
    <x:t xml:space="preserve">Sunday</x:t>
  </x:si>
  <x:si>
    <x:t xml:space="preserve">Regular weekly run</x:t>
  </x:si>
  <x:si>
    <x:t xml:space="preserve">C</x:t>
  </x:si>
  <x:si>
    <x:t xml:space="preserve">Date</x:t>
  </x:si>
  <x:si>
    <x:t xml:space="preserve">Block</x:t>
  </x:si>
  <x:si>
    <x:t xml:space="preserve">Title</x:t>
  </x:si>
  <x:si>
    <x:t xml:space="preserve">Planned minutes</x:t>
  </x:si>
  <x:si>
    <x:t xml:space="preserve">Actual minutes</x:t>
  </x:si>
  <x:si>
    <x:t xml:space="preserve">Status</x:t>
  </x:si>
  <x:si>
    <x:t xml:space="preserve">Done</x:t>
  </x:si>
  <x:si>
    <x:t xml:space="preserve">planned</x:t>
  </x:si>
  <x:si>
    <x:t xml:space="preserve">10 min easy technique
A) Wrist/shoulder mobility: 2 min
B) Easy chest-to-wall hold: 3 x 15 sec
C) Wall handstand line drill: 2 x 15 sec</x:t>
  </x:si>
  <x:si>
    <x:t xml:space="preserve">Handstand technique</x:t>
  </x:si>
  <x:si>
    <x:t xml:space="preserve">20 min easy technique
A) Wrist/shoulder mobility: 2 min
B) Easy chest-to-wall hold: 3 x 15 sec
C) Wall handstand line drill: 3 x 15 sec</x:t>
  </x:si>
  <x:si>
    <x:t xml:space="preserve">Skill micro-session</x:t>
  </x:si>
  <x:si>
    <x:t xml:space="preserve">5 min easy technique
A) Wrist/shoulder mobility: 1 min
B) Easy chest-to-wall hold: 2 x 10 sec
C) Wall handstand line drill: 1 x 10 sec</x:t>
  </x:si>
  <x:si>
    <x:t xml:space="preserve">10 min easy technique
A) Wrist/shoulder mobility: 1 min
B) Easy chest-to-wall hold: 2 x 10 sec
C) Wall handstand line drill: 1 x 10 sec</x:t>
  </x:si>
</x:sst>
</file>

<file path=xl/styles.xml><?xml version="1.0" encoding="utf-8"?>
<x:styleSheet xmlns:x="http://schemas.openxmlformats.org/spreadsheetml/2006/main">
  <x:numFmts count="21">
    <x:numFmt numFmtId="164" formatCode="General"/>
    <x:numFmt numFmtId="165" formatCode="_-* #,##0.00\ _€_-;\-* #,##0.00\ _€_-;_-* \-??\ _€_-;_-@_-"/>
    <x:numFmt numFmtId="166" formatCode="_-* #,##0.00\ _€_-;\-* #,##0.00\ _€_-;_-* \-??\ _€_-;_-@_-"/>
    <x:numFmt numFmtId="167" formatCode="_-* #,##0\ _€_-;\-* #,##0\ _€_-;_-* &quot;- &quot;_€_-;_-@_-"/>
    <x:numFmt numFmtId="168" formatCode="_-* #,##0\ _€_-;\-* #,##0\ _€_-;_-* &quot;- &quot;_€_-;_-@_-"/>
    <x:numFmt numFmtId="169" formatCode="_-* #,##0.00&quot; €&quot;_-;\-* #,##0.00&quot; €&quot;_-;_-* \-??&quot; €&quot;_-;_-@_-"/>
    <x:numFmt numFmtId="170" formatCode="_-* #,##0.00&quot; €&quot;_-;\-* #,##0.00&quot; €&quot;_-;_-* \-??&quot; €&quot;_-;_-@_-"/>
    <x:numFmt numFmtId="171" formatCode="_-* #,##0&quot; €&quot;_-;\-* #,##0&quot; €&quot;_-;_-* &quot;- €&quot;_-;_-@_-"/>
    <x:numFmt numFmtId="172" formatCode="_-* #,##0&quot; €&quot;_-;\-* #,##0&quot; €&quot;_-;_-* &quot;- €&quot;_-;_-@_-"/>
    <x:numFmt numFmtId="173" formatCode="0\ %"/>
    <x:numFmt numFmtId="174" formatCode="0\ %"/>
    <x:numFmt numFmtId="175" formatCode="yyyy\-mm\-dd"/>
    <x:numFmt numFmtId="176" formatCode="hh:mm"/>
    <x:numFmt numFmtId="177" formatCode="0"/>
    <x:numFmt numFmtId="200" formatCode="mm:ss"/>
    <x:numFmt numFmtId="201" formatCode="yyyy-mm-dd"/>
    <x:numFmt numFmtId="202" formatCode="0.0"/>
    <x:numFmt numFmtId="203" formatCode="0.00"/>
    <x:numFmt numFmtId="204" formatCode="0.0%"/>
    <x:numFmt numFmtId="205" formatCode="0.0;-0.0;;@"/>
    <x:numFmt numFmtId="206" formatCode="0.0%;-0.0%;;@"/>
  </x:numFmts>
  <x:fonts count="35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  <x:family val="2"/>
    </x:font>
    <x:font>
      <x:sz val="11"/>
      <x:name val="Calibri"/>
    </x:font>
    <x:font>
      <x:b/>
      <x:sz val="10"/>
      <x:color rgb="FF243247"/>
      <x:name val="Arial"/>
    </x:font>
    <x:font>
      <x:sz val="10"/>
      <x:color rgb="FF243247"/>
      <x:name val="Arial"/>
    </x:font>
    <x:font>
      <x:sz val="10"/>
      <x:color rgb="FF243247"/>
      <x:name val="Arial"/>
      <x:family val="2"/>
    </x:font>
    <x:font>
      <x:b/>
      <x:sz val="10"/>
      <x:color rgb="FFFFFFFF"/>
      <x:name val="Arial"/>
    </x:font>
    <x:font>
      <x:b/>
      <x:sz val="10"/>
      <x:color rgb="FF243247"/>
      <x:name val="Arial"/>
      <x:family val="2"/>
    </x:font>
    <x:font>
      <x:b/>
      <x:sz val="13"/>
      <x:color rgb="FFFFFFFF"/>
      <x:name val="Arial"/>
      <x:family val="2"/>
    </x:font>
    <x:font>
      <x:b/>
      <x:sz val="10"/>
      <x:color rgb="FFFFFFFF"/>
      <x:name val="Arial"/>
      <x:family val="2"/>
    </x:font>
    <x:font>
      <x:b/>
      <x:sz val="10"/>
      <x:color rgb="FF334155"/>
      <x:name val="Arial"/>
    </x:font>
    <x:font>
      <x:sz val="10"/>
      <x:color rgb="FF334155"/>
      <x:name val="Arial"/>
    </x:font>
    <x:font>
      <x:sz val="10"/>
      <x:color rgb="FF334155"/>
      <x:name val="Arial"/>
      <x:family val="2"/>
    </x:font>
    <x:font>
      <x:b/>
      <x:sz val="10"/>
      <x:color rgb="FF334155"/>
      <x:name val="Arial"/>
      <x:family val="2"/>
    </x:font>
    <x:font>
      <x:b/>
      <x:sz val="10"/>
      <x:color rgb="FF475569"/>
      <x:name val="Arial"/>
    </x:font>
    <x:font>
      <x:b/>
      <x:sz val="10"/>
      <x:color rgb="FF355A4B"/>
      <x:name val="Arial"/>
    </x:font>
    <x:font>
      <x:b/>
      <x:sz val="11"/>
      <x:color rgb="FF334155"/>
      <x:name val="Arial"/>
      <x:family val="2"/>
    </x:font>
    <x:font>
      <x:b/>
      <x:sz val="10"/>
      <x:color rgb="FF475569"/>
      <x:name val="Arial"/>
      <x:family val="2"/>
    </x:font>
    <x:font>
      <x:sz val="10"/>
      <x:color rgb="FF64748B"/>
      <x:name val="Arial"/>
      <x:family val="2"/>
    </x:font>
    <x:font>
      <x:sz val="10"/>
      <x:color rgb="FF334155"/>
      <x:name val="Arial"/>
    </x:font>
    <x:font>
      <x:sz val="10"/>
      <x:color rgb="FF334155"/>
      <x:name val="Arial"/>
      <x:family val="2"/>
    </x:font>
    <x:font>
      <x:b/>
      <x:sz val="10"/>
      <x:color rgb="FF334D45"/>
      <x:name val="Arial"/>
    </x:font>
    <x:font>
      <x:b/>
      <x:sz val="10"/>
      <x:color rgb="FF334D45"/>
      <x:name val="Arial"/>
      <x:family val="2"/>
    </x:font>
    <x:font>
      <x:b/>
      <x:sz val="14"/>
      <x:color rgb="FF334155"/>
      <x:name val="Arial"/>
      <x:family val="2"/>
    </x:font>
    <x:font>
      <x:sz val="10"/>
      <x:color rgb="FF475569"/>
      <x:name val="Arial"/>
      <x:family val="2"/>
    </x:font>
    <x:font>
      <x:b/>
      <x:sz val="12"/>
      <x:color rgb="FF334155"/>
      <x:name val="Arial"/>
      <x:family val="2"/>
    </x:font>
    <x:font>
      <x:sz val="10"/>
      <x:color rgb="FF253442"/>
      <x:name val="Arial"/>
      <x:family val="2"/>
    </x:font>
    <x:font>
      <x:sz val="11"/>
      <x:color rgb="FF263343"/>
      <x:name val="Arial"/>
      <x:family val="2"/>
    </x:font>
    <x:font>
      <x:b/>
      <x:sz val="11"/>
      <x:color rgb="FF33465B"/>
      <x:name val="Arial"/>
      <x:family val="2"/>
    </x:font>
    <x:font>
      <x:b/>
      <x:sz val="11"/>
      <x:color rgb="FF263343"/>
      <x:name val="Arial"/>
      <x:family val="2"/>
    </x:font>
    <x:font>
      <x:b/>
      <x:sz val="10"/>
      <x:name val="Arial"/>
      <x:family val="2"/>
    </x:font>
  </x:fonts>
  <x:fills count="62">
    <x:fill>
      <x:patternFill patternType="none"/>
    </x:fill>
    <x:fill>
      <x:patternFill patternType="gray125"/>
    </x:fill>
    <x:fill>
      <x:patternFill patternType="solid">
        <x:fgColor rgb="FFD9E3EF"/>
      </x:patternFill>
    </x:fill>
    <x:fill>
      <x:patternFill patternType="solid">
        <x:fgColor rgb="FF33465E"/>
      </x:patternFill>
    </x:fill>
    <x:fill>
      <x:patternFill patternType="solid">
        <x:fgColor rgb="FFE8EFF8"/>
      </x:patternFill>
    </x:fill>
    <x:fill>
      <x:patternFill patternType="solid">
        <x:fgColor rgb="FFFFF4D6"/>
      </x:patternFill>
    </x:fill>
    <x:fill>
      <x:patternFill patternType="solid">
        <x:fgColor rgb="FFF0F2F5"/>
      </x:patternFill>
    </x:fill>
    <x:fill>
      <x:patternFill patternType="solid">
        <x:fgColor rgb="FFE6ECF3"/>
      </x:patternFill>
    </x:fill>
    <x:fill>
      <x:patternFill patternType="solid">
        <x:fgColor rgb="FFE8F3EC"/>
      </x:patternFill>
    </x:fill>
    <x:fill>
      <x:patternFill patternType="solid">
        <x:fgColor rgb="FFFFF4D5"/>
      </x:patternFill>
    </x:fill>
    <x:fill>
      <x:patternFill patternType="solid">
        <x:fgColor rgb="FFFFFFFF"/>
      </x:patternFill>
    </x:fill>
    <x:fill>
      <x:patternFill patternType="solid">
        <x:fgColor rgb="FFF5F7F8"/>
      </x:patternFill>
    </x:fill>
    <x:fill>
      <x:patternFill patternType="solid">
        <x:fgColor rgb="FFE7EDEE"/>
      </x:patternFill>
    </x:fill>
    <x:fill>
      <x:patternFill patternType="solid">
        <x:fgColor rgb="FFF0F3F4"/>
      </x:patternFill>
    </x:fill>
    <x:fill>
      <x:patternFill patternType="solid">
        <x:fgColor rgb="FFEFF5F1"/>
      </x:patternFill>
    </x:fill>
    <x:fill>
      <x:patternFill patternType="solid">
        <x:fgColor rgb="FFDDEBE4"/>
      </x:patternFill>
    </x:fill>
    <x:fill>
      <x:patternFill patternType="solid">
        <x:fgColor rgb="FFE4EAF0"/>
      </x:patternFill>
    </x:fill>
    <x:fill>
      <x:patternFill patternType="solid">
        <x:fgColor rgb="FFFFFFFF"/>
      </x:patternFill>
    </x:fill>
    <x:fill>
      <x:patternFill patternType="solid">
        <x:fgColor rgb="FFF7F9FA"/>
      </x:patternFill>
    </x:fill>
    <x:fill>
      <x:patternFill patternType="solid">
        <x:fgColor rgb="FFE6ECEA"/>
      </x:patternFill>
    </x:fill>
    <x:fill>
      <x:patternFill patternType="solid">
        <x:fgColor rgb="FFF0F3F4"/>
      </x:patternFill>
    </x:fill>
    <x:fill>
      <x:patternFill patternType="solid">
        <x:fgColor rgb="FFDCEAE3"/>
      </x:patternFill>
    </x:fill>
    <x:fill>
      <x:patternFill patternType="solid">
        <x:fgColor rgb="FFE4EAF0"/>
      </x:patternFill>
    </x:fill>
    <x:fill>
      <x:patternFill patternType="solid">
        <x:fgColor rgb="FFEAF3ED"/>
      </x:patternFill>
    </x:fill>
    <x:fill>
      <x:patternFill patternType="solid">
        <x:fgColor rgb="FFEAF3ED"/>
      </x:patternFill>
    </x:fill>
    <x:fill>
      <x:patternFill patternType="solid">
        <x:fgColor rgb="FFF4F9F5"/>
      </x:patternFill>
    </x:fill>
    <x:fill>
      <x:patternFill patternType="solid">
        <x:fgColor rgb="FFF7F9FA"/>
      </x:patternFill>
    </x:fill>
    <x:fill>
      <x:patternFill patternType="solid">
        <x:fgColor rgb="FFEAF3ED"/>
      </x:patternFill>
    </x:fill>
    <x:fill>
      <x:patternFill patternType="solid">
        <x:fgColor rgb="FFFFFFFF"/>
      </x:patternFill>
    </x:fill>
    <x:fill>
      <x:patternFill patternType="solid">
        <x:fgColor rgb="FFEAF3ED"/>
      </x:patternFill>
    </x:fill>
    <x:fill>
      <x:patternFill patternType="solid">
        <x:fgColor rgb="FFF4F9F5"/>
      </x:patternFill>
    </x:fill>
    <x:fill>
      <x:patternFill patternType="solid">
        <x:fgColor rgb="FFE4EAF0"/>
      </x:patternFill>
    </x:fill>
    <x:fill>
      <x:patternFill patternType="solid">
        <x:fgColor rgb="FFF7F9FA"/>
      </x:patternFill>
    </x:fill>
    <x:fill>
      <x:patternFill patternType="solid">
        <x:fgColor rgb="FFEAF3ED"/>
      </x:patternFill>
    </x:fill>
    <x:fill>
      <x:patternFill patternType="solid">
        <x:fgColor rgb="FFF4F9F5"/>
      </x:patternFill>
    </x:fill>
    <x:fill>
      <x:patternFill patternType="solid">
        <x:fgColor rgb="FFF7F9FA"/>
      </x:patternFill>
    </x:fill>
    <x:fill>
      <x:patternFill patternType="solid">
        <x:fgColor rgb="FFFFFFFF"/>
      </x:patternFill>
    </x:fill>
    <x:fill>
      <x:patternFill patternType="solid">
        <x:fgColor rgb="FFE4EAF0"/>
      </x:patternFill>
    </x:fill>
    <x:fill>
      <x:patternFill patternType="solid">
        <x:fgColor rgb="FFE3EAF0"/>
      </x:patternFill>
    </x:fill>
    <x:fill>
      <x:patternFill patternType="solid">
        <x:fgColor rgb="FFF5F7F9"/>
      </x:patternFill>
    </x:fill>
    <x:fill>
      <x:patternFill patternType="solid">
        <x:fgColor rgb="FFE8F2EC"/>
      </x:patternFill>
    </x:fill>
    <x:fill>
      <x:patternFill patternType="solid">
        <x:fgColor rgb="FFFFFFFF"/>
      </x:patternFill>
    </x:fill>
    <x:fill>
      <x:patternFill patternType="solid">
        <x:fgColor rgb="FFF2F8F4"/>
      </x:patternFill>
    </x:fill>
    <x:fill>
      <x:patternFill patternType="solid">
        <x:fgColor rgb="FFEEF2F5"/>
      </x:patternFill>
    </x:fill>
    <x:fill>
      <x:patternFill patternType="solid">
        <x:fgColor rgb="FFE7F3EC"/>
      </x:patternFill>
    </x:fill>
    <x:fill>
      <x:patternFill patternType="solid">
        <x:fgColor rgb="FFF1F8F4"/>
      </x:patternFill>
    </x:fill>
    <x:fill>
      <x:patternFill patternType="solid">
        <x:fgColor rgb="FFEDF2F6"/>
      </x:patternFill>
    </x:fill>
    <x:fill>
      <x:patternFill patternType="solid">
        <x:fgColor rgb="FFFFFFFF"/>
      </x:patternFill>
    </x:fill>
    <x:fill>
      <x:patternFill patternType="solid">
        <x:fgColor rgb="FFF5F7F9"/>
      </x:patternFill>
    </x:fill>
    <x:fill>
      <x:patternFill patternType="solid">
        <x:fgColor rgb="FFEDF2F6"/>
      </x:patternFill>
    </x:fill>
    <x:fill>
      <x:patternFill patternType="solid">
        <x:fgColor rgb="FFE7F3EC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E5F1E9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E5F1E9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E5F1E9"/>
      </x:patternFill>
    </x:fill>
  </x:fills>
  <x:borders count="11">
    <x:border diagonalUp="0" diagonalDown="0">
      <x:left/>
      <x:right/>
      <x:top/>
      <x:bottom/>
      <x:diagonal/>
    </x:border>
    <x:border diagonalUp="0" diagonalDown="0">
      <x:left style="thin"/>
      <x:right/>
      <x:top style="thin"/>
      <x:bottom style="thin"/>
      <x:diagonal/>
    </x:border>
    <x:border diagonalUp="0" diagonalDown="0">
      <x:left/>
      <x:right style="thin"/>
      <x:top style="thin"/>
      <x:bottom/>
      <x:diagonal/>
    </x:border>
    <x:border diagonalUp="0" diagonalDown="0">
      <x:left/>
      <x:right style="thin"/>
      <x:top/>
      <x:bottom/>
      <x:diagonal/>
    </x:border>
    <x:border diagonalUp="0" diagonalDown="0">
      <x:left/>
      <x:right style="thin"/>
      <x:top/>
      <x:bottom style="thin"/>
      <x:diagonal/>
    </x:border>
    <x:border diagonalUp="0" diagonalDown="0">
      <x:left/>
      <x:right/>
      <x:top style="thin">
        <x:color rgb="FF8297AD"/>
      </x:top>
      <x:bottom style="thin">
        <x:color rgb="FFCCD6E2"/>
      </x:bottom>
      <x:diagonal/>
    </x:border>
    <x:border diagonalUp="0" diagonalDown="0">
      <x:left/>
      <x:right/>
      <x:top style="thin">
        <x:color rgb="FFCCD6E2"/>
      </x:top>
      <x:bottom style="thin">
        <x:color rgb="FF8297AD"/>
      </x:bottom>
      <x:diagonal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thin">
        <x:color rgb="FFCBD5DF"/>
      </x:left>
      <x:right style="none"/>
      <x:top style="none"/>
      <x:bottom style="none"/>
      <x:diagonal/>
    </x:border>
    <x:border diagonalUp="0" diagonalDown="0">
      <x:left style="thin">
        <x:color rgb="FFE5E9ED"/>
      </x:left>
      <x:right style="thin">
        <x:color rgb="FFE5E9ED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C5D1D5"/>
      </x:left>
      <x:right style="thin">
        <x:color rgb="FFE5E9ED"/>
      </x:right>
      <x:top style="thin">
        <x:color rgb="FFE5E9ED"/>
      </x:top>
      <x:bottom style="thin">
        <x:color rgb="FFE5E9ED"/>
      </x:bottom>
      <x:diagonal/>
    </x:border>
  </x:borders>
  <x:cellStyleXfs count="33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0" applyProtection="0"/>
    <x:xf numFmtId="169" fontId="4" fillId="0" borderId="0" applyFont="1" applyBorder="0" applyAlignment="0" applyProtection="0"/>
    <x:xf numFmtId="170" fontId="4" fillId="0" borderId="0" applyFont="1" applyBorder="0" applyAlignment="0" applyProtection="0"/>
    <x:xf numFmtId="171" fontId="4" fillId="0" borderId="0" applyFont="1" applyBorder="0" applyAlignment="0" applyProtection="0"/>
    <x:xf numFmtId="172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4" fontId="4" fillId="0" borderId="0" applyFont="1" applyBorder="0" applyAlignment="0" applyProtection="0"/>
  </x:cellStyleXfs>
  <x:cellXfs count="441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5" fillId="0" borderId="0" xfId="30" applyFont="0" applyBorder="0" applyAlignment="1" applyProtection="1">
      <x:alignment horizontal="general" vertical="bottom" wrapText="0" shrinkToFit="0"/>
      <x:protection locked="1" hidden="0"/>
    </x:xf>
    <x:xf numFmtId="164" fontId="7" fillId="2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0" borderId="0" xfId="30" applyFont="1" applyBorder="1" applyAlignment="1" applyProtection="1">
      <x:alignment horizontal="general" vertical="top" wrapText="1" shrinkToFit="0"/>
      <x:protection locked="1" hidden="0"/>
    </x:xf>
    <x:xf numFmtId="164" fontId="9" fillId="0" borderId="0" xfId="30" applyFont="1" applyBorder="1" applyAlignment="1" applyProtection="1">
      <x:alignment horizontal="general" vertical="top" wrapText="1" shrinkToFit="0"/>
      <x:protection locked="1" hidden="0"/>
    </x:xf>
    <x:xf numFmtId="164" fontId="10" fillId="3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4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0" xfId="30" applyFont="1" applyBorder="1" applyAlignment="1" applyProtection="1">
      <x:alignment horizontal="general" vertical="top" wrapText="1" shrinkToFit="0"/>
      <x:protection locked="1" hidden="0"/>
    </x:xf>
    <x:xf numFmtId="175" fontId="8" fillId="5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2" borderId="0" xfId="28" applyFont="1" applyBorder="1" applyAlignment="1" applyProtection="0">
      <x:alignment horizontal="general" vertical="top" wrapText="1" shrinkToFit="0"/>
      <x:protection locked="1" hidden="0"/>
    </x:xf>
    <x:xf numFmtId="164" fontId="9" fillId="2" borderId="0" xfId="28" applyFont="1" applyBorder="1" applyAlignment="1" applyProtection="0">
      <x:alignment horizontal="general" vertical="top" wrapText="1" shrinkToFit="0"/>
      <x:protection locked="1" hidden="0"/>
    </x:xf>
    <x:xf numFmtId="164" fontId="10" fillId="3" borderId="0" xfId="28" applyFont="1" applyBorder="1" applyAlignment="1" applyProtection="0">
      <x:alignment horizontal="general" vertical="top" wrapText="1" shrinkToFit="0"/>
      <x:protection locked="1" hidden="0"/>
    </x:xf>
    <x:xf numFmtId="164" fontId="8" fillId="5" borderId="0" xfId="28" applyFont="1" applyBorder="1" applyAlignment="1" applyProtection="0">
      <x:alignment horizontal="general" vertical="top" wrapText="1" shrinkToFit="0"/>
      <x:protection locked="1" hidden="0"/>
    </x:xf>
    <x:xf numFmtId="164" fontId="9" fillId="5" borderId="0" xfId="28" applyFont="1" applyBorder="1" applyAlignment="1" applyProtection="0">
      <x:alignment horizontal="general" vertical="top" wrapText="1" shrinkToFit="0"/>
      <x:protection locked="1" hidden="0"/>
    </x:xf>
    <x:xf numFmtId="164" fontId="8" fillId="4" borderId="0" xfId="28" applyFont="1" applyBorder="1" applyAlignment="1" applyProtection="1">
      <x:alignment horizontal="general" vertical="top" wrapText="1" shrinkToFit="0"/>
      <x:protection locked="1" hidden="0"/>
    </x:xf>
    <x:xf numFmtId="164" fontId="8" fillId="5" borderId="0" xfId="28" applyFont="1" applyBorder="1" applyAlignment="1" applyProtection="1">
      <x:alignment horizontal="general" vertical="top" wrapText="1" shrinkToFit="0"/>
      <x:protection locked="1" hidden="0"/>
    </x:xf>
    <x:xf numFmtId="164" fontId="11" fillId="2" borderId="0" xfId="30" applyFont="1" applyBorder="1" applyAlignment="1" applyProtection="1">
      <x:alignment horizontal="general" vertical="top" wrapText="1" shrinkToFit="0"/>
      <x:protection locked="1" hidden="0"/>
    </x:xf>
    <x:xf numFmtId="175" fontId="8" fillId="6" borderId="0" xfId="30" applyFont="1" applyBorder="1" applyAlignment="1" applyProtection="1">
      <x:alignment horizontal="general" vertical="top" wrapText="1" shrinkToFit="0"/>
      <x:protection locked="1" hidden="0"/>
    </x:xf>
    <x:xf numFmtId="164" fontId="7" fillId="7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1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2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3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4" xfId="30" applyFont="1" applyBorder="1" applyAlignment="1" applyProtection="1">
      <x:alignment horizontal="general" vertical="top" wrapText="1" shrinkToFit="0"/>
      <x:protection locked="1" hidden="0"/>
    </x:xf>
    <x:xf numFmtId="164" fontId="9" fillId="2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4" borderId="5" xfId="30" applyFont="1" applyBorder="1" applyAlignment="1" applyProtection="1">
      <x:alignment horizontal="general" vertical="top" wrapText="1" shrinkToFit="0"/>
      <x:protection locked="1" hidden="0"/>
    </x:xf>
    <x:xf numFmtId="176" fontId="8" fillId="5" borderId="5" xfId="30" applyFont="1" applyBorder="1" applyAlignment="1" applyProtection="1">
      <x:alignment horizontal="general" vertical="top" wrapText="1" shrinkToFit="0"/>
      <x:protection locked="1" hidden="0"/>
    </x:xf>
    <x:xf numFmtId="177" fontId="8" fillId="6" borderId="5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5" xfId="30" applyFont="1" applyBorder="1" applyAlignment="1" applyProtection="1">
      <x:alignment horizontal="general" vertical="top" wrapText="1" shrinkToFit="0"/>
      <x:protection locked="1" hidden="0"/>
    </x:xf>
    <x:xf numFmtId="164" fontId="8" fillId="4" borderId="6" xfId="30" applyFont="1" applyBorder="1" applyAlignment="1" applyProtection="1">
      <x:alignment horizontal="general" vertical="top" wrapText="1" shrinkToFit="0"/>
      <x:protection locked="1" hidden="0"/>
    </x:xf>
    <x:xf numFmtId="176" fontId="8" fillId="5" borderId="6" xfId="30" applyFont="1" applyBorder="1" applyAlignment="1" applyProtection="1">
      <x:alignment horizontal="general" vertical="top" wrapText="1" shrinkToFit="0"/>
      <x:protection locked="1" hidden="0"/>
    </x:xf>
    <x:xf numFmtId="177" fontId="8" fillId="6" borderId="6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6" xfId="30" applyFont="1" applyBorder="1" applyAlignment="1" applyProtection="1">
      <x:alignment horizontal="general" vertical="top" wrapText="1" shrinkToFit="0"/>
      <x:protection locked="1" hidden="0"/>
    </x:xf>
    <x:xf numFmtId="164" fontId="12" fillId="3" borderId="0" xfId="28" applyFont="1" applyBorder="1" applyAlignment="1" applyProtection="0">
      <x:alignment horizontal="center" vertical="center" wrapText="0" shrinkToFit="0"/>
      <x:protection locked="1" hidden="0"/>
    </x:xf>
    <x:xf numFmtId="164" fontId="10" fillId="3" borderId="0" xfId="28" applyFont="1" applyBorder="1" applyAlignment="1" applyProtection="1">
      <x:alignment horizontal="general" vertical="top" wrapText="1" shrinkToFit="0"/>
      <x:protection locked="1" hidden="0"/>
    </x:xf>
    <x:xf numFmtId="164" fontId="13" fillId="3" borderId="0" xfId="28" applyFont="1" applyBorder="1" applyAlignment="1" applyProtection="0">
      <x:alignment horizontal="center" vertical="bottom" wrapText="1" shrinkToFit="0"/>
      <x:protection locked="1" hidden="0"/>
    </x:xf>
    <x:xf numFmtId="164" fontId="13" fillId="3" borderId="0" xfId="28" applyFont="1" applyBorder="1" applyAlignment="1" applyProtection="0">
      <x:alignment horizontal="general" vertical="bottom" wrapText="1" shrinkToFit="0"/>
      <x:protection locked="1" hidden="0"/>
    </x:xf>
    <x:xf numFmtId="175" fontId="8" fillId="6" borderId="0" xfId="28" applyFont="1" applyBorder="1" applyAlignment="1" applyProtection="1">
      <x:alignment horizontal="general" vertical="top" wrapText="1" shrinkToFit="0"/>
      <x:protection locked="1" hidden="0"/>
    </x:xf>
    <x:xf numFmtId="164" fontId="8" fillId="6" borderId="0" xfId="28" applyFont="1" applyBorder="1" applyAlignment="1" applyProtection="1">
      <x:alignment horizontal="general" vertical="top" wrapText="1" shrinkToFit="0"/>
      <x:protection locked="1" hidden="0"/>
    </x:xf>
    <x:xf numFmtId="164" fontId="8" fillId="8" borderId="0" xfId="28" applyFont="1" applyBorder="1" applyAlignment="1" applyProtection="1">
      <x:alignment horizontal="general" vertical="top" wrapText="1" shrinkToFit="0"/>
      <x:protection locked="1" hidden="0"/>
    </x:xf>
    <x:xf numFmtId="164" fontId="5" fillId="9" borderId="0" xfId="28" applyFont="1" applyBorder="1" applyAlignment="1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0" applyProtection="0">
      <x:alignment horizontal="general" vertical="bottom" wrapText="0" shrinkToFit="0"/>
      <x:protection locked="1" hidden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7" fillId="10" borderId="0" xfId="0" applyNumberFormat="1" applyFont="1" applyFill="1" applyBorder="1" applyAlignment="1">
      <x:alignment horizontal="general" vertical="top" wrapText="1"/>
    </x:xf>
    <x:xf numFmtId="164" fontId="8" fillId="10" borderId="0" xfId="0" applyNumberFormat="1" applyFont="1" applyFill="1" applyBorder="1" applyAlignment="1">
      <x:alignment horizontal="general" vertical="top" wrapText="1"/>
    </x:xf>
    <x:xf numFmtId="164" fontId="9" fillId="10" borderId="0" xfId="0" applyNumberFormat="1" applyFont="1" applyFill="1" applyBorder="1" applyAlignment="1">
      <x:alignment horizontal="general" vertical="top" wrapText="1"/>
    </x:xf>
    <x:xf numFmtId="164" fontId="10" fillId="10" borderId="0" xfId="0" applyNumberFormat="1" applyFont="1" applyFill="1" applyBorder="1" applyAlignment="1">
      <x:alignment horizontal="general" vertical="top" wrapText="1"/>
    </x:xf>
    <x:xf numFmtId="175" fontId="8" fillId="10" borderId="0" xfId="0" applyNumberFormat="1" applyFont="1" applyFill="1" applyBorder="1" applyAlignment="1">
      <x:alignment horizontal="general" vertical="top" wrapText="1"/>
    </x:xf>
    <x:xf numFmtId="164" fontId="11" fillId="10" borderId="0" xfId="0" applyNumberFormat="1" applyFont="1" applyFill="1" applyBorder="1" applyAlignment="1">
      <x:alignment horizontal="general" vertical="top" wrapText="1"/>
    </x:xf>
    <x:xf numFmtId="164" fontId="8" fillId="10" borderId="1" xfId="0" applyNumberFormat="1" applyFont="1" applyFill="1" applyBorder="1" applyAlignment="1">
      <x:alignment horizontal="general" vertical="top" wrapText="1"/>
    </x:xf>
    <x:xf numFmtId="164" fontId="8" fillId="10" borderId="2" xfId="0" applyNumberFormat="1" applyFont="1" applyFill="1" applyBorder="1" applyAlignment="1">
      <x:alignment horizontal="general" vertical="top" wrapText="1"/>
    </x:xf>
    <x:xf numFmtId="164" fontId="8" fillId="10" borderId="3" xfId="0" applyNumberFormat="1" applyFont="1" applyFill="1" applyBorder="1" applyAlignment="1">
      <x:alignment horizontal="general" vertical="top" wrapText="1"/>
    </x:xf>
    <x:xf numFmtId="164" fontId="8" fillId="10" borderId="4" xfId="0" applyNumberFormat="1" applyFont="1" applyFill="1" applyBorder="1" applyAlignment="1">
      <x:alignment horizontal="general" vertical="top" wrapText="1"/>
    </x:xf>
    <x:xf numFmtId="164" fontId="14" fillId="10" borderId="0" xfId="0" applyNumberFormat="1" applyFont="1" applyFill="1" applyBorder="1" applyAlignment="1">
      <x:alignment horizontal="general" vertical="top" wrapText="1"/>
    </x:xf>
    <x:xf numFmtId="164" fontId="15" fillId="10" borderId="0" xfId="0" applyNumberFormat="1" applyFont="1" applyFill="1" applyBorder="1" applyAlignment="1">
      <x:alignment horizontal="general" vertical="top" wrapText="1"/>
    </x:xf>
    <x:xf numFmtId="164" fontId="16" fillId="10" borderId="0" xfId="0" applyNumberFormat="1" applyFont="1" applyFill="1" applyBorder="1" applyAlignment="1">
      <x:alignment horizontal="general" vertical="top" wrapText="1"/>
    </x:xf>
    <x:xf numFmtId="175" fontId="15" fillId="10" borderId="0" xfId="0" applyNumberFormat="1" applyFont="1" applyFill="1" applyBorder="1" applyAlignment="1">
      <x:alignment horizontal="general" vertical="top" wrapText="1"/>
    </x:xf>
    <x:xf numFmtId="164" fontId="17" fillId="10" borderId="0" xfId="0" applyNumberFormat="1" applyFont="1" applyFill="1" applyBorder="1" applyAlignment="1">
      <x:alignment horizontal="general" vertical="top" wrapText="1"/>
    </x:xf>
    <x:xf numFmtId="164" fontId="15" fillId="10" borderId="1" xfId="0" applyNumberFormat="1" applyFont="1" applyFill="1" applyBorder="1" applyAlignment="1">
      <x:alignment horizontal="general" vertical="top" wrapText="1"/>
    </x:xf>
    <x:xf numFmtId="164" fontId="15" fillId="10" borderId="2" xfId="0" applyNumberFormat="1" applyFont="1" applyFill="1" applyBorder="1" applyAlignment="1">
      <x:alignment horizontal="general" vertical="top" wrapText="1"/>
    </x:xf>
    <x:xf numFmtId="164" fontId="15" fillId="10" borderId="3" xfId="0" applyNumberFormat="1" applyFont="1" applyFill="1" applyBorder="1" applyAlignment="1">
      <x:alignment horizontal="general" vertical="top" wrapText="1"/>
    </x:xf>
    <x:xf numFmtId="164" fontId="15" fillId="10" borderId="4" xfId="0" applyNumberFormat="1" applyFont="1" applyFill="1" applyBorder="1" applyAlignment="1">
      <x:alignment horizontal="general" vertical="top" wrapText="1"/>
    </x:xf>
    <x:xf numFmtId="164" fontId="14" fillId="10" borderId="7" xfId="0" applyNumberFormat="1" applyFont="1" applyFill="1" applyBorder="1" applyAlignment="1">
      <x:alignment horizontal="general" vertical="top" wrapText="1"/>
    </x:xf>
    <x:xf numFmtId="164" fontId="15" fillId="10" borderId="7" xfId="0" applyNumberFormat="1" applyFont="1" applyFill="1" applyBorder="1" applyAlignment="1">
      <x:alignment horizontal="general" vertical="top" wrapText="1"/>
    </x:xf>
    <x:xf numFmtId="164" fontId="16" fillId="10" borderId="7" xfId="0" applyNumberFormat="1" applyFont="1" applyFill="1" applyBorder="1" applyAlignment="1">
      <x:alignment horizontal="general" vertical="top" wrapText="1"/>
    </x:xf>
    <x:xf numFmtId="175" fontId="15" fillId="10" borderId="7" xfId="0" applyNumberFormat="1" applyFont="1" applyFill="1" applyBorder="1" applyAlignment="1">
      <x:alignment horizontal="general" vertical="top" wrapText="1"/>
    </x:xf>
    <x:xf numFmtId="164" fontId="17" fillId="10" borderId="7" xfId="0" applyNumberFormat="1" applyFont="1" applyFill="1" applyBorder="1" applyAlignment="1">
      <x:alignment horizontal="general" vertical="top" wrapText="1"/>
    </x:xf>
    <x:xf numFmtId="164" fontId="15" fillId="11" borderId="7" xfId="0" applyNumberFormat="1" applyFont="1" applyFill="1" applyBorder="1" applyAlignment="1">
      <x:alignment horizontal="general" vertical="top" wrapText="1"/>
    </x:xf>
    <x:xf numFmtId="175" fontId="15" fillId="11" borderId="7" xfId="0" applyNumberFormat="1" applyFont="1" applyFill="1" applyBorder="1" applyAlignment="1">
      <x:alignment horizontal="general" vertical="top" wrapText="1"/>
    </x:xf>
    <x:xf numFmtId="164" fontId="16" fillId="11" borderId="7" xfId="0" applyNumberFormat="1" applyFont="1" applyFill="1" applyBorder="1" applyAlignment="1">
      <x:alignment horizontal="general" vertical="top" wrapText="1"/>
    </x:xf>
    <x:xf numFmtId="164" fontId="14" fillId="11" borderId="7" xfId="0" applyNumberFormat="1" applyFont="1" applyFill="1" applyBorder="1" applyAlignment="1">
      <x:alignment horizontal="general" vertical="top" wrapText="1"/>
    </x:xf>
    <x:xf numFmtId="164" fontId="17" fillId="11" borderId="7" xfId="0" applyNumberFormat="1" applyFont="1" applyFill="1" applyBorder="1" applyAlignment="1">
      <x:alignment horizontal="general" vertical="top" wrapText="1"/>
    </x:xf>
    <x:xf numFmtId="164" fontId="14" fillId="12" borderId="7" xfId="0" applyNumberFormat="1" applyFont="1" applyFill="1" applyBorder="1" applyAlignment="1">
      <x:alignment horizontal="general" vertical="top" wrapText="1"/>
    </x:xf>
    <x:xf numFmtId="164" fontId="15" fillId="12" borderId="7" xfId="0" applyNumberFormat="1" applyFont="1" applyFill="1" applyBorder="1" applyAlignment="1">
      <x:alignment horizontal="general" vertical="top" wrapText="1"/>
    </x:xf>
    <x:xf numFmtId="164" fontId="14" fillId="13" borderId="7" xfId="0" applyNumberFormat="1" applyFont="1" applyFill="1" applyBorder="1" applyAlignment="1">
      <x:alignment horizontal="general" vertical="top" wrapText="1"/>
    </x:xf>
    <x:xf numFmtId="164" fontId="15" fillId="13" borderId="7" xfId="0" applyNumberFormat="1" applyFont="1" applyFill="1" applyBorder="1" applyAlignment="1">
      <x:alignment horizontal="general" vertical="top" wrapText="1"/>
    </x:xf>
    <x:xf numFmtId="164" fontId="18" fillId="13" borderId="7" xfId="0" applyNumberFormat="1" applyFont="1" applyFill="1" applyBorder="1" applyAlignment="1">
      <x:alignment horizontal="general" vertical="top" wrapText="1"/>
    </x:xf>
    <x:xf numFmtId="164" fontId="16" fillId="12" borderId="7" xfId="0" applyNumberFormat="1" applyFont="1" applyFill="1" applyBorder="1" applyAlignment="1">
      <x:alignment horizontal="general" vertical="top" wrapText="1"/>
    </x:xf>
    <x:xf numFmtId="164" fontId="17" fillId="12" borderId="7" xfId="0" applyNumberFormat="1" applyFont="1" applyFill="1" applyBorder="1" applyAlignment="1">
      <x:alignment horizontal="general" vertical="top" wrapText="1"/>
    </x:xf>
    <x:xf numFmtId="164" fontId="8" fillId="10" borderId="5" xfId="0" applyNumberFormat="1" applyFont="1" applyFill="1" applyBorder="1" applyAlignment="1">
      <x:alignment horizontal="general" vertical="top" wrapText="1"/>
    </x:xf>
    <x:xf numFmtId="176" fontId="8" fillId="10" borderId="5" xfId="0" applyNumberFormat="1" applyFont="1" applyFill="1" applyBorder="1" applyAlignment="1">
      <x:alignment horizontal="general" vertical="top" wrapText="1"/>
    </x:xf>
    <x:xf numFmtId="177" fontId="8" fillId="10" borderId="5" xfId="0" applyNumberFormat="1" applyFont="1" applyFill="1" applyBorder="1" applyAlignment="1">
      <x:alignment horizontal="general" vertical="top" wrapText="1"/>
    </x:xf>
    <x:xf numFmtId="164" fontId="8" fillId="10" borderId="6" xfId="0" applyNumberFormat="1" applyFont="1" applyFill="1" applyBorder="1" applyAlignment="1">
      <x:alignment horizontal="general" vertical="top" wrapText="1"/>
    </x:xf>
    <x:xf numFmtId="176" fontId="8" fillId="10" borderId="6" xfId="0" applyNumberFormat="1" applyFont="1" applyFill="1" applyBorder="1" applyAlignment="1">
      <x:alignment horizontal="general" vertical="top" wrapText="1"/>
    </x:xf>
    <x:xf numFmtId="177" fontId="8" fillId="10" borderId="6" xfId="0" applyNumberFormat="1" applyFont="1" applyFill="1" applyBorder="1" applyAlignment="1">
      <x:alignment horizontal="general" vertical="top" wrapText="1"/>
    </x:xf>
    <x:xf numFmtId="164" fontId="15" fillId="10" borderId="5" xfId="0" applyNumberFormat="1" applyFont="1" applyFill="1" applyBorder="1" applyAlignment="1">
      <x:alignment horizontal="general" vertical="top" wrapText="1"/>
    </x:xf>
    <x:xf numFmtId="176" fontId="15" fillId="10" borderId="5" xfId="0" applyNumberFormat="1" applyFont="1" applyFill="1" applyBorder="1" applyAlignment="1">
      <x:alignment horizontal="general" vertical="top" wrapText="1"/>
    </x:xf>
    <x:xf numFmtId="177" fontId="15" fillId="10" borderId="5" xfId="0" applyNumberFormat="1" applyFont="1" applyFill="1" applyBorder="1" applyAlignment="1">
      <x:alignment horizontal="general" vertical="top" wrapText="1"/>
    </x:xf>
    <x:xf numFmtId="164" fontId="15" fillId="10" borderId="6" xfId="0" applyNumberFormat="1" applyFont="1" applyFill="1" applyBorder="1" applyAlignment="1">
      <x:alignment horizontal="general" vertical="top" wrapText="1"/>
    </x:xf>
    <x:xf numFmtId="176" fontId="15" fillId="10" borderId="6" xfId="0" applyNumberFormat="1" applyFont="1" applyFill="1" applyBorder="1" applyAlignment="1">
      <x:alignment horizontal="general" vertical="top" wrapText="1"/>
    </x:xf>
    <x:xf numFmtId="177" fontId="15" fillId="10" borderId="6" xfId="0" applyNumberFormat="1" applyFont="1" applyFill="1" applyBorder="1" applyAlignment="1">
      <x:alignment horizontal="general" vertical="top" wrapText="1"/>
    </x:xf>
    <x:xf numFmtId="176" fontId="15" fillId="10" borderId="7" xfId="0" applyNumberFormat="1" applyFont="1" applyFill="1" applyBorder="1" applyAlignment="1">
      <x:alignment horizontal="general" vertical="top" wrapText="1"/>
    </x:xf>
    <x:xf numFmtId="177" fontId="15" fillId="10" borderId="7" xfId="0" applyNumberFormat="1" applyFont="1" applyFill="1" applyBorder="1" applyAlignment="1">
      <x:alignment horizontal="general" vertical="top" wrapText="1"/>
    </x:xf>
    <x:xf numFmtId="176" fontId="15" fillId="11" borderId="7" xfId="0" applyNumberFormat="1" applyFont="1" applyFill="1" applyBorder="1" applyAlignment="1">
      <x:alignment horizontal="general" vertical="top" wrapText="1"/>
    </x:xf>
    <x:xf numFmtId="177" fontId="15" fillId="11" borderId="7" xfId="0" applyNumberFormat="1" applyFont="1" applyFill="1" applyBorder="1" applyAlignment="1">
      <x:alignment horizontal="general" vertical="top" wrapText="1"/>
    </x:xf>
    <x:xf numFmtId="164" fontId="18" fillId="12" borderId="7" xfId="0" applyNumberFormat="1" applyFont="1" applyFill="1" applyBorder="1" applyAlignment="1">
      <x:alignment horizontal="general" vertical="top" wrapText="1"/>
    </x:xf>
    <x:xf numFmtId="176" fontId="15" fillId="12" borderId="7" xfId="0" applyNumberFormat="1" applyFont="1" applyFill="1" applyBorder="1" applyAlignment="1">
      <x:alignment horizontal="general" vertical="top" wrapText="1"/>
    </x:xf>
    <x:xf numFmtId="177" fontId="15" fillId="12" borderId="7" xfId="0" applyNumberFormat="1" applyFont="1" applyFill="1" applyBorder="1" applyAlignment="1">
      <x:alignment horizontal="general" vertical="top" wrapText="1"/>
    </x:xf>
    <x:xf numFmtId="176" fontId="14" fillId="12" borderId="7" xfId="0" applyNumberFormat="1" applyFont="1" applyFill="1" applyBorder="1" applyAlignment="1">
      <x:alignment horizontal="general" vertical="top" wrapText="1"/>
    </x:xf>
    <x:xf numFmtId="177" fontId="14" fillId="12" borderId="7" xfId="0" applyNumberFormat="1" applyFont="1" applyFill="1" applyBorder="1" applyAlignment="1">
      <x:alignment horizontal="general" vertical="top" wrapText="1"/>
    </x:xf>
    <x:xf numFmtId="176" fontId="15" fillId="13" borderId="7" xfId="0" applyNumberFormat="1" applyFont="1" applyFill="1" applyBorder="1" applyAlignment="1">
      <x:alignment horizontal="general" vertical="top" wrapText="1"/>
    </x:xf>
    <x:xf numFmtId="177" fontId="15" fillId="13" borderId="7" xfId="0" applyNumberFormat="1" applyFont="1" applyFill="1" applyBorder="1" applyAlignment="1">
      <x:alignment horizontal="general" vertical="top" wrapText="1"/>
    </x:xf>
    <x:xf numFmtId="176" fontId="18" fillId="13" borderId="7" xfId="0" applyNumberFormat="1" applyFont="1" applyFill="1" applyBorder="1" applyAlignment="1">
      <x:alignment horizontal="general" vertical="top" wrapText="1"/>
    </x:xf>
    <x:xf numFmtId="177" fontId="18" fillId="13" borderId="7" xfId="0" applyNumberFormat="1" applyFont="1" applyFill="1" applyBorder="1" applyAlignment="1">
      <x:alignment horizontal="general" vertical="top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2" fillId="10" borderId="0" xfId="0" applyNumberFormat="1" applyFont="1" applyFill="1" applyBorder="1" applyAlignment="1">
      <x:alignment horizontal="center" vertical="center" wrapText="0"/>
    </x:xf>
    <x:xf numFmtId="164" fontId="13" fillId="10" borderId="0" xfId="0" applyNumberFormat="1" applyFont="1" applyFill="1" applyBorder="1" applyAlignment="1">
      <x:alignment horizontal="center" vertical="bottom" wrapText="1"/>
    </x:xf>
    <x:xf numFmtId="164" fontId="0" fillId="10" borderId="0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6" fillId="10" borderId="0" xfId="0" applyNumberFormat="1" applyFont="1" applyFill="1" applyBorder="1" applyAlignment="1">
      <x:alignment horizontal="general" vertical="bottom" wrapText="0"/>
    </x:xf>
    <x:xf numFmtId="164" fontId="17" fillId="10" borderId="0" xfId="0" applyNumberFormat="1" applyFont="1" applyFill="1" applyBorder="1" applyAlignment="1">
      <x:alignment horizontal="center" vertical="center" wrapText="0"/>
    </x:xf>
    <x:xf numFmtId="164" fontId="17" fillId="10" borderId="0" xfId="0" applyNumberFormat="1" applyFont="1" applyFill="1" applyBorder="1" applyAlignment="1">
      <x:alignment horizontal="center" vertical="bottom" wrapText="1"/>
    </x:xf>
    <x:xf numFmtId="164" fontId="16" fillId="10" borderId="0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6" fillId="10" borderId="7" xfId="0" applyNumberFormat="1" applyFont="1" applyFill="1" applyBorder="1" applyAlignment="1">
      <x:alignment horizontal="general" vertical="bottom" wrapText="0"/>
    </x:xf>
    <x:xf numFmtId="164" fontId="17" fillId="10" borderId="7" xfId="0" applyNumberFormat="1" applyFont="1" applyFill="1" applyBorder="1" applyAlignment="1">
      <x:alignment horizontal="center" vertical="center" wrapText="0"/>
    </x:xf>
    <x:xf numFmtId="164" fontId="17" fillId="10" borderId="7" xfId="0" applyNumberFormat="1" applyFont="1" applyFill="1" applyBorder="1" applyAlignment="1">
      <x:alignment horizontal="center" vertical="bottom" wrapText="1"/>
    </x:xf>
    <x:xf numFmtId="164" fontId="16" fillId="10" borderId="7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6" fillId="11" borderId="7" xfId="0" applyNumberFormat="1" applyFont="1" applyFill="1" applyBorder="1" applyAlignment="1">
      <x:alignment horizontal="general" vertical="bottom" wrapText="0"/>
    </x:xf>
    <x:xf numFmtId="164" fontId="16" fillId="11" borderId="7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5" fillId="14" borderId="7" xfId="0" applyNumberFormat="1" applyFont="1" applyFill="1" applyBorder="1" applyAlignment="1">
      <x:alignment horizontal="general" vertical="top" wrapText="1"/>
    </x:xf>
    <x:xf numFmtId="164" fontId="19" fillId="14" borderId="7" xfId="0" applyNumberFormat="1" applyFont="1" applyFill="1" applyBorder="1" applyAlignment="1">
      <x:alignment horizontal="general" vertical="top" wrapText="1"/>
    </x:xf>
    <x:xf numFmtId="164" fontId="16" fillId="12" borderId="7" xfId="0" applyNumberFormat="1" applyFont="1" applyFill="1" applyBorder="1" applyAlignment="1">
      <x:alignment horizontal="general" vertical="bottom" wrapText="0"/>
    </x:xf>
    <x:xf numFmtId="164" fontId="17" fillId="12" borderId="7" xfId="0" applyNumberFormat="1" applyFont="1" applyFill="1" applyBorder="1" applyAlignment="1">
      <x:alignment horizontal="center" vertical="center" wrapText="0"/>
    </x:xf>
    <x:xf numFmtId="164" fontId="20" fillId="12" borderId="7" xfId="0" applyNumberFormat="1" applyFont="1" applyFill="1" applyBorder="1" applyAlignment="1">
      <x:alignment horizontal="general" vertical="bottom" wrapText="0"/>
    </x:xf>
    <x:xf numFmtId="164" fontId="20" fillId="12" borderId="7" xfId="0" applyNumberFormat="1" applyFont="1" applyFill="1" applyBorder="1" applyAlignment="1">
      <x:alignment horizontal="center" vertical="center" wrapText="0"/>
    </x:xf>
    <x:xf numFmtId="164" fontId="20" fillId="12" borderId="7" xfId="0" applyNumberFormat="1" applyFont="1" applyFill="1" applyBorder="1" applyAlignment="1">
      <x:alignment horizontal="center" vertical="bottom" wrapText="0"/>
    </x:xf>
    <x:xf numFmtId="164" fontId="17" fillId="13" borderId="7" xfId="0" applyNumberFormat="1" applyFont="1" applyFill="1" applyBorder="1" applyAlignment="1">
      <x:alignment horizontal="center" vertical="bottom" wrapText="1"/>
    </x:xf>
    <x:xf numFmtId="164" fontId="16" fillId="13" borderId="7" xfId="0" applyNumberFormat="1" applyFont="1" applyFill="1" applyBorder="1" applyAlignment="1">
      <x:alignment horizontal="general" vertical="bottom" wrapText="0"/>
    </x:xf>
    <x:xf numFmtId="164" fontId="21" fillId="13" borderId="7" xfId="0" applyNumberFormat="1" applyFont="1" applyFill="1" applyBorder="1" applyAlignment="1">
      <x:alignment horizontal="center" vertical="bottom" wrapText="1"/>
    </x:xf>
    <x:xf numFmtId="164" fontId="21" fillId="13" borderId="7" xfId="0" applyNumberFormat="1" applyFont="1" applyFill="1" applyBorder="1" applyAlignment="1">
      <x:alignment horizontal="general" vertical="bottom" wrapText="0"/>
    </x:xf>
    <x:xf numFmtId="164" fontId="21" fillId="13" borderId="7" xfId="0" applyNumberFormat="1" applyFont="1" applyFill="1" applyBorder="1" applyAlignment="1">
      <x:alignment horizontal="general" vertical="bottom" wrapText="1"/>
    </x:xf>
    <x:xf numFmtId="164" fontId="18" fillId="13" borderId="7" xfId="0" applyNumberFormat="1" applyFont="1" applyFill="1" applyBorder="1" applyAlignment="1">
      <x:alignment horizontal="center" vertical="top" wrapText="1"/>
    </x:xf>
    <x:xf numFmtId="164" fontId="18" fillId="13" borderId="7" xfId="0" applyNumberFormat="1" applyFont="1" applyFill="1" applyBorder="1" applyAlignment="1">
      <x:alignment horizontal="center" vertical="center" wrapText="1"/>
    </x:xf>
    <x:xf numFmtId="164" fontId="21" fillId="13" borderId="7" xfId="0" applyNumberFormat="1" applyFont="1" applyFill="1" applyBorder="1" applyAlignment="1">
      <x:alignment horizontal="center" vertical="center" wrapText="1"/>
    </x:xf>
    <x:xf numFmtId="164" fontId="20" fillId="15" borderId="7" xfId="0" applyNumberFormat="1" applyFont="1" applyFill="1" applyBorder="1" applyAlignment="1">
      <x:alignment horizontal="center" vertical="center" wrapText="0"/>
    </x:xf>
    <x:xf numFmtId="164" fontId="20" fillId="16" borderId="7" xfId="0" applyNumberFormat="1" applyFont="1" applyFill="1" applyBorder="1" applyAlignment="1">
      <x:alignment horizontal="center" vertical="center" wrapText="0"/>
    </x:xf>
    <x:xf numFmtId="175" fontId="15" fillId="11" borderId="7" xfId="0" applyNumberFormat="1" applyFont="1" applyFill="1" applyBorder="1" applyAlignment="1">
      <x:alignment horizontal="general" vertical="center" wrapText="1"/>
    </x:xf>
    <x:xf numFmtId="164" fontId="15" fillId="11" borderId="7" xfId="0" applyNumberFormat="1" applyFont="1" applyFill="1" applyBorder="1" applyAlignment="1">
      <x:alignment horizontal="general" vertical="center" wrapText="1"/>
    </x:xf>
    <x:xf numFmtId="164" fontId="16" fillId="11" borderId="7" xfId="0" applyNumberFormat="1" applyFont="1" applyFill="1" applyBorder="1" applyAlignment="1">
      <x:alignment horizontal="general" vertical="center" wrapText="0"/>
    </x:xf>
    <x:xf numFmtId="164" fontId="16" fillId="11" borderId="7" xfId="0" applyNumberFormat="1" applyFont="1" applyFill="1" applyBorder="1" applyAlignment="1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75" fontId="15" fillId="10" borderId="7" xfId="0" applyNumberFormat="1" applyFont="1" applyFill="1" applyBorder="1" applyAlignment="1">
      <x:alignment horizontal="general" vertical="center" wrapText="1"/>
    </x:xf>
    <x:xf numFmtId="164" fontId="15" fillId="10" borderId="7" xfId="0" applyNumberFormat="1" applyFont="1" applyFill="1" applyBorder="1" applyAlignment="1">
      <x:alignment horizontal="general" vertical="center" wrapText="1"/>
    </x:xf>
    <x:xf numFmtId="164" fontId="16" fillId="10" borderId="7" xfId="0" applyNumberFormat="1" applyFont="1" applyFill="1" applyBorder="1" applyAlignment="1">
      <x:alignment horizontal="general" vertical="center" wrapText="0"/>
    </x:xf>
    <x:xf numFmtId="164" fontId="16" fillId="10" borderId="7" xfId="0" applyNumberFormat="1" applyFont="1" applyFill="1" applyBorder="1" applyAlignment="1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6" fillId="11" borderId="7" xfId="0" applyNumberFormat="1" applyFont="1" applyFill="1" applyBorder="1" applyAlignment="1">
      <x:alignment horizontal="center" vertical="center" wrapText="0"/>
    </x:xf>
    <x:xf numFmtId="164" fontId="16" fillId="11" borderId="7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6" fillId="10" borderId="7" xfId="0" applyNumberFormat="1" applyFont="1" applyFill="1" applyBorder="1" applyAlignment="1">
      <x:alignment horizontal="center" vertical="center" wrapText="0"/>
    </x:xf>
    <x:xf numFmtId="164" fontId="16" fillId="10" borderId="7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6" fillId="11" borderId="7" xfId="0" applyNumberFormat="1" applyFont="1" applyFill="1" applyBorder="1" applyAlignment="1">
      <x:alignment horizontal="center" vertical="center" wrapText="1"/>
    </x:xf>
    <x:xf numFmtId="164" fontId="16" fillId="11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6" fillId="10" borderId="7" xfId="0" applyNumberFormat="1" applyFont="1" applyFill="1" applyBorder="1" applyAlignment="1">
      <x:alignment horizontal="center" vertical="center" wrapText="1"/>
    </x:xf>
    <x:xf numFmtId="164" fontId="16" fillId="1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2" fillId="11" borderId="7" xfId="0" applyNumberFormat="1" applyFont="1" applyFill="1" applyBorder="1" applyAlignment="1">
      <x:alignment horizontal="center" vertical="center" wrapText="1"/>
    </x:xf>
    <x:xf numFmtId="164" fontId="22" fillId="10" borderId="7" xfId="0" applyNumberFormat="1" applyFont="1" applyFill="1" applyBorder="1" applyAlignment="1">
      <x:alignment horizontal="center" vertical="center" wrapText="1"/>
    </x:xf>
    <x:xf numFmtId="164" fontId="20" fillId="15" borderId="8" xfId="0" applyNumberFormat="1" applyFont="1" applyFill="1" applyBorder="1" applyAlignment="1">
      <x:alignment horizontal="center" vertical="center" wrapText="0"/>
    </x:xf>
    <x:xf numFmtId="164" fontId="21" fillId="13" borderId="8" xfId="0" applyNumberFormat="1" applyFont="1" applyFill="1" applyBorder="1" applyAlignment="1">
      <x:alignment horizontal="center" vertical="center" wrapText="1"/>
    </x:xf>
    <x:xf numFmtId="164" fontId="22" fillId="11" borderId="8" xfId="0" applyNumberFormat="1" applyFont="1" applyFill="1" applyBorder="1" applyAlignment="1">
      <x:alignment horizontal="center" vertical="center" wrapText="1"/>
    </x:xf>
    <x:xf numFmtId="164" fontId="22" fillId="10" borderId="8" xfId="0" applyNumberFormat="1" applyFont="1" applyFill="1" applyBorder="1" applyAlignment="1">
      <x:alignment horizontal="center" vertical="center" wrapText="1"/>
    </x:xf>
    <x:xf numFmtId="164" fontId="20" fillId="16" borderId="8" xfId="0" applyNumberFormat="1" applyFont="1" applyFill="1" applyBorder="1" applyAlignment="1">
      <x:alignment horizontal="center" vertical="center" wrapText="0"/>
    </x:xf>
    <x:xf numFmtId="164" fontId="22" fillId="11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2" fillId="1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2" fillId="11" borderId="8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2" fillId="10" borderId="8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16" fillId="11" borderId="7" xfId="0" applyNumberFormat="1" applyFont="1" applyFill="1" applyBorder="1" applyAlignment="1">
      <x:alignment horizontal="center" vertical="center" wrapText="1"/>
    </x:xf>
    <x:xf numFmtId="177" fontId="16" fillId="10" borderId="7" xfId="0" applyNumberFormat="1" applyFont="1" applyFill="1" applyBorder="1" applyAlignment="1">
      <x:alignment horizontal="center" vertical="center" wrapText="1"/>
    </x:xf>
    <x:xf numFmtId="164" fontId="16" fillId="11" borderId="7" xfId="0" applyNumberFormat="1" applyFont="1" applyFill="1" applyBorder="1" applyAlignment="1">
      <x:alignment horizontal="general" vertical="center" wrapText="1"/>
    </x:xf>
    <x:xf numFmtId="164" fontId="16" fillId="10" borderId="7" xfId="0" applyNumberFormat="1" applyFont="1" applyFill="1" applyBorder="1" applyAlignment="1">
      <x:alignment horizontal="general" vertical="center" wrapText="1"/>
    </x:xf>
    <x:xf numFmtId="164" fontId="14" fillId="17" borderId="7" xfId="0" applyNumberFormat="1" applyFont="1" applyFill="1" applyBorder="1" applyAlignment="1">
      <x:alignment horizontal="general" vertical="top" wrapText="1"/>
    </x:xf>
    <x:xf numFmtId="164" fontId="15" fillId="17" borderId="7" xfId="0" applyNumberFormat="1" applyFont="1" applyFill="1" applyBorder="1" applyAlignment="1">
      <x:alignment horizontal="general" vertical="top" wrapText="1"/>
    </x:xf>
    <x:xf numFmtId="164" fontId="16" fillId="17" borderId="7" xfId="0" applyNumberFormat="1" applyFont="1" applyFill="1" applyBorder="1" applyAlignment="1">
      <x:alignment horizontal="general" vertical="top" wrapText="1"/>
    </x:xf>
    <x:xf numFmtId="164" fontId="18" fillId="17" borderId="7" xfId="0" applyNumberFormat="1" applyFont="1" applyFill="1" applyBorder="1" applyAlignment="1">
      <x:alignment horizontal="general" vertical="top" wrapText="1"/>
    </x:xf>
    <x:xf numFmtId="175" fontId="15" fillId="17" borderId="7" xfId="0" applyNumberFormat="1" applyFont="1" applyFill="1" applyBorder="1" applyAlignment="1">
      <x:alignment horizontal="general" vertical="top" wrapText="1"/>
    </x:xf>
    <x:xf numFmtId="164" fontId="19" fillId="17" borderId="7" xfId="0" applyNumberFormat="1" applyFont="1" applyFill="1" applyBorder="1" applyAlignment="1">
      <x:alignment horizontal="general" vertical="top" wrapText="1"/>
    </x:xf>
    <x:xf numFmtId="164" fontId="17" fillId="17" borderId="7" xfId="0" applyNumberFormat="1" applyFont="1" applyFill="1" applyBorder="1" applyAlignment="1">
      <x:alignment horizontal="general" vertical="top" wrapText="1"/>
    </x:xf>
    <x:xf numFmtId="164" fontId="23" fillId="17" borderId="7" xfId="0" applyNumberFormat="1" applyFont="1" applyFill="1" applyBorder="1" applyAlignment="1">
      <x:alignment horizontal="general" vertical="top" wrapText="1"/>
    </x:xf>
    <x:xf numFmtId="164" fontId="24" fillId="17" borderId="7" xfId="0" applyNumberFormat="1" applyFont="1" applyFill="1" applyBorder="1" applyAlignment="1">
      <x:alignment horizontal="general" vertical="top" wrapText="1"/>
    </x:xf>
    <x:xf numFmtId="175" fontId="23" fillId="17" borderId="7" xfId="0" applyNumberFormat="1" applyFont="1" applyFill="1" applyBorder="1" applyAlignment="1">
      <x:alignment horizontal="general" vertical="top" wrapText="1"/>
    </x:xf>
    <x:xf numFmtId="164" fontId="23" fillId="17" borderId="9" xfId="0" applyNumberFormat="1" applyFont="1" applyFill="1" applyBorder="1" applyAlignment="1">
      <x:alignment horizontal="general" vertical="top" wrapText="1"/>
    </x:xf>
    <x:xf numFmtId="164" fontId="24" fillId="17" borderId="9" xfId="0" applyNumberFormat="1" applyFont="1" applyFill="1" applyBorder="1" applyAlignment="1">
      <x:alignment horizontal="general" vertical="top" wrapText="1"/>
    </x:xf>
    <x:xf numFmtId="175" fontId="23" fillId="17" borderId="9" xfId="0" applyNumberFormat="1" applyFont="1" applyFill="1" applyBorder="1" applyAlignment="1">
      <x:alignment horizontal="general" vertical="top" wrapText="1"/>
    </x:xf>
    <x:xf numFmtId="164" fontId="23" fillId="18" borderId="9" xfId="0" applyNumberFormat="1" applyFont="1" applyFill="1" applyBorder="1" applyAlignment="1">
      <x:alignment horizontal="general" vertical="top" wrapText="1"/>
    </x:xf>
    <x:xf numFmtId="175" fontId="23" fillId="18" borderId="9" xfId="0" applyNumberFormat="1" applyFont="1" applyFill="1" applyBorder="1" applyAlignment="1">
      <x:alignment horizontal="general" vertical="top" wrapText="1"/>
    </x:xf>
    <x:xf numFmtId="164" fontId="24" fillId="18" borderId="9" xfId="0" applyNumberFormat="1" applyFont="1" applyFill="1" applyBorder="1" applyAlignment="1">
      <x:alignment horizontal="general" vertical="top" wrapText="1"/>
    </x:xf>
    <x:xf numFmtId="164" fontId="23" fillId="19" borderId="9" xfId="0" applyNumberFormat="1" applyFont="1" applyFill="1" applyBorder="1" applyAlignment="1">
      <x:alignment horizontal="general" vertical="top" wrapText="1"/>
    </x:xf>
    <x:xf numFmtId="164" fontId="25" fillId="19" borderId="9" xfId="0" applyNumberFormat="1" applyFont="1" applyFill="1" applyBorder="1" applyAlignment="1">
      <x:alignment horizontal="general" vertical="top" wrapText="1"/>
    </x:xf>
    <x:xf numFmtId="164" fontId="23" fillId="20" borderId="9" xfId="0" applyNumberFormat="1" applyFont="1" applyFill="1" applyBorder="1" applyAlignment="1">
      <x:alignment horizontal="general" vertical="top" wrapText="1"/>
    </x:xf>
    <x:xf numFmtId="164" fontId="18" fillId="20" borderId="9" xfId="0" applyNumberFormat="1" applyFont="1" applyFill="1" applyBorder="1" applyAlignment="1">
      <x:alignment horizontal="general" vertical="top" wrapText="1"/>
    </x:xf>
    <x:xf numFmtId="164" fontId="24" fillId="19" borderId="9" xfId="0" applyNumberFormat="1" applyFont="1" applyFill="1" applyBorder="1" applyAlignment="1">
      <x:alignment horizontal="general" vertical="top" wrapText="1"/>
    </x:xf>
    <x:xf numFmtId="164" fontId="26" fillId="19" borderId="9" xfId="0" applyNumberFormat="1" applyFont="1" applyFill="1" applyBorder="1" applyAlignment="1">
      <x:alignment horizontal="general" vertical="top" wrapText="1"/>
    </x:xf>
    <x:xf numFmtId="176" fontId="15" fillId="17" borderId="7" xfId="0" applyNumberFormat="1" applyFont="1" applyFill="1" applyBorder="1" applyAlignment="1">
      <x:alignment horizontal="general" vertical="top" wrapText="1"/>
    </x:xf>
    <x:xf numFmtId="177" fontId="15" fillId="17" borderId="7" xfId="0" applyNumberFormat="1" applyFont="1" applyFill="1" applyBorder="1" applyAlignment="1">
      <x:alignment horizontal="general" vertical="top" wrapText="1"/>
    </x:xf>
    <x:xf numFmtId="176" fontId="14" fillId="17" borderId="7" xfId="0" applyNumberFormat="1" applyFont="1" applyFill="1" applyBorder="1" applyAlignment="1">
      <x:alignment horizontal="general" vertical="top" wrapText="1"/>
    </x:xf>
    <x:xf numFmtId="177" fontId="14" fillId="17" borderId="7" xfId="0" applyNumberFormat="1" applyFont="1" applyFill="1" applyBorder="1" applyAlignment="1">
      <x:alignment horizontal="general" vertical="top" wrapText="1"/>
    </x:xf>
    <x:xf numFmtId="176" fontId="18" fillId="17" borderId="7" xfId="0" applyNumberFormat="1" applyFont="1" applyFill="1" applyBorder="1" applyAlignment="1">
      <x:alignment horizontal="general" vertical="top" wrapText="1"/>
    </x:xf>
    <x:xf numFmtId="177" fontId="18" fillId="17" borderId="7" xfId="0" applyNumberFormat="1" applyFont="1" applyFill="1" applyBorder="1" applyAlignment="1">
      <x:alignment horizontal="general" vertical="top" wrapText="1"/>
    </x:xf>
    <x:xf numFmtId="176" fontId="23" fillId="17" borderId="7" xfId="0" applyNumberFormat="1" applyFont="1" applyFill="1" applyBorder="1" applyAlignment="1">
      <x:alignment horizontal="general" vertical="top" wrapText="1"/>
    </x:xf>
    <x:xf numFmtId="177" fontId="23" fillId="17" borderId="7" xfId="0" applyNumberFormat="1" applyFont="1" applyFill="1" applyBorder="1" applyAlignment="1">
      <x:alignment horizontal="general" vertical="top" wrapText="1"/>
    </x:xf>
    <x:xf numFmtId="176" fontId="23" fillId="17" borderId="9" xfId="0" applyNumberFormat="1" applyFont="1" applyFill="1" applyBorder="1" applyAlignment="1">
      <x:alignment horizontal="general" vertical="top" wrapText="1"/>
    </x:xf>
    <x:xf numFmtId="177" fontId="23" fillId="17" borderId="9" xfId="0" applyNumberFormat="1" applyFont="1" applyFill="1" applyBorder="1" applyAlignment="1">
      <x:alignment horizontal="general" vertical="top" wrapText="1"/>
    </x:xf>
    <x:xf numFmtId="176" fontId="23" fillId="18" borderId="9" xfId="0" applyNumberFormat="1" applyFont="1" applyFill="1" applyBorder="1" applyAlignment="1">
      <x:alignment horizontal="general" vertical="top" wrapText="1"/>
    </x:xf>
    <x:xf numFmtId="177" fontId="23" fillId="18" borderId="9" xfId="0" applyNumberFormat="1" applyFont="1" applyFill="1" applyBorder="1" applyAlignment="1">
      <x:alignment horizontal="general" vertical="top" wrapText="1"/>
    </x:xf>
    <x:xf numFmtId="164" fontId="20" fillId="17" borderId="7" xfId="0" applyNumberFormat="1" applyFont="1" applyFill="1" applyBorder="1" applyAlignment="1">
      <x:alignment horizontal="center" vertical="center" wrapText="0"/>
    </x:xf>
    <x:xf numFmtId="164" fontId="20" fillId="17" borderId="8" xfId="0" applyNumberFormat="1" applyFont="1" applyFill="1" applyBorder="1" applyAlignment="1">
      <x:alignment horizontal="center" vertical="center" wrapText="0"/>
    </x:xf>
    <x:xf numFmtId="164" fontId="18" fillId="17" borderId="7" xfId="0" applyNumberFormat="1" applyFont="1" applyFill="1" applyBorder="1" applyAlignment="1">
      <x:alignment horizontal="center" vertical="center" wrapText="1"/>
    </x:xf>
    <x:xf numFmtId="164" fontId="21" fillId="17" borderId="8" xfId="0" applyNumberFormat="1" applyFont="1" applyFill="1" applyBorder="1" applyAlignment="1">
      <x:alignment horizontal="center" vertical="center" wrapText="1"/>
    </x:xf>
    <x:xf numFmtId="164" fontId="21" fillId="17" borderId="7" xfId="0" applyNumberFormat="1" applyFont="1" applyFill="1" applyBorder="1" applyAlignment="1">
      <x:alignment horizontal="center" vertical="center" wrapText="1"/>
    </x:xf>
    <x:xf numFmtId="175" fontId="15" fillId="17" borderId="7" xfId="0" applyNumberFormat="1" applyFont="1" applyFill="1" applyBorder="1" applyAlignment="1">
      <x:alignment horizontal="general" vertical="center" wrapText="1"/>
    </x:xf>
    <x:xf numFmtId="164" fontId="15" fillId="17" borderId="7" xfId="0" applyNumberFormat="1" applyFont="1" applyFill="1" applyBorder="1" applyAlignment="1">
      <x:alignment horizontal="general" vertical="center" wrapText="1"/>
    </x:xf>
    <x:xf numFmtId="164" fontId="22" fillId="17" borderId="8" xfId="0" applyNumberFormat="1" applyFont="1" applyFill="1" applyBorder="1" applyAlignment="1">
      <x:alignment horizontal="center" vertical="center" wrapText="1"/>
    </x:xf>
    <x:xf numFmtId="164" fontId="16" fillId="17" borderId="7" xfId="0" applyNumberFormat="1" applyFont="1" applyFill="1" applyBorder="1" applyAlignment="1">
      <x:alignment horizontal="center" vertical="center" wrapText="1"/>
    </x:xf>
    <x:xf numFmtId="164" fontId="22" fillId="17" borderId="8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16" fillId="17" borderId="7" xfId="0" applyNumberFormat="1" applyFont="1" applyFill="1" applyBorder="1" applyAlignment="1">
      <x:alignment horizontal="center" vertical="center" wrapText="1"/>
    </x:xf>
    <x:xf numFmtId="164" fontId="16" fillId="17" borderId="7" xfId="0" applyNumberFormat="1" applyFont="1" applyFill="1" applyBorder="1" applyAlignment="1">
      <x:alignment horizontal="general" vertical="center" wrapText="1"/>
    </x:xf>
    <x:xf numFmtId="164" fontId="24" fillId="17" borderId="7" xfId="0" applyNumberFormat="1" applyFont="1" applyFill="1" applyBorder="1" applyAlignment="1">
      <x:alignment horizontal="center" vertical="center" wrapText="0"/>
    </x:xf>
    <x:xf numFmtId="164" fontId="24" fillId="17" borderId="8" xfId="0" applyNumberFormat="1" applyFont="1" applyFill="1" applyBorder="1" applyAlignment="1">
      <x:alignment horizontal="center" vertical="center" wrapText="0"/>
    </x:xf>
    <x:xf numFmtId="164" fontId="23" fillId="17" borderId="7" xfId="0" applyNumberFormat="1" applyFont="1" applyFill="1" applyBorder="1" applyAlignment="1">
      <x:alignment horizontal="center" vertical="center" wrapText="1"/>
    </x:xf>
    <x:xf numFmtId="164" fontId="24" fillId="17" borderId="8" xfId="0" applyNumberFormat="1" applyFont="1" applyFill="1" applyBorder="1" applyAlignment="1">
      <x:alignment horizontal="center" vertical="center" wrapText="1"/>
    </x:xf>
    <x:xf numFmtId="164" fontId="24" fillId="17" borderId="7" xfId="0" applyNumberFormat="1" applyFont="1" applyFill="1" applyBorder="1" applyAlignment="1">
      <x:alignment horizontal="center" vertical="center" wrapText="1"/>
    </x:xf>
    <x:xf numFmtId="175" fontId="23" fillId="17" borderId="7" xfId="0" applyNumberFormat="1" applyFont="1" applyFill="1" applyBorder="1" applyAlignment="1">
      <x:alignment horizontal="general" vertical="center" wrapText="1"/>
    </x:xf>
    <x:xf numFmtId="164" fontId="23" fillId="17" borderId="7" xfId="0" applyNumberFormat="1" applyFont="1" applyFill="1" applyBorder="1" applyAlignment="1">
      <x:alignment horizontal="general" vertical="center" wrapText="1"/>
    </x:xf>
    <x:xf numFmtId="164" fontId="24" fillId="17" borderId="8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24" fillId="17" borderId="7" xfId="0" applyNumberFormat="1" applyFont="1" applyFill="1" applyBorder="1" applyAlignment="1">
      <x:alignment horizontal="center" vertical="center" wrapText="1"/>
    </x:xf>
    <x:xf numFmtId="164" fontId="24" fillId="17" borderId="7" xfId="0" applyNumberFormat="1" applyFont="1" applyFill="1" applyBorder="1" applyAlignment="1">
      <x:alignment horizontal="general" vertical="center" wrapText="1"/>
    </x:xf>
    <x:xf numFmtId="164" fontId="24" fillId="17" borderId="9" xfId="0" applyNumberFormat="1" applyFont="1" applyFill="1" applyBorder="1" applyAlignment="1">
      <x:alignment horizontal="center" vertical="center" wrapText="0"/>
    </x:xf>
    <x:xf numFmtId="164" fontId="23" fillId="17" borderId="9" xfId="0" applyNumberFormat="1" applyFont="1" applyFill="1" applyBorder="1" applyAlignment="1">
      <x:alignment horizontal="center" vertical="center" wrapText="1"/>
    </x:xf>
    <x:xf numFmtId="164" fontId="24" fillId="17" borderId="9" xfId="0" applyNumberFormat="1" applyFont="1" applyFill="1" applyBorder="1" applyAlignment="1">
      <x:alignment horizontal="center" vertical="center" wrapText="1"/>
    </x:xf>
    <x:xf numFmtId="175" fontId="23" fillId="17" borderId="9" xfId="0" applyNumberFormat="1" applyFont="1" applyFill="1" applyBorder="1" applyAlignment="1">
      <x:alignment horizontal="general" vertical="center" wrapText="1"/>
    </x:xf>
    <x:xf numFmtId="164" fontId="23" fillId="17" borderId="9" xfId="0" applyNumberFormat="1" applyFont="1" applyFill="1" applyBorder="1" applyAlignment="1">
      <x:alignment horizontal="general" vertical="center" wrapText="1"/>
    </x:xf>
    <x:xf numFmtId="164" fontId="24" fillId="17" borderId="9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24" fillId="17" borderId="9" xfId="0" applyNumberFormat="1" applyFont="1" applyFill="1" applyBorder="1" applyAlignment="1">
      <x:alignment horizontal="center" vertical="center" wrapText="1"/>
    </x:xf>
    <x:xf numFmtId="164" fontId="24" fillId="17" borderId="9" xfId="0" applyNumberFormat="1" applyFont="1" applyFill="1" applyBorder="1" applyAlignment="1">
      <x:alignment horizontal="general" vertical="center" wrapText="1"/>
    </x:xf>
    <x:xf numFmtId="175" fontId="23" fillId="18" borderId="9" xfId="0" applyNumberFormat="1" applyFont="1" applyFill="1" applyBorder="1" applyAlignment="1">
      <x:alignment horizontal="general" vertical="center" wrapText="1"/>
    </x:xf>
    <x:xf numFmtId="164" fontId="23" fillId="18" borderId="9" xfId="0" applyNumberFormat="1" applyFont="1" applyFill="1" applyBorder="1" applyAlignment="1">
      <x:alignment horizontal="general" vertical="center" wrapText="1"/>
    </x:xf>
    <x:xf numFmtId="164" fontId="24" fillId="18" borderId="9" xfId="0" applyNumberFormat="1" applyFont="1" applyFill="1" applyBorder="1" applyAlignment="1">
      <x:alignment horizontal="center" vertical="center" wrapText="1"/>
    </x:xf>
    <x:xf numFmtId="164" fontId="24" fillId="18" borderId="9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24" fillId="18" borderId="9" xfId="0" applyNumberFormat="1" applyFont="1" applyFill="1" applyBorder="1" applyAlignment="1">
      <x:alignment horizontal="center" vertical="center" wrapText="1"/>
    </x:xf>
    <x:xf numFmtId="164" fontId="24" fillId="18" borderId="9" xfId="0" applyNumberFormat="1" applyFont="1" applyFill="1" applyBorder="1" applyAlignment="1">
      <x:alignment horizontal="general" vertical="center" wrapText="1"/>
    </x:xf>
    <x:xf numFmtId="164" fontId="20" fillId="17" borderId="9" xfId="0" applyNumberFormat="1" applyFont="1" applyFill="1" applyBorder="1" applyAlignment="1">
      <x:alignment horizontal="center" vertical="center" wrapText="0"/>
    </x:xf>
    <x:xf numFmtId="164" fontId="20" fillId="21" borderId="9" xfId="0" applyNumberFormat="1" applyFont="1" applyFill="1" applyBorder="1" applyAlignment="1">
      <x:alignment horizontal="center" vertical="center" wrapText="0"/>
    </x:xf>
    <x:xf numFmtId="164" fontId="20" fillId="22" borderId="9" xfId="0" applyNumberFormat="1" applyFont="1" applyFill="1" applyBorder="1" applyAlignment="1">
      <x:alignment horizontal="center" vertical="center" wrapText="0"/>
    </x:xf>
    <x:xf numFmtId="164" fontId="23" fillId="20" borderId="9" xfId="0" applyNumberFormat="1" applyFont="1" applyFill="1" applyBorder="1" applyAlignment="1">
      <x:alignment horizontal="center" vertical="center" wrapText="1"/>
    </x:xf>
    <x:xf numFmtId="164" fontId="24" fillId="20" borderId="9" xfId="0" applyNumberFormat="1" applyFont="1" applyFill="1" applyBorder="1" applyAlignment="1">
      <x:alignment horizontal="center" vertical="center" wrapText="1"/>
    </x:xf>
    <x:xf numFmtId="164" fontId="18" fillId="20" borderId="9" xfId="0" applyNumberFormat="1" applyFont="1" applyFill="1" applyBorder="1" applyAlignment="1">
      <x:alignment horizontal="center" vertical="center" wrapText="1"/>
    </x:xf>
    <x:xf numFmtId="164" fontId="21" fillId="20" borderId="9" xfId="0" applyNumberFormat="1" applyFont="1" applyFill="1" applyBorder="1" applyAlignment="1">
      <x:alignment horizontal="center" vertical="center" wrapText="1"/>
    </x:xf>
    <x:xf numFmtId="164" fontId="20" fillId="21" borderId="10" xfId="0" applyNumberFormat="1" applyFont="1" applyFill="1" applyBorder="1" applyAlignment="1">
      <x:alignment horizontal="center" vertical="center" wrapText="0"/>
    </x:xf>
    <x:xf numFmtId="164" fontId="21" fillId="20" borderId="10" xfId="0" applyNumberFormat="1" applyFont="1" applyFill="1" applyBorder="1" applyAlignment="1">
      <x:alignment horizontal="center" vertical="center" wrapText="1"/>
    </x:xf>
    <x:xf numFmtId="164" fontId="24" fillId="18" borderId="10" xfId="0" applyNumberFormat="1" applyFont="1" applyFill="1" applyBorder="1" applyAlignment="1">
      <x:alignment horizontal="center" vertical="center" wrapText="1"/>
    </x:xf>
    <x:xf numFmtId="164" fontId="24" fillId="17" borderId="10" xfId="0" applyNumberFormat="1" applyFont="1" applyFill="1" applyBorder="1" applyAlignment="1">
      <x:alignment horizontal="center" vertical="center" wrapText="1"/>
    </x:xf>
    <x:xf numFmtId="164" fontId="20" fillId="22" borderId="10" xfId="0" applyNumberFormat="1" applyFont="1" applyFill="1" applyBorder="1" applyAlignment="1">
      <x:alignment horizontal="center" vertical="center" wrapText="0"/>
    </x:xf>
    <x:xf numFmtId="164" fontId="24" fillId="18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4" fillId="17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0" fillId="17" borderId="10" xfId="0" applyNumberFormat="1" applyFont="1" applyFill="1" applyBorder="1" applyAlignment="1">
      <x:alignment horizontal="center" vertical="center" wrapText="0"/>
    </x:xf>
    <x:xf numFmtId="164" fontId="24" fillId="18" borderId="10" xfId="0" applyNumberFormat="1" applyFont="1" applyFill="1" applyBorder="1" applyAlignment="1">
      <x:alignment horizontal="general" vertical="center" wrapText="1"/>
    </x:xf>
    <x:xf numFmtId="164" fontId="24" fillId="17" borderId="10" xfId="0" applyNumberFormat="1" applyFont="1" applyFill="1" applyBorder="1" applyAlignment="1">
      <x:alignment horizontal="general" vertical="center" wrapText="1"/>
    </x:xf>
    <x:xf numFmtId="164" fontId="23" fillId="23" borderId="9" xfId="0" applyNumberFormat="1" applyFont="1" applyFill="1" applyBorder="1" applyAlignment="1">
      <x:alignment horizontal="general" vertical="top" wrapText="1"/>
    </x:xf>
    <x:xf numFmtId="164" fontId="19" fillId="23" borderId="9" xfId="0" applyNumberFormat="1" applyFont="1" applyFill="1" applyBorder="1" applyAlignment="1">
      <x:alignment horizontal="general" vertical="top" wrapText="1"/>
    </x:xf>
    <x:xf numFmtId="177" fontId="16" fillId="18" borderId="9" xfId="0" applyNumberFormat="1" applyFont="1" applyFill="1" applyBorder="1" applyAlignment="1">
      <x:alignment horizontal="center" vertical="center" wrapText="1"/>
    </x:xf>
    <x:xf numFmtId="200" fontId="16" fillId="10" borderId="9" xfId="0" applyNumberFormat="1" applyFont="1" applyFill="1" applyBorder="1" applyAlignment="1">
      <x:alignment horizontal="center" vertical="center" wrapText="1"/>
    </x:xf>
    <x:xf numFmtId="200" fontId="16" fillId="18" borderId="9" xfId="0" applyNumberFormat="1" applyFont="1" applyFill="1" applyBorder="1" applyAlignment="1">
      <x:alignment horizontal="center" vertical="center" wrapText="1"/>
    </x:xf>
    <x:xf numFmtId="164" fontId="15" fillId="24" borderId="9" xfId="0" applyNumberFormat="1" applyFont="1" applyFill="1" applyBorder="1" applyAlignment="1">
      <x:alignment horizontal="general" vertical="center" wrapText="1"/>
    </x:xf>
    <x:xf numFmtId="164" fontId="15" fillId="25" borderId="9" xfId="0" applyNumberFormat="1" applyFont="1" applyFill="1" applyBorder="1" applyAlignment="1">
      <x:alignment horizontal="general" vertical="center" wrapText="1"/>
    </x:xf>
    <x:xf numFmtId="164" fontId="16" fillId="24" borderId="10" xfId="0" applyNumberFormat="1" applyFont="1" applyFill="1" applyBorder="1" applyAlignment="1">
      <x:alignment horizontal="center" vertical="center" wrapText="1"/>
    </x:xf>
    <x:xf numFmtId="177" fontId="16" fillId="24" borderId="9" xfId="0" applyNumberFormat="1" applyFont="1" applyFill="1" applyBorder="1" applyAlignment="1">
      <x:alignment horizontal="center" vertical="center" wrapText="1"/>
    </x:xf>
    <x:xf numFmtId="164" fontId="16" fillId="24" borderId="9" xfId="0" applyNumberFormat="1" applyFont="1" applyFill="1" applyBorder="1" applyAlignment="1">
      <x:alignment horizontal="center" vertical="center" wrapText="1"/>
    </x:xf>
    <x:xf numFmtId="164" fontId="16" fillId="24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6" fillId="24" borderId="10" xfId="0" applyNumberFormat="1" applyFont="1" applyFill="1" applyBorder="1" applyAlignment="1">
      <x:alignment horizontal="general" vertical="center" wrapText="1"/>
    </x:xf>
    <x:xf numFmtId="164" fontId="16" fillId="25" borderId="10" xfId="0" applyNumberFormat="1" applyFont="1" applyFill="1" applyBorder="1" applyAlignment="1">
      <x:alignment horizontal="center" vertical="center" wrapText="1"/>
    </x:xf>
    <x:xf numFmtId="200" fontId="16" fillId="25" borderId="9" xfId="0" applyNumberFormat="1" applyFont="1" applyFill="1" applyBorder="1" applyAlignment="1">
      <x:alignment horizontal="center" vertical="center" wrapText="1"/>
    </x:xf>
    <x:xf numFmtId="164" fontId="16" fillId="25" borderId="9" xfId="0" applyNumberFormat="1" applyFont="1" applyFill="1" applyBorder="1" applyAlignment="1">
      <x:alignment horizontal="center" vertical="center" wrapText="1"/>
    </x:xf>
    <x:xf numFmtId="164" fontId="16" fillId="25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16" fillId="25" borderId="9" xfId="0" applyNumberFormat="1" applyFont="1" applyFill="1" applyBorder="1" applyAlignment="1">
      <x:alignment horizontal="center" vertical="center" wrapText="1"/>
    </x:xf>
    <x:xf numFmtId="164" fontId="16" fillId="25" borderId="10" xfId="0" applyNumberFormat="1" applyFont="1" applyFill="1" applyBorder="1" applyAlignment="1">
      <x:alignment horizontal="general" vertical="center" wrapText="1"/>
    </x:xf>
    <x:xf numFmtId="200" fontId="16" fillId="24" borderId="9" xfId="0" applyNumberFormat="1" applyFont="1" applyFill="1" applyBorder="1" applyAlignment="1">
      <x:alignment horizontal="center" vertical="center" wrapText="1"/>
    </x:xf>
    <x:xf numFmtId="164" fontId="15" fillId="24" borderId="9" xfId="0" applyNumberFormat="1" applyFont="1" applyFill="1" applyBorder="1" applyAlignment="1">
      <x:alignment horizontal="general" vertical="top" wrapText="1"/>
    </x:xf>
    <x:xf numFmtId="175" fontId="15" fillId="24" borderId="9" xfId="0" applyNumberFormat="1" applyFont="1" applyFill="1" applyBorder="1" applyAlignment="1">
      <x:alignment horizontal="general" vertical="top" wrapText="1"/>
    </x:xf>
    <x:xf numFmtId="164" fontId="19" fillId="24" borderId="9" xfId="0" applyNumberFormat="1" applyFont="1" applyFill="1" applyBorder="1" applyAlignment="1">
      <x:alignment horizontal="general" vertical="top" wrapText="1"/>
    </x:xf>
    <x:xf numFmtId="164" fontId="16" fillId="24" borderId="9" xfId="0" applyNumberFormat="1" applyFont="1" applyFill="1" applyBorder="1" applyAlignment="1">
      <x:alignment horizontal="general" vertical="top" wrapText="1"/>
    </x:xf>
    <x:xf numFmtId="164" fontId="15" fillId="25" borderId="9" xfId="0" applyNumberFormat="1" applyFont="1" applyFill="1" applyBorder="1" applyAlignment="1">
      <x:alignment horizontal="general" vertical="top" wrapText="1"/>
    </x:xf>
    <x:xf numFmtId="164" fontId="16" fillId="25" borderId="9" xfId="0" applyNumberFormat="1" applyFont="1" applyFill="1" applyBorder="1" applyAlignment="1">
      <x:alignment horizontal="general" vertical="top" wrapText="1"/>
    </x:xf>
    <x:xf numFmtId="176" fontId="15" fillId="24" borderId="9" xfId="0" applyNumberFormat="1" applyFont="1" applyFill="1" applyBorder="1" applyAlignment="1">
      <x:alignment horizontal="general" vertical="top" wrapText="1"/>
    </x:xf>
    <x:xf numFmtId="176" fontId="15" fillId="25" borderId="9" xfId="0" applyNumberFormat="1" applyFont="1" applyFill="1" applyBorder="1" applyAlignment="1">
      <x:alignment horizontal="general" vertical="top" wrapText="1"/>
    </x:xf>
    <x:xf numFmtId="164" fontId="15" fillId="26" borderId="9" xfId="0" applyNumberFormat="1" applyFont="1" applyFill="1" applyBorder="1" applyAlignment="1">
      <x:alignment horizontal="general" vertical="top" wrapText="1"/>
    </x:xf>
    <x:xf numFmtId="175" fontId="15" fillId="26" borderId="9" xfId="0" applyNumberFormat="1" applyFont="1" applyFill="1" applyBorder="1" applyAlignment="1">
      <x:alignment horizontal="general" vertical="top" wrapText="1"/>
    </x:xf>
    <x:xf numFmtId="164" fontId="19" fillId="26" borderId="9" xfId="0" applyNumberFormat="1" applyFont="1" applyFill="1" applyBorder="1" applyAlignment="1">
      <x:alignment horizontal="general" vertical="top" wrapText="1"/>
    </x:xf>
    <x:xf numFmtId="164" fontId="19" fillId="27" borderId="9" xfId="0" applyNumberFormat="1" applyFont="1" applyFill="1" applyBorder="1" applyAlignment="1">
      <x:alignment horizontal="general" vertical="top" wrapText="1"/>
    </x:xf>
    <x:xf numFmtId="164" fontId="16" fillId="26" borderId="9" xfId="0" applyNumberFormat="1" applyFont="1" applyFill="1" applyBorder="1" applyAlignment="1">
      <x:alignment horizontal="general" vertical="top" wrapText="1"/>
    </x:xf>
    <x:xf numFmtId="164" fontId="15" fillId="28" borderId="9" xfId="0" applyNumberFormat="1" applyFont="1" applyFill="1" applyBorder="1" applyAlignment="1">
      <x:alignment horizontal="general" vertical="top" wrapText="1"/>
    </x:xf>
    <x:xf numFmtId="164" fontId="16" fillId="28" borderId="9" xfId="0" applyNumberFormat="1" applyFont="1" applyFill="1" applyBorder="1" applyAlignment="1">
      <x:alignment horizontal="general" vertical="top" wrapText="1"/>
    </x:xf>
    <x:xf numFmtId="176" fontId="15" fillId="26" borderId="9" xfId="0" applyNumberFormat="1" applyFont="1" applyFill="1" applyBorder="1" applyAlignment="1">
      <x:alignment horizontal="general" vertical="top" wrapText="1"/>
    </x:xf>
    <x:xf numFmtId="176" fontId="15" fillId="28" borderId="9" xfId="0" applyNumberFormat="1" applyFont="1" applyFill="1" applyBorder="1" applyAlignment="1">
      <x:alignment horizontal="general" vertical="top" wrapText="1"/>
    </x:xf>
    <x:xf numFmtId="164" fontId="16" fillId="29" borderId="9" xfId="0" applyNumberFormat="1" applyFont="1" applyFill="1" applyBorder="1" applyAlignment="1">
      <x:alignment horizontal="general" vertical="center" wrapText="1"/>
    </x:xf>
    <x:xf numFmtId="164" fontId="16" fillId="30" borderId="9" xfId="0" applyNumberFormat="1" applyFont="1" applyFill="1" applyBorder="1" applyAlignment="1">
      <x:alignment horizontal="general" vertical="center" wrapText="1"/>
    </x:xf>
    <x:xf numFmtId="164" fontId="15" fillId="18" borderId="9" xfId="0" applyNumberFormat="1" applyFont="1" applyFill="1" applyBorder="1" applyAlignment="1">
      <x:alignment horizontal="general" vertical="center" wrapText="1"/>
    </x:xf>
    <x:xf numFmtId="164" fontId="20" fillId="31" borderId="9" xfId="0" applyNumberFormat="1" applyFont="1" applyFill="1" applyBorder="1" applyAlignment="1">
      <x:alignment horizontal="center" vertical="center" wrapText="0"/>
    </x:xf>
    <x:xf numFmtId="164" fontId="20" fillId="31" borderId="10" xfId="0" applyNumberFormat="1" applyFont="1" applyFill="1" applyBorder="1" applyAlignment="1">
      <x:alignment horizontal="center" vertical="center" wrapText="0"/>
    </x:xf>
    <x:xf numFmtId="164" fontId="18" fillId="13" borderId="9" xfId="0" applyNumberFormat="1" applyFont="1" applyFill="1" applyBorder="1" applyAlignment="1">
      <x:alignment horizontal="general" vertical="top" wrapText="1"/>
    </x:xf>
    <x:xf numFmtId="177" fontId="19" fillId="23" borderId="9" xfId="0" applyNumberFormat="1" applyFont="1" applyFill="1" applyBorder="1" applyAlignment="1">
      <x:alignment horizontal="general" vertical="top" wrapText="1"/>
    </x:xf>
    <x:xf numFmtId="177" fontId="19" fillId="32" borderId="9" xfId="0" applyNumberFormat="1" applyFont="1" applyFill="1" applyBorder="1" applyAlignment="1">
      <x:alignment horizontal="general" vertical="top" wrapText="1"/>
    </x:xf>
    <x:xf numFmtId="177" fontId="14" fillId="32" borderId="9" xfId="0" applyNumberFormat="1" applyFont="1" applyFill="1" applyBorder="1" applyAlignment="1">
      <x:alignment horizontal="general" vertical="top" wrapText="1"/>
    </x:xf>
    <x:xf numFmtId="176" fontId="15" fillId="33" borderId="9" xfId="0" applyNumberFormat="1" applyFont="1" applyFill="1" applyBorder="1" applyAlignment="1">
      <x:alignment horizontal="general" vertical="top" wrapText="1"/>
    </x:xf>
    <x:xf numFmtId="177" fontId="15" fillId="33" borderId="9" xfId="0" applyNumberFormat="1" applyFont="1" applyFill="1" applyBorder="1" applyAlignment="1">
      <x:alignment horizontal="general" vertical="top" wrapText="1"/>
    </x:xf>
    <x:xf numFmtId="164" fontId="15" fillId="33" borderId="9" xfId="0" applyNumberFormat="1" applyFont="1" applyFill="1" applyBorder="1" applyAlignment="1">
      <x:alignment horizontal="general" vertical="top" wrapText="1"/>
    </x:xf>
    <x:xf numFmtId="176" fontId="15" fillId="34" borderId="9" xfId="0" applyNumberFormat="1" applyFont="1" applyFill="1" applyBorder="1" applyAlignment="1">
      <x:alignment horizontal="general" vertical="top" wrapText="1"/>
    </x:xf>
    <x:xf numFmtId="177" fontId="15" fillId="34" borderId="9" xfId="0" applyNumberFormat="1" applyFont="1" applyFill="1" applyBorder="1" applyAlignment="1">
      <x:alignment horizontal="general" vertical="top" wrapText="1"/>
    </x:xf>
    <x:xf numFmtId="164" fontId="15" fillId="34" borderId="9" xfId="0" applyNumberFormat="1" applyFont="1" applyFill="1" applyBorder="1" applyAlignment="1">
      <x:alignment horizontal="general" vertical="top" wrapText="1"/>
    </x:xf>
    <x:xf numFmtId="177" fontId="15" fillId="35" borderId="9" xfId="0" applyNumberFormat="1" applyFont="1" applyFill="1" applyBorder="1" applyAlignment="1">
      <x:alignment horizontal="general" vertical="top" wrapText="1"/>
    </x:xf>
    <x:xf numFmtId="177" fontId="15" fillId="36" borderId="9" xfId="0" applyNumberFormat="1" applyFont="1" applyFill="1" applyBorder="1" applyAlignment="1">
      <x:alignment horizontal="general" vertical="top" wrapText="1"/>
    </x:xf>
    <x:xf numFmtId="164" fontId="25" fillId="37" borderId="9" xfId="0" applyNumberFormat="1" applyFont="1" applyFill="1" applyBorder="1" applyAlignment="1">
      <x:alignment horizontal="general" vertical="top" wrapText="1"/>
    </x:xf>
    <x:xf numFmtId="164" fontId="26" fillId="37" borderId="9" xfId="0" applyNumberFormat="1" applyFont="1" applyFill="1" applyBorder="1" applyAlignment="1">
      <x:alignment horizontal="general" vertical="top" wrapText="1"/>
    </x:xf>
    <x:xf numFmtId="164" fontId="14" fillId="37" borderId="9" xfId="0" applyNumberFormat="1" applyFont="1" applyFill="1" applyBorder="1" applyAlignment="1">
      <x:alignment horizontal="general" vertical="top" wrapText="1"/>
    </x:xf>
    <x:xf numFmtId="164" fontId="17" fillId="37" borderId="9" xfId="0" applyNumberFormat="1" applyFont="1" applyFill="1" applyBorder="1" applyAlignment="1">
      <x:alignment horizontal="general" vertical="top" wrapText="1"/>
    </x:xf>
    <x:xf numFmtId="164" fontId="27" fillId="0" borderId="0" xfId="0" applyNumberFormat="1" applyFont="1" applyFill="1" applyBorder="1" applyAlignment="1">
      <x:alignment horizontal="general" vertical="bottom" wrapText="0"/>
    </x:xf>
    <x:xf numFmtId="164" fontId="28" fillId="0" borderId="0" xfId="0" applyNumberFormat="1" applyFont="1" applyFill="1" applyBorder="1" applyAlignment="1">
      <x:alignment horizontal="general" vertical="bottom" wrapText="0"/>
    </x:xf>
    <x:xf numFmtId="164" fontId="21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0" borderId="0" xfId="0" applyNumberFormat="1" applyFont="1" applyFill="1" applyBorder="1" applyAlignment="1">
      <x:alignment horizontal="general" vertical="center" wrapText="0"/>
    </x:xf>
    <x:xf numFmtId="164" fontId="0" fillId="0" borderId="0" xfId="0" applyNumberFormat="1" applyFont="1" applyFill="1" applyBorder="1" applyAlignment="1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38" borderId="0" xfId="0" applyNumberFormat="1" applyFont="1" applyFill="1" applyBorder="1" applyAlignment="1">
      <x:alignment horizontal="general" vertical="center" wrapText="0"/>
    </x:xf>
    <x:xf numFmtId="164" fontId="17" fillId="38" borderId="0" xfId="0" applyNumberFormat="1" applyFont="1" applyFill="1" applyBorder="1" applyAlignment="1">
      <x:alignment horizontal="general" vertical="center" wrapText="0"/>
    </x:xf>
    <x:xf numFmtId="164" fontId="17" fillId="38" borderId="0" xfId="0" applyNumberFormat="1" applyFont="1" applyFill="1" applyBorder="1" applyAlignment="1">
      <x:alignment horizontal="general" vertical="center" wrapText="1"/>
    </x:xf>
    <x:xf numFmtId="164" fontId="0" fillId="39" borderId="0" xfId="0" applyNumberFormat="1" applyFont="1" applyFill="1" applyBorder="1" applyAlignment="1">
      <x:alignment horizontal="general" vertical="center" wrapText="0"/>
    </x:xf>
    <x:xf numFmtId="164" fontId="0" fillId="39" borderId="0" xfId="0" applyNumberFormat="1" applyFont="1" applyFill="1" applyBorder="1" applyAlignment="1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40" borderId="0" xfId="0" applyNumberFormat="1" applyFont="1" applyFill="1" applyBorder="1" applyAlignment="1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40" borderId="0" xfId="0" applyNumberFormat="1" applyFont="1" applyFill="1" applyBorder="1" applyAlignment="1">
      <x:alignment horizontal="general" vertical="center" wrapText="0"/>
    </x:xf>
    <x:xf numFmtId="164" fontId="0" fillId="41" borderId="0" xfId="0" applyNumberFormat="1" applyFont="1" applyFill="1" applyBorder="1" applyAlignment="1">
      <x:alignment horizontal="general" vertical="center" wrapText="0"/>
    </x:xf>
    <x:xf numFmtId="164" fontId="0" fillId="41" borderId="0" xfId="0" applyNumberFormat="1" applyFont="1" applyFill="1" applyBorder="1" applyAlignment="1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42" borderId="0" xfId="0" applyNumberFormat="1" applyFont="1" applyFill="1" applyBorder="1" applyAlignment="1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42" borderId="0" xfId="0" applyNumberFormat="1" applyFont="1" applyFill="1" applyBorder="1" applyAlignment="1">
      <x:alignment horizontal="general" vertical="center" wrapText="0"/>
    </x:xf>
    <x:xf numFmtId="201" fontId="0" fillId="39" borderId="0" xfId="0" applyNumberFormat="1" applyFont="1" applyFill="1" applyBorder="1" applyAlignment="1">
      <x:alignment horizontal="general" vertical="center" wrapText="0"/>
    </x:xf>
    <x:xf numFmtId="201" fontId="0" fillId="41" borderId="0" xfId="0" applyNumberFormat="1" applyFont="1" applyFill="1" applyBorder="1" applyAlignment="1">
      <x:alignment horizontal="general" vertical="center" wrapText="0"/>
    </x:xf>
    <x:xf numFmtId="202" fontId="0" fillId="40" borderId="0" xfId="0" applyNumberFormat="1" applyFont="1" applyFill="1" applyBorder="1" applyAlignment="1">
      <x:alignment horizontal="general" vertical="center" wrapText="0"/>
    </x:xf>
    <x:xf numFmtId="202" fontId="0" fillId="39" borderId="0" xfId="0" applyNumberFormat="1" applyFont="1" applyFill="1" applyBorder="1" applyAlignment="1">
      <x:alignment horizontal="general" vertical="center" wrapText="0"/>
    </x:xf>
    <x:xf numFmtId="202" fontId="0" fillId="42" borderId="0" xfId="0" applyNumberFormat="1" applyFont="1" applyFill="1" applyBorder="1" applyAlignment="1">
      <x:alignment horizontal="general" vertical="center" wrapText="0"/>
    </x:xf>
    <x:xf numFmtId="202" fontId="0" fillId="41" borderId="0" xfId="0" applyNumberFormat="1" applyFont="1" applyFill="1" applyBorder="1" applyAlignment="1">
      <x:alignment horizontal="general" vertical="center" wrapText="0"/>
    </x:xf>
    <x:xf numFmtId="164" fontId="0" fillId="38" borderId="0" xfId="0" applyNumberFormat="1" applyFont="1" applyFill="1" applyBorder="1" applyAlignment="1">
      <x:alignment horizontal="general" vertical="bottom" wrapText="0"/>
    </x:xf>
    <x:xf numFmtId="164" fontId="17" fillId="38" borderId="0" xfId="0" applyNumberFormat="1" applyFont="1" applyFill="1" applyBorder="1" applyAlignment="1">
      <x:alignment horizontal="general" vertical="bottom" wrapText="0"/>
    </x:xf>
    <x:xf numFmtId="164" fontId="0" fillId="43" borderId="0" xfId="0" applyNumberFormat="1" applyFont="1" applyFill="1" applyBorder="1" applyAlignment="1">
      <x:alignment horizontal="general" vertical="bottom" wrapText="0"/>
    </x:xf>
    <x:xf numFmtId="164" fontId="17" fillId="43" borderId="0" xfId="0" applyNumberFormat="1" applyFont="1" applyFill="1" applyBorder="1" applyAlignment="1">
      <x:alignment horizontal="general" vertical="bottom" wrapText="0"/>
    </x:xf>
    <x:xf numFmtId="164" fontId="17" fillId="43" borderId="0" xfId="0" applyNumberFormat="1" applyFont="1" applyFill="1" applyBorder="1" applyAlignment="1">
      <x:alignment horizontal="general" vertical="bottom" wrapText="1"/>
    </x:xf>
    <x:xf numFmtId="164" fontId="17" fillId="43" borderId="0" xfId="0" applyNumberFormat="1" applyFont="1" applyFill="1" applyBorder="1" applyAlignment="1">
      <x:alignment horizontal="general" vertical="center" wrapText="1"/>
    </x:xf>
    <x:xf numFmtId="202" fontId="0" fillId="0" borderId="0" xfId="0" applyNumberFormat="1" applyFont="1" applyFill="1" applyBorder="1" applyAlignment="1">
      <x:alignment horizontal="general" vertical="center" wrapText="0"/>
    </x:xf>
    <x:xf numFmtId="177" fontId="0" fillId="0" borderId="0" xfId="0" applyNumberFormat="1" applyFont="1" applyFill="1" applyBorder="1" applyAlignment="1">
      <x:alignment horizontal="general" vertical="center" wrapText="0"/>
    </x:xf>
    <x:xf numFmtId="177" fontId="0" fillId="39" borderId="0" xfId="0" applyNumberFormat="1" applyFont="1" applyFill="1" applyBorder="1" applyAlignment="1">
      <x:alignment horizontal="general" vertical="center" wrapText="0"/>
    </x:xf>
    <x:xf numFmtId="177" fontId="0" fillId="41" borderId="0" xfId="0" applyNumberFormat="1" applyFont="1" applyFill="1" applyBorder="1" applyAlignment="1">
      <x:alignment horizontal="general" vertical="center" wrapText="0"/>
    </x:xf>
    <x:xf numFmtId="164" fontId="15" fillId="18" borderId="9" xfId="0" applyNumberFormat="1" applyFont="1" applyFill="1" applyBorder="1" applyAlignment="1">
      <x:alignment horizontal="general" vertical="top" wrapText="1"/>
    </x:xf>
    <x:xf numFmtId="175" fontId="15" fillId="18" borderId="9" xfId="0" applyNumberFormat="1" applyFont="1" applyFill="1" applyBorder="1" applyAlignment="1">
      <x:alignment horizontal="general" vertical="top" wrapText="1"/>
    </x:xf>
    <x:xf numFmtId="177" fontId="14" fillId="18" borderId="9" xfId="0" applyNumberFormat="1" applyFont="1" applyFill="1" applyBorder="1" applyAlignment="1">
      <x:alignment horizontal="general" vertical="top" wrapText="1"/>
    </x:xf>
    <x:xf numFmtId="164" fontId="15" fillId="44" borderId="9" xfId="0" applyNumberFormat="1" applyFont="1" applyFill="1" applyBorder="1" applyAlignment="1">
      <x:alignment horizontal="general" vertical="top" wrapText="1"/>
    </x:xf>
    <x:xf numFmtId="175" fontId="15" fillId="44" borderId="9" xfId="0" applyNumberFormat="1" applyFont="1" applyFill="1" applyBorder="1" applyAlignment="1">
      <x:alignment horizontal="general" vertical="top" wrapText="1"/>
    </x:xf>
    <x:xf numFmtId="177" fontId="14" fillId="44" borderId="9" xfId="0" applyNumberFormat="1" applyFont="1" applyFill="1" applyBorder="1" applyAlignment="1">
      <x:alignment horizontal="general" vertical="top" wrapText="1"/>
    </x:xf>
    <x:xf numFmtId="177" fontId="15" fillId="44" borderId="9" xfId="0" applyNumberFormat="1" applyFont="1" applyFill="1" applyBorder="1" applyAlignment="1">
      <x:alignment horizontal="general" vertical="top" wrapText="1"/>
    </x:xf>
    <x:xf numFmtId="164" fontId="15" fillId="45" borderId="9" xfId="0" applyNumberFormat="1" applyFont="1" applyFill="1" applyBorder="1" applyAlignment="1">
      <x:alignment horizontal="general" vertical="top" wrapText="1"/>
    </x:xf>
    <x:xf numFmtId="175" fontId="15" fillId="45" borderId="9" xfId="0" applyNumberFormat="1" applyFont="1" applyFill="1" applyBorder="1" applyAlignment="1">
      <x:alignment horizontal="general" vertical="top" wrapText="1"/>
    </x:xf>
    <x:xf numFmtId="177" fontId="14" fillId="45" borderId="9" xfId="0" applyNumberFormat="1" applyFont="1" applyFill="1" applyBorder="1" applyAlignment="1">
      <x:alignment horizontal="general" vertical="top" wrapText="1"/>
    </x:xf>
    <x:xf numFmtId="177" fontId="15" fillId="45" borderId="9" xfId="0" applyNumberFormat="1" applyFont="1" applyFill="1" applyBorder="1" applyAlignment="1">
      <x:alignment horizontal="general" vertical="top" wrapText="1"/>
    </x:xf>
    <x:xf numFmtId="164" fontId="29" fillId="0" borderId="0" xfId="0" applyNumberFormat="1" applyFont="1" applyFill="1" applyBorder="1" applyAlignment="1">
      <x:alignment horizontal="general" vertical="bottom" wrapText="0"/>
    </x:xf>
    <x:xf numFmtId="164" fontId="0" fillId="46" borderId="0" xfId="0" applyNumberFormat="1" applyFont="1" applyFill="1" applyBorder="1" applyAlignment="1">
      <x:alignment horizontal="general" vertical="bottom" wrapText="0"/>
    </x:xf>
    <x:xf numFmtId="164" fontId="17" fillId="46" borderId="0" xfId="0" applyNumberFormat="1" applyFont="1" applyFill="1" applyBorder="1" applyAlignment="1">
      <x:alignment horizontal="general" vertical="bottom" wrapText="0"/>
    </x:xf>
    <x:xf numFmtId="164" fontId="17" fillId="46" borderId="0" xfId="0" applyNumberFormat="1" applyFont="1" applyFill="1" applyBorder="1" applyAlignment="1">
      <x:alignment horizontal="general" vertical="bottom" wrapText="1"/>
    </x:xf>
    <x:xf numFmtId="164" fontId="30" fillId="0" borderId="0" xfId="0" applyNumberFormat="1" applyFont="1" applyFill="1" applyBorder="1" applyAlignment="1">
      <x:alignment horizontal="general" vertical="bottom" wrapText="0"/>
    </x:xf>
    <x:xf numFmtId="164" fontId="30" fillId="0" borderId="0" xfId="0" applyNumberFormat="1" applyFont="1" applyFill="1" applyBorder="1" applyAlignment="1">
      <x:alignment horizontal="general" vertical="center" wrapText="0"/>
    </x:xf>
    <x:xf numFmtId="164" fontId="30" fillId="47" borderId="0" xfId="0" applyNumberFormat="1" applyFont="1" applyFill="1" applyBorder="1" applyAlignment="1">
      <x:alignment horizontal="general" vertical="center" wrapText="0"/>
    </x:xf>
    <x:xf numFmtId="164" fontId="30" fillId="45" borderId="0" xfId="0" applyNumberFormat="1" applyFont="1" applyFill="1" applyBorder="1" applyAlignment="1">
      <x:alignment horizontal="general" vertical="center" wrapText="0"/>
    </x:xf>
    <x:xf numFmtId="164" fontId="30" fillId="48" borderId="0" xfId="0" applyNumberFormat="1" applyFont="1" applyFill="1" applyBorder="1" applyAlignment="1">
      <x:alignment horizontal="general" vertical="center" wrapText="0"/>
    </x:xf>
    <x:xf numFmtId="164" fontId="30" fillId="44" borderId="0" xfId="0" applyNumberFormat="1" applyFont="1" applyFill="1" applyBorder="1" applyAlignment="1">
      <x:alignment horizontal="general" vertical="center" wrapText="0"/>
    </x:xf>
    <x:xf numFmtId="201" fontId="30" fillId="47" borderId="0" xfId="0" applyNumberFormat="1" applyFont="1" applyFill="1" applyBorder="1" applyAlignment="1">
      <x:alignment horizontal="general" vertical="center" wrapText="0"/>
    </x:xf>
    <x:xf numFmtId="201" fontId="30" fillId="48" borderId="0" xfId="0" applyNumberFormat="1" applyFont="1" applyFill="1" applyBorder="1" applyAlignment="1">
      <x:alignment horizontal="general" vertical="center" wrapText="0"/>
    </x:xf>
    <x:xf numFmtId="177" fontId="30" fillId="45" borderId="0" xfId="0" applyNumberFormat="1" applyFont="1" applyFill="1" applyBorder="1" applyAlignment="1">
      <x:alignment horizontal="general" vertical="center" wrapText="0"/>
    </x:xf>
    <x:xf numFmtId="177" fontId="30" fillId="47" borderId="0" xfId="0" applyNumberFormat="1" applyFont="1" applyFill="1" applyBorder="1" applyAlignment="1">
      <x:alignment horizontal="general" vertical="center" wrapText="0"/>
    </x:xf>
    <x:xf numFmtId="177" fontId="30" fillId="44" borderId="0" xfId="0" applyNumberFormat="1" applyFont="1" applyFill="1" applyBorder="1" applyAlignment="1">
      <x:alignment horizontal="general" vertical="center" wrapText="0"/>
    </x:xf>
    <x:xf numFmtId="177" fontId="30" fillId="48" borderId="0" xfId="0" applyNumberFormat="1" applyFont="1" applyFill="1" applyBorder="1" applyAlignment="1">
      <x:alignment horizontal="general" vertical="center" wrapText="0"/>
    </x:xf>
    <x:xf numFmtId="203" fontId="30" fillId="47" borderId="0" xfId="0" applyNumberFormat="1" applyFont="1" applyFill="1" applyBorder="1" applyAlignment="1">
      <x:alignment horizontal="general" vertical="center" wrapText="0"/>
    </x:xf>
    <x:xf numFmtId="203" fontId="30" fillId="48" borderId="0" xfId="0" applyNumberFormat="1" applyFont="1" applyFill="1" applyBorder="1" applyAlignment="1">
      <x:alignment horizontal="general" vertical="center" wrapText="0"/>
    </x:xf>
    <x:xf numFmtId="164" fontId="30" fillId="45" borderId="0" xfId="0" applyNumberFormat="1" applyFont="1" applyFill="1" applyBorder="1" applyAlignment="1">
      <x:alignment horizontal="general" vertical="center" wrapText="1"/>
    </x:xf>
    <x:xf numFmtId="164" fontId="30" fillId="44" borderId="0" xfId="0" applyNumberFormat="1" applyFont="1" applyFill="1" applyBorder="1" applyAlignment="1">
      <x:alignment horizontal="general" vertical="center" wrapText="1"/>
    </x:xf>
    <x:xf numFmtId="164" fontId="30" fillId="47" borderId="0" xfId="0" applyNumberFormat="1" applyFont="1" applyFill="1" applyBorder="1" applyAlignment="1">
      <x:alignment horizontal="general" vertical="center" wrapText="1"/>
    </x:xf>
    <x:xf numFmtId="164" fontId="30" fillId="48" borderId="0" xfId="0" applyNumberFormat="1" applyFont="1" applyFill="1" applyBorder="1" applyAlignment="1">
      <x:alignment horizontal="general" vertical="center" wrapText="1"/>
    </x:xf>
    <x:xf numFmtId="202" fontId="0" fillId="48" borderId="0" xfId="0" applyNumberFormat="1" applyFont="1" applyFill="1" applyBorder="1" applyAlignment="1">
      <x:alignment horizontal="general" vertical="center" wrapText="0"/>
    </x:xf>
    <x:xf numFmtId="202" fontId="0" fillId="47" borderId="0" xfId="0" applyNumberFormat="1" applyFont="1" applyFill="1" applyBorder="1" applyAlignment="1">
      <x:alignment horizontal="general" vertical="center" wrapText="0"/>
    </x:xf>
    <x:xf numFmtId="177" fontId="0" fillId="48" borderId="0" xfId="0" applyNumberFormat="1" applyFont="1" applyFill="1" applyBorder="1" applyAlignment="1">
      <x:alignment horizontal="general" vertical="center" wrapText="0"/>
    </x:xf>
    <x:xf numFmtId="177" fontId="0" fillId="47" borderId="0" xfId="0" applyNumberFormat="1" applyFont="1" applyFill="1" applyBorder="1" applyAlignment="1">
      <x:alignment horizontal="general" vertical="center" wrapText="0"/>
    </x:xf>
    <x:xf numFmtId="164" fontId="21" fillId="13" borderId="10" xfId="0" applyNumberFormat="1" applyFont="1" applyFill="1" applyBorder="1" applyAlignment="1">
      <x:alignment horizontal="center" vertical="center" wrapText="1"/>
    </x:xf>
    <x:xf numFmtId="164" fontId="0" fillId="49" borderId="0" xfId="0" applyNumberFormat="1" applyFont="1" applyFill="1" applyBorder="1" applyAlignment="1">
      <x:alignment horizontal="general" vertical="bottom" wrapText="0"/>
    </x:xf>
    <x:xf numFmtId="164" fontId="17" fillId="49" borderId="0" xfId="0" applyNumberFormat="1" applyFont="1" applyFill="1" applyBorder="1" applyAlignment="1">
      <x:alignment horizontal="general" vertical="bottom" wrapText="0"/>
    </x:xf>
    <x:xf numFmtId="164" fontId="16" fillId="23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0" fillId="16" borderId="9" xfId="0" applyNumberFormat="1" applyFont="1" applyFill="1" applyBorder="1" applyAlignment="1">
      <x:alignment horizontal="center" vertical="center" wrapText="0"/>
    </x:xf>
    <x:xf numFmtId="164" fontId="20" fillId="16" borderId="10" xfId="0" applyNumberFormat="1" applyFont="1" applyFill="1" applyBorder="1" applyAlignment="1">
      <x:alignment horizontal="center" vertical="center" wrapText="0"/>
    </x:xf>
    <x:xf numFmtId="164" fontId="15" fillId="10" borderId="9" xfId="0" applyNumberFormat="1" applyFont="1" applyFill="1" applyBorder="1" applyAlignment="1">
      <x:alignment horizontal="general" vertical="top" wrapText="1"/>
    </x:xf>
    <x:xf numFmtId="164" fontId="0" fillId="50" borderId="0" xfId="0" applyNumberFormat="1" applyFont="1" applyFill="1" applyBorder="1" applyAlignment="1">
      <x:alignment horizontal="general" vertical="bottom" wrapText="0"/>
    </x:xf>
    <x:xf numFmtId="202" fontId="0" fillId="50" borderId="0" xfId="0" applyNumberFormat="1" applyFont="1" applyFill="1" applyBorder="1" applyAlignment="1">
      <x:alignment horizontal="general" vertical="bottom" wrapText="0"/>
    </x:xf>
    <x:xf numFmtId="203" fontId="30" fillId="10" borderId="0" xfId="0" applyNumberFormat="1" applyFont="1" applyFill="1" applyBorder="1" applyAlignment="1">
      <x:alignment horizontal="general" vertical="center" wrapText="0"/>
    </x:xf>
    <x:xf numFmtId="203" fontId="30" fillId="39" borderId="0" xfId="0" applyNumberFormat="1" applyFont="1" applyFill="1" applyBorder="1" applyAlignment="1">
      <x:alignment horizontal="general" vertical="center" wrapText="0"/>
    </x:xf>
    <x:xf numFmtId="164" fontId="31" fillId="0" borderId="0" xfId="0" applyNumberFormat="1" applyFont="1" applyFill="1" applyBorder="1" applyAlignment="1">
      <x:alignment horizontal="general" vertical="bottom" wrapText="0"/>
    </x:xf>
    <x:xf numFmtId="164" fontId="31" fillId="0" borderId="0" xfId="0" applyNumberFormat="1" applyFont="1" applyFill="1" applyBorder="1" applyAlignment="1">
      <x:alignment horizontal="general" vertical="center" wrapText="0"/>
    </x:xf>
    <x:xf numFmtId="164" fontId="31" fillId="51" borderId="0" xfId="0" applyNumberFormat="1" applyFont="1" applyFill="1" applyBorder="1" applyAlignment="1">
      <x:alignment horizontal="general" vertical="center" wrapText="0"/>
    </x:xf>
    <x:xf numFmtId="164" fontId="32" fillId="51" borderId="0" xfId="0" applyNumberFormat="1" applyFont="1" applyFill="1" applyBorder="1" applyAlignment="1">
      <x:alignment horizontal="general" vertical="center" wrapText="0"/>
    </x:xf>
    <x:xf numFmtId="164" fontId="32" fillId="51" borderId="0" xfId="0" applyNumberFormat="1" applyFont="1" applyFill="1" applyBorder="1" applyAlignment="1">
      <x:alignment horizontal="general" vertical="center" wrapText="1"/>
    </x:xf>
    <x:xf numFmtId="164" fontId="31" fillId="52" borderId="0" xfId="0" applyNumberFormat="1" applyFont="1" applyFill="1" applyBorder="1" applyAlignment="1">
      <x:alignment horizontal="general" vertical="center" wrapText="0"/>
    </x:xf>
    <x:xf numFmtId="164" fontId="32" fillId="52" borderId="0" xfId="0" applyNumberFormat="1" applyFont="1" applyFill="1" applyBorder="1" applyAlignment="1">
      <x:alignment horizontal="general" vertical="center" wrapText="0"/>
    </x:xf>
    <x:xf numFmtId="164" fontId="32" fillId="52" borderId="0" xfId="0" applyNumberFormat="1" applyFont="1" applyFill="1" applyBorder="1" applyAlignment="1">
      <x:alignment horizontal="general" vertical="center" wrapText="1"/>
    </x:xf>
    <x:xf numFmtId="164" fontId="31" fillId="53" borderId="0" xfId="0" applyNumberFormat="1" applyFont="1" applyFill="1" applyBorder="1" applyAlignment="1">
      <x:alignment horizontal="general" vertical="center" wrapText="0"/>
    </x:xf>
    <x:xf numFmtId="204" fontId="31" fillId="53" borderId="0" xfId="0" applyNumberFormat="1" applyFont="1" applyFill="1" applyBorder="1" applyAlignment="1">
      <x:alignment horizontal="general" vertical="center" wrapText="0"/>
    </x:xf>
    <x:xf numFmtId="164" fontId="31" fillId="0" borderId="0" xfId="0" applyNumberFormat="1" applyFont="1" applyFill="1" applyBorder="1" applyAlignment="1">
      <x:alignment horizontal="general" vertical="center" wrapText="1"/>
    </x:xf>
    <x:xf numFmtId="164" fontId="31" fillId="53" borderId="0" xfId="0" applyNumberFormat="1" applyFont="1" applyFill="1" applyBorder="1" applyAlignment="1">
      <x:alignment horizontal="general" vertical="center" wrapText="1"/>
    </x:xf>
    <x:xf numFmtId="201" fontId="31" fillId="0" borderId="0" xfId="0" applyNumberFormat="1" applyFont="1" applyFill="1" applyBorder="1" applyAlignment="1">
      <x:alignment horizontal="general" vertical="center" wrapText="0"/>
    </x:xf>
    <x:xf numFmtId="202" fontId="31" fillId="53" borderId="0" xfId="0" applyNumberFormat="1" applyFont="1" applyFill="1" applyBorder="1" applyAlignment="1">
      <x:alignment horizontal="general" vertical="center" wrapText="0"/>
    </x:xf>
    <x:xf numFmtId="164" fontId="0" fillId="52" borderId="0" xfId="0" applyNumberFormat="1" applyFont="1" applyFill="1" applyBorder="1" applyAlignment="1">
      <x:alignment horizontal="general" vertical="bottom" wrapText="0"/>
    </x:xf>
    <x:xf numFmtId="164" fontId="32" fillId="52" borderId="0" xfId="0" applyNumberFormat="1" applyFont="1" applyFill="1" applyBorder="1" applyAlignment="1">
      <x:alignment horizontal="general" vertical="bottom" wrapText="0"/>
    </x:xf>
    <x:xf numFmtId="164" fontId="32" fillId="52" borderId="0" xfId="0" applyNumberFormat="1" applyFont="1" applyFill="1" applyBorder="1" applyAlignment="1">
      <x:alignment horizontal="general" vertical="bottom" wrapText="1"/>
    </x:xf>
    <x:xf numFmtId="204" fontId="0" fillId="0" borderId="0" xfId="0" applyNumberFormat="1" applyFont="1" applyFill="1" applyBorder="1" applyAlignment="1">
      <x:alignment horizontal="general" vertical="bottom" wrapText="0"/>
    </x:xf>
    <x:xf numFmtId="203" fontId="0" fillId="0" borderId="0" xfId="0" applyNumberFormat="1" applyFont="1" applyFill="1" applyBorder="1" applyAlignment="1">
      <x:alignment horizontal="general" vertical="bottom" wrapText="0"/>
    </x:xf>
    <x:xf numFmtId="202" fontId="0" fillId="10" borderId="0" xfId="0" applyNumberFormat="1" applyFont="1" applyFill="1" applyBorder="1" applyAlignment="1">
      <x:alignment horizontal="general" vertical="center" wrapText="0"/>
    </x:xf>
    <x:xf numFmtId="177" fontId="0" fillId="10" borderId="0" xfId="0" applyNumberFormat="1" applyFont="1" applyFill="1" applyBorder="1" applyAlignment="1">
      <x:alignment horizontal="general" vertical="center" wrapText="0"/>
    </x:xf>
    <x:xf numFmtId="164" fontId="31" fillId="54" borderId="0" xfId="0" applyNumberFormat="1" applyFont="1" applyFill="1" applyBorder="1" applyAlignment="1">
      <x:alignment horizontal="general" vertical="bottom" wrapText="0"/>
    </x:xf>
    <x:xf numFmtId="164" fontId="33" fillId="54" borderId="0" xfId="0" applyNumberFormat="1" applyFont="1" applyFill="1" applyBorder="1" applyAlignment="1">
      <x:alignment horizontal="general" vertical="bottom" wrapText="0"/>
    </x:xf>
    <x:xf numFmtId="164" fontId="31" fillId="55" borderId="0" xfId="0" applyNumberFormat="1" applyFont="1" applyFill="1" applyBorder="1" applyAlignment="1">
      <x:alignment horizontal="general" vertical="bottom" wrapText="0"/>
    </x:xf>
    <x:xf numFmtId="164" fontId="33" fillId="55" borderId="0" xfId="0" applyNumberFormat="1" applyFont="1" applyFill="1" applyBorder="1" applyAlignment="1">
      <x:alignment horizontal="general" vertical="bottom" wrapText="0"/>
    </x:xf>
    <x:xf numFmtId="164" fontId="33" fillId="55" borderId="0" xfId="0" applyNumberFormat="1" applyFont="1" applyFill="1" applyBorder="1" applyAlignment="1">
      <x:alignment horizontal="general" vertical="bottom" wrapText="1"/>
    </x:xf>
    <x:xf numFmtId="201" fontId="31" fillId="0" borderId="0" xfId="0" applyNumberFormat="1" applyFont="1" applyFill="1" applyBorder="1" applyAlignment="1">
      <x:alignment horizontal="general" vertical="bottom" wrapText="0"/>
    </x:xf>
    <x:xf numFmtId="204" fontId="31" fillId="0" borderId="0" xfId="0" applyNumberFormat="1" applyFont="1" applyFill="1" applyBorder="1" applyAlignment="1">
      <x:alignment horizontal="general" vertical="bottom" wrapText="0"/>
    </x:xf>
    <x:xf numFmtId="202" fontId="31" fillId="0" borderId="0" xfId="0" applyNumberFormat="1" applyFont="1" applyFill="1" applyBorder="1" applyAlignment="1">
      <x:alignment horizontal="general" vertical="bottom" wrapText="0"/>
    </x:xf>
    <x:xf numFmtId="164" fontId="31" fillId="0" borderId="0" xfId="0" applyNumberFormat="1" applyFont="1" applyFill="1" applyBorder="1" applyAlignment="1">
      <x:alignment horizontal="general" vertical="bottom" wrapText="1"/>
    </x:xf>
    <x:xf numFmtId="202" fontId="31" fillId="0" borderId="0" xfId="0" applyNumberFormat="1" applyFont="1" applyFill="1" applyBorder="1" applyAlignment="1">
      <x:alignment horizontal="general" vertical="bottom" wrapText="1"/>
    </x:xf>
    <x:xf numFmtId="204" fontId="31" fillId="0" borderId="0" xfId="0" applyNumberFormat="1" applyFont="1" applyFill="1" applyBorder="1" applyAlignment="1">
      <x:alignment horizontal="general" vertical="bottom" wrapText="1"/>
    </x:xf>
    <x:xf numFmtId="205" fontId="31" fillId="0" borderId="0" xfId="0" applyNumberFormat="1" applyFont="1" applyFill="1" applyBorder="1" applyAlignment="1">
      <x:alignment horizontal="general" vertical="bottom" wrapText="1"/>
    </x:xf>
    <x:xf numFmtId="206" fontId="31" fillId="0" borderId="0" xfId="0" applyNumberFormat="1" applyFont="1" applyFill="1" applyBorder="1" applyAlignment="1">
      <x:alignment horizontal="general" vertical="bottom" wrapText="1"/>
    </x:xf>
    <x:xf numFmtId="164" fontId="0" fillId="56" borderId="0" xfId="0" applyNumberFormat="1" applyFont="1" applyFill="1" applyBorder="1" applyAlignment="1">
      <x:alignment horizontal="general" vertical="bottom" wrapText="0"/>
    </x:xf>
    <x:xf numFmtId="164" fontId="34" fillId="56" borderId="0" xfId="0" applyNumberFormat="1" applyFont="1" applyFill="1" applyBorder="1" applyAlignment="1">
      <x:alignment horizontal="general" vertical="bottom" wrapText="0"/>
    </x:xf>
    <x:xf numFmtId="164" fontId="0" fillId="57" borderId="0" xfId="0" applyNumberFormat="1" applyFont="1" applyFill="1" applyBorder="1" applyAlignment="1">
      <x:alignment horizontal="general" vertical="bottom" wrapText="0"/>
    </x:xf>
    <x:xf numFmtId="164" fontId="34" fillId="57" borderId="0" xfId="0" applyNumberFormat="1" applyFont="1" applyFill="1" applyBorder="1" applyAlignment="1">
      <x:alignment horizontal="general" vertical="bottom" wrapText="0"/>
    </x:xf>
    <x:xf numFmtId="164" fontId="34" fillId="57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58" borderId="0" xfId="0" applyNumberFormat="1" applyFont="1" applyFill="1" applyBorder="1" applyAlignment="1">
      <x:alignment horizontal="general" vertical="bottom" wrapText="0"/>
    </x:xf>
    <x:xf numFmtId="202" fontId="0" fillId="0" borderId="0" xfId="0" applyNumberFormat="1" applyFont="1" applyFill="1" applyBorder="1" applyAlignment="1">
      <x:alignment horizontal="general" vertical="bottom" wrapText="0"/>
    </x:xf>
    <x:xf numFmtId="202" fontId="31" fillId="0" borderId="0" xfId="0" applyNumberFormat="1" applyFont="1" applyFill="1" applyBorder="1" applyAlignment="1">
      <x:alignment horizontal="general" vertical="center" wrapText="1"/>
    </x:xf>
    <x:xf numFmtId="205" fontId="31" fillId="0" borderId="0" xfId="0" applyNumberFormat="1" applyFont="1" applyFill="1" applyBorder="1" applyAlignment="1">
      <x:alignment horizontal="general" vertical="center" wrapText="1"/>
    </x:xf>
    <x:xf numFmtId="206" fontId="31" fillId="0" borderId="0" xfId="0" applyNumberFormat="1" applyFont="1" applyFill="1" applyBorder="1" applyAlignment="1">
      <x:alignment horizontal="general" vertical="center" wrapText="1"/>
    </x:xf>
    <x:xf numFmtId="164" fontId="0" fillId="59" borderId="0" xfId="0" applyNumberFormat="1" applyFont="1" applyFill="1" applyBorder="1" applyAlignment="1">
      <x:alignment horizontal="general" vertical="bottom" wrapText="0"/>
    </x:xf>
    <x:xf numFmtId="164" fontId="33" fillId="59" borderId="0" xfId="0" applyNumberFormat="1" applyFont="1" applyFill="1" applyBorder="1" applyAlignment="1">
      <x:alignment horizontal="general" vertical="bottom" wrapText="0"/>
    </x:xf>
    <x:xf numFmtId="164" fontId="31" fillId="60" borderId="0" xfId="0" applyNumberFormat="1" applyFont="1" applyFill="1" applyBorder="1" applyAlignment="1">
      <x:alignment horizontal="general" vertical="center" wrapText="0"/>
    </x:xf>
    <x:xf numFmtId="164" fontId="33" fillId="60" borderId="0" xfId="0" applyNumberFormat="1" applyFont="1" applyFill="1" applyBorder="1" applyAlignment="1">
      <x:alignment horizontal="general" vertical="center" wrapText="0"/>
    </x:xf>
    <x:xf numFmtId="164" fontId="31" fillId="61" borderId="0" xfId="0" applyNumberFormat="1" applyFont="1" applyFill="1" applyBorder="1" applyAlignment="1">
      <x:alignment horizontal="general" vertical="center" wrapText="0"/>
    </x:xf>
    <x:xf numFmtId="202" fontId="31" fillId="61" borderId="0" xfId="0" applyNumberFormat="1" applyFont="1" applyFill="1" applyBorder="1" applyAlignment="1">
      <x:alignment horizontal="general" vertical="center" wrapText="0"/>
    </x:xf>
  </x:cellXfs>
  <x:cellStyles count="19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[0]" xfId="22"/>
    <x:cellStyle name="Comma [0] 2" xfId="23"/>
    <x:cellStyle name="Currency" xfId="24"/>
    <x:cellStyle name="Currency 3" xfId="25"/>
    <x:cellStyle name="Currency [0]" xfId="26"/>
    <x:cellStyle name="Currency [0] 4" xfId="27"/>
    <x:cellStyle name="Normal" xfId="28"/>
    <x:cellStyle name="Normal 1" xfId="29"/>
    <x:cellStyle name="Normal 5" xfId="30"/>
    <x:cellStyle name="Percent" xfId="31"/>
    <x:cellStyle name="Percent 6" xfId="32"/>
  </x:cellStyles>
  <x:dxfs count="15">
    <x:dxf>
      <x:fill>
        <x:patternFill>
          <x:bgColor rgb="FF33465E"/>
        </x:patternFill>
      </x:fill>
    </x:dxf>
    <x:dxf>
      <x:fill>
        <x:patternFill>
          <x:bgColor rgb="FFFFF4D6"/>
        </x:patternFill>
      </x:fill>
    </x:dxf>
    <x:dxf>
      <x:fill>
        <x:patternFill>
          <x:bgColor rgb="FF243247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DFEEE2"/>
        </x:patternFill>
      </x:fill>
    </x:dxf>
    <x:dxf>
      <x:font>
        <x:b/>
        <x:color rgb="FF2D6543"/>
      </x:font>
      <x:fill>
        <x:patternFill>
          <x:bgColor rgb="FFDFEEE3"/>
        </x:patternFill>
      </x:fill>
    </x:dxf>
    <x:dxf>
      <x:font>
        <x:b/>
        <x:color rgb="FF2D6543"/>
      </x:font>
      <x:fill>
        <x:patternFill>
          <x:bgColor rgb="FFDFEEE3"/>
        </x:patternFill>
      </x:fill>
    </x:dxf>
    <x:dxf>
      <x:font>
        <x:b/>
        <x:color rgb="FF2D6543"/>
      </x:font>
      <x:fill>
        <x:patternFill>
          <x:bgColor rgb="FFDFEEE3"/>
        </x:patternFill>
      </x:fill>
    </x:dxf>
    <x:dxf>
      <x:font>
        <x:b/>
        <x:color rgb="FF2D6543"/>
      </x:font>
      <x:fill>
        <x:patternFill>
          <x:bgColor rgb="FFDFEEE3"/>
        </x:patternFill>
      </x:fill>
    </x:dxf>
    <x:dxf>
      <x:font>
        <x:color rgb="FF9C2525"/>
      </x:font>
      <x:fill>
        <x:patternFill>
          <x:bgColor rgb="FFFCE8E6"/>
        </x:patternFill>
      </x:fill>
    </x:dxf>
    <x:dxf>
      <x:font>
        <x:b/>
        <x:color rgb="FF24523B"/>
      </x:font>
      <x:fill>
        <x:patternFill>
          <x:bgColor rgb="FFCDE8D7"/>
        </x:patternFill>
      </x:fill>
    </x:dxf>
    <x:dxf>
      <x:font>
        <x:color rgb="FF24523B"/>
      </x:font>
      <x:fill>
        <x:patternFill>
          <x:bgColor rgb="FFCDE8D7"/>
        </x:patternFill>
      </x:fill>
    </x:dxf>
    <x:dxf>
      <x:font>
        <x:color rgb="FF24523B"/>
      </x:font>
      <x:fill>
        <x:patternFill>
          <x:bgColor rgb="FFCDE8D7"/>
        </x:patternFill>
      </x:fill>
    </x:dxf>
    <x:dxf>
      <x:font>
        <x:color rgb="FF24523B"/>
      </x:font>
      <x:fill>
        <x:patternFill>
          <x:bgColor rgb="FFCDE8D7"/>
        </x:patternFill>
      </x:fill>
    </x:dxf>
    <x:dxf>
      <x:font>
        <x:color rgb="FF24523B"/>
      </x:font>
      <x:fill>
        <x:patternFill>
          <x:bgColor rgb="FFCDE8D7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D9E3EF"/>
      <x:rgbColor rgb="FF808080"/>
      <x:rgbColor rgb="FF9999FF"/>
      <x:rgbColor rgb="FF993366"/>
      <x:rgbColor rgb="FFFFF4D5"/>
      <x:rgbColor rgb="FFE8F3EC"/>
      <x:rgbColor rgb="FF660066"/>
      <x:rgbColor rgb="FFFF8080"/>
      <x:rgbColor rgb="FF0066CC"/>
      <x:rgbColor rgb="FFCCD6E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8EFF8"/>
      <x:rgbColor rgb="FFDFEEE2"/>
      <x:rgbColor rgb="FFFFF4D6"/>
      <x:rgbColor rgb="FFF0F2F5"/>
      <x:rgbColor rgb="FFFF99CC"/>
      <x:rgbColor rgb="FFCC99FF"/>
      <x:rgbColor rgb="FFE6ECF3"/>
      <x:rgbColor rgb="FF3366FF"/>
      <x:rgbColor rgb="FF33CCCC"/>
      <x:rgbColor rgb="FF99CC00"/>
      <x:rgbColor rgb="FFFFCC00"/>
      <x:rgbColor rgb="FFFF9900"/>
      <x:rgbColor rgb="FFFF6600"/>
      <x:rgbColor rgb="FF666699"/>
      <x:rgbColor rgb="FF8297AD"/>
      <x:rgbColor rgb="FF003366"/>
      <x:rgbColor rgb="FF339966"/>
      <x:rgbColor rgb="FF003300"/>
      <x:rgbColor rgb="FF333300"/>
      <x:rgbColor rgb="FF993300"/>
      <x:rgbColor rgb="FF993366"/>
      <x:rgbColor rgb="FF33465E"/>
      <x:rgbColor rgb="FF24324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76bf342c1430d" /><Relationship Type="http://schemas.openxmlformats.org/officeDocument/2006/relationships/theme" Target="/xl/theme/theme1.xml" Id="R196a79fb920c406f" /><Relationship Type="http://schemas.microsoft.com/office/2022/11/relationships/FeaturePropertyBag" Target="/xl/featurePropertyBag/featurePropertyBag.xml" Id="R2418542999c44232" /><Relationship Type="http://schemas.openxmlformats.org/officeDocument/2006/relationships/sharedStrings" Target="/xl/sharedStrings.xml" Id="R67b09e19b6604506" /><Relationship Type="http://schemas.openxmlformats.org/officeDocument/2006/relationships/worksheet" Target="/xl/worksheets/sheet1.xml" Id="Rc170a79f441e4aff" /><Relationship Type="http://schemas.openxmlformats.org/officeDocument/2006/relationships/worksheet" Target="/xl/worksheets/sheet2.xml" Id="R8e03c013c31f45d2" /><Relationship Type="http://schemas.openxmlformats.org/officeDocument/2006/relationships/worksheet" Target="/xl/worksheets/sheet3.xml" Id="R4a2d43ce51554aff" /><Relationship Type="http://schemas.openxmlformats.org/officeDocument/2006/relationships/worksheet" Target="/xl/worksheets/sheet4.xml" Id="R47a77be76529491a" /><Relationship Type="http://schemas.openxmlformats.org/officeDocument/2006/relationships/worksheet" Target="/xl/worksheets/sheet5.xml" Id="Ra5adeda67f06414b" /><Relationship Type="http://schemas.openxmlformats.org/officeDocument/2006/relationships/worksheet" Target="/xl/worksheets/sheet6.xml" Id="R33c7eb7cfbe740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TrainingScoring" displayName="TrainingScoring" ref="A4:S172" headerRowCount="1" totalsRowCount="0" totalsRowShown="0">
  <x:tableColumns count="19">
    <x:tableColumn id="1" name="Date"/>
    <x:tableColumn id="2" name="Session"/>
    <x:tableColumn id="3" name="Exercise"/>
    <x:tableColumn id="4" name="Unit"/>
    <x:tableColumn id="5" name="Sets"/>
    <x:tableColumn id="6" name="Amount per set"/>
    <x:tableColumn id="7" name="Target"/>
    <x:tableColumn id="8" name="Result"/>
    <x:tableColumn id="9" name="Exercise performance (%)"/>
    <x:tableColumn id="10" name="Base intensity"/>
    <x:tableColumn id="11" name="Planned kg"/>
    <x:tableColumn id="12" name="Growth per kg"/>
    <x:tableColumn id="13" name="Loaded intensity"/>
    <x:tableColumn id="14" name="Volume weight"/>
    <x:tableColumn id="15" name="Contribution"/>
    <x:tableColumn id="16" name="Planned intensity"/>
    <x:tableColumn id="17" name="Performance"/>
    <x:tableColumn id="18" name="Scored metrics"/>
    <x:tableColumn id="19" name="Planned metric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ScoringAssumptions" displayName="ScoringAssumptions" ref="A176:C177" headerRowCount="1" totalsRowCount="0" totalsRowShown="0">
  <x:tableColumns count="3">
    <x:tableColumn id="1" name="Setting"/>
    <x:tableColumn id="2" name="Value"/>
    <x:tableColumn id="3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ExerciseArsenal" displayName="ExerciseArsenal" ref="A2:E58" headerRowCount="1" totalsRowCount="0" totalsRowShown="0">
  <x:tableColumns count="5">
    <x:tableColumn id="1" name="Group"/>
    <x:tableColumn id="2" name="Exercise"/>
    <x:tableColumn id="3" name="Base intensity (0–10)"/>
    <x:tableColumn id="4" name="Unit"/>
    <x:tableColumn id="5" name="Growth per k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1a8d291d42543a9" /><Relationship Type="http://schemas.openxmlformats.org/officeDocument/2006/relationships/table" Target="/xl/tables/table2.xml" Id="Rf0dc95dbe58044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7f28ff52d494e94" /></Relationships>
</file>

<file path=xl/worksheets/sheet1.xml><?xml version="1.0" encoding="utf-8"?>
<x:worksheet xmlns:x="http://schemas.openxmlformats.org/spreadsheetml/2006/main">
  <x:sheetPr>
    <x:tabColor rgb="FF33465E"/>
  </x:sheetPr>
  <x:sheetViews>
    <x:sheetView showGridLines="0" workbookViewId="0"/>
  </x:sheetViews>
  <x:sheetFormatPr defaultColWidth="8.6796875" defaultRowHeight="15"/>
  <x:cols>
    <x:col min="1" max="2" width="15" style="1" hidden="0" customWidth="1"/>
    <x:col min="3" max="3" width="28" style="1" hidden="0" customWidth="1"/>
    <x:col min="4" max="6" width="55" style="1" hidden="0" customWidth="1"/>
    <x:col min="7" max="7" width="16" style="1" hidden="0" customWidth="1"/>
    <x:col min="8" max="9" width="62" style="1" hidden="0" customWidth="1"/>
  </x:cols>
  <x:sheetData>
    <x:row r="1" ht="26" hidden="0" customHeight="1">
      <x:c r="A1" s="181" t="s">
        <x:v>0</x:v>
      </x:c>
      <x:c r="B1" s="181"/>
      <x:c r="C1" s="181"/>
      <x:c r="D1" s="181"/>
      <x:c r="E1" s="181"/>
      <x:c r="F1" s="181"/>
      <x:c r="G1" s="181"/>
      <x:c r="H1" s="175"/>
      <x:c r="I1" s="175"/>
    </x:row>
    <x:row r="2" ht="28" hidden="0" customHeight="1">
      <x:c r="A2" s="183" t="s">
        <x:v>1</x:v>
      </x:c>
      <x:c r="B2" s="183" t="s">
        <x:v>2</x:v>
      </x:c>
      <x:c r="C2" s="183" t="s">
        <x:v>3</x:v>
      </x:c>
      <x:c r="D2" s="183" t="s">
        <x:v>4</x:v>
      </x:c>
      <x:c r="E2" s="183" t="s">
        <x:v>5</x:v>
      </x:c>
      <x:c r="F2" s="183" t="str">
        <x:v>max_sets</x:v>
      </x:c>
      <x:c r="G2" s="292" t="str">
        <x:v>max_reps</x:v>
      </x:c>
      <x:c r="H2" s="175"/>
      <x:c r="I2" s="175"/>
    </x:row>
    <x:row r="3" ht="54" hidden="0" customHeight="1">
      <x:c r="A3" s="177" t="s">
        <x:v>6</x:v>
      </x:c>
      <x:c r="B3" s="177" t="s">
        <x:v>7</x:v>
      </x:c>
      <x:c r="C3" s="278" t="s">
        <x:v>8</x:v>
      </x:c>
      <x:c r="D3" s="278" t="s">
        <x:v>9</x:v>
      </x:c>
      <x:c r="E3" s="279" t="n">
        <x:v>46321.5</x:v>
      </x:c>
      <x:c r="F3" s="295" t="n">
        <x:v>3</x:v>
      </x:c>
      <x:c r="G3" s="295" t="n">
        <x:v>5</x:v>
      </x:c>
      <x:c r="H3" s="179"/>
      <x:c r="I3" s="179"/>
    </x:row>
    <x:row r="4" ht="18" hidden="0" customHeight="1">
      <x:c r="A4" s="174"/>
      <x:c r="B4" s="174"/>
      <x:c r="C4" s="174"/>
      <x:c r="D4" s="174"/>
      <x:c r="E4" s="174"/>
      <x:c r="F4" s="174"/>
      <x:c r="G4" s="174"/>
      <x:c r="H4" s="175"/>
      <x:c r="I4" s="175"/>
    </x:row>
    <x:row r="5" ht="26" hidden="0" customHeight="1">
      <x:c r="A5" s="181" t="s">
        <x:v>10</x:v>
      </x:c>
      <x:c r="B5" s="181"/>
      <x:c r="C5" s="181"/>
      <x:c r="D5" s="181"/>
      <x:c r="E5" s="181"/>
      <x:c r="F5" s="181"/>
      <x:c r="G5" s="181"/>
      <x:c r="H5" s="185"/>
      <x:c r="I5" s="179"/>
    </x:row>
    <x:row r="6" ht="28" hidden="0" customHeight="1">
      <x:c r="A6" s="183" t="s">
        <x:v>11</x:v>
      </x:c>
      <x:c r="B6" s="183" t="s">
        <x:v>12</x:v>
      </x:c>
      <x:c r="C6" s="183" t="s">
        <x:v>13</x:v>
      </x:c>
      <x:c r="D6" s="183" t="s">
        <x:v>14</x:v>
      </x:c>
      <x:c r="E6" s="183" t="s">
        <x:v>15</x:v>
      </x:c>
      <x:c r="F6" s="183" t="s">
        <x:v>16</x:v>
      </x:c>
      <x:c r="G6" s="183" t="s">
        <x:v>17</x:v>
      </x:c>
      <x:c r="H6" s="183" t="s">
        <x:v>18</x:v>
      </x:c>
      <x:c r="I6" s="175"/>
    </x:row>
    <x:row r="7" ht="76" hidden="0" customHeight="1">
      <x:c r="A7" s="177" t="s">
        <x:v>19</x:v>
      </x:c>
      <x:c r="B7" s="278" t="s">
        <x:v>20</x:v>
      </x:c>
      <x:c r="C7" s="278" t="s">
        <x:v>21</x:v>
      </x:c>
      <x:c r="D7" s="278" t="s">
        <x:v>22</x:v>
      </x:c>
      <x:c r="E7" s="278" t="s">
        <x:v>23</x:v>
      </x:c>
      <x:c r="F7" s="278" t="s">
        <x:v>24</x:v>
      </x:c>
      <x:c r="G7" s="278" t="s">
        <x:v>25</x:v>
      </x:c>
      <x:c r="H7" s="282"/>
      <x:c r="I7" s="179"/>
    </x:row>
    <x:row r="8" ht="76" hidden="0" customHeight="1">
      <x:c r="A8" s="174" t="s">
        <x:v>26</x:v>
      </x:c>
      <x:c r="B8" s="283" t="s">
        <x:v>27</x:v>
      </x:c>
      <x:c r="C8" s="283" t="s">
        <x:v>28</x:v>
      </x:c>
      <x:c r="D8" s="283" t="s">
        <x:v>29</x:v>
      </x:c>
      <x:c r="E8" s="283" t="s">
        <x:v>30</x:v>
      </x:c>
      <x:c r="F8" s="283" t="s">
        <x:v>24</x:v>
      </x:c>
      <x:c r="G8" s="283" t="s">
        <x:v>31</x:v>
      </x:c>
      <x:c r="H8" s="284"/>
      <x:c r="I8" s="175"/>
    </x:row>
    <x:row r="9" ht="76" hidden="0" customHeight="1">
      <x:c r="A9" s="177" t="s">
        <x:v>32</x:v>
      </x:c>
      <x:c r="B9" s="278" t="s">
        <x:v>33</x:v>
      </x:c>
      <x:c r="C9" s="278" t="s">
        <x:v>34</x:v>
      </x:c>
      <x:c r="D9" s="278" t="s">
        <x:v>29</x:v>
      </x:c>
      <x:c r="E9" s="278" t="s">
        <x:v>35</x:v>
      </x:c>
      <x:c r="F9" s="278" t="s">
        <x:v>24</x:v>
      </x:c>
      <x:c r="G9" s="278" t="s">
        <x:v>36</x:v>
      </x:c>
      <x:c r="H9" s="282"/>
      <x:c r="I9" s="179"/>
    </x:row>
    <x:row r="10" ht="76" hidden="0" customHeight="1">
      <x:c r="A10" s="174" t="s">
        <x:v>37</x:v>
      </x:c>
      <x:c r="B10" s="283" t="s">
        <x:v>38</x:v>
      </x:c>
      <x:c r="C10" s="283" t="s">
        <x:v>39</x:v>
      </x:c>
      <x:c r="D10" s="283" t="s">
        <x:v>40</x:v>
      </x:c>
      <x:c r="E10" s="283" t="s">
        <x:v>41</x:v>
      </x:c>
      <x:c r="F10" s="283" t="s">
        <x:v>42</x:v>
      </x:c>
      <x:c r="G10" s="283"/>
      <x:c r="H10" s="284" t="s">
        <x:v>37</x:v>
      </x:c>
      <x:c r="I10" s="175"/>
    </x:row>
    <x:row r="11" ht="84" hidden="0" customHeight="1">
      <x:c r="A11" s="177" t="s">
        <x:v>43</x:v>
      </x:c>
      <x:c r="B11" s="278" t="s">
        <x:v>44</x:v>
      </x:c>
      <x:c r="C11" s="278" t="s">
        <x:v>45</x:v>
      </x:c>
      <x:c r="D11" s="278" t="s">
        <x:v>46</x:v>
      </x:c>
      <x:c r="E11" s="278" t="s">
        <x:v>47</x:v>
      </x:c>
      <x:c r="F11" s="278" t="s">
        <x:v>42</x:v>
      </x:c>
      <x:c r="G11" s="278"/>
      <x:c r="H11" s="282" t="s">
        <x:v>43</x:v>
      </x:c>
      <x:c r="I11" s="179"/>
    </x:row>
    <x:row r="12" ht="26" hidden="0" customHeight="1">
      <x:c r="A12" s="181" t="s">
        <x:v>48</x:v>
      </x:c>
      <x:c r="B12" s="181"/>
      <x:c r="C12" s="181"/>
      <x:c r="D12" s="181"/>
      <x:c r="E12" s="181"/>
      <x:c r="F12" s="174"/>
      <x:c r="G12" s="174"/>
      <x:c r="H12" s="175"/>
      <x:c r="I12" s="175"/>
    </x:row>
    <x:row r="13" ht="28" hidden="0" customHeight="1">
      <x:c r="A13" s="183" t="s">
        <x:v>49</x:v>
      </x:c>
      <x:c r="B13" s="183" t="s">
        <x:v>50</x:v>
      </x:c>
      <x:c r="C13" s="183" t="s">
        <x:v>12</x:v>
      </x:c>
      <x:c r="D13" s="183" t="s">
        <x:v>51</x:v>
      </x:c>
      <x:c r="E13" s="183" t="s">
        <x:v>52</x:v>
      </x:c>
      <x:c r="F13" s="177"/>
      <x:c r="G13" s="177"/>
      <x:c r="H13" s="179"/>
      <x:c r="I13" s="179"/>
    </x:row>
    <x:row r="14" ht="110" hidden="0" customHeight="1">
      <x:c r="A14" s="174" t="s">
        <x:v>53</x:v>
      </x:c>
      <x:c r="B14" s="174" t="s">
        <x:v>6</x:v>
      </x:c>
      <x:c r="C14" s="174" t="s">
        <x:v>54</x:v>
      </x:c>
      <x:c r="D14" s="283" t="str">
        <x:v>Follow block A in Week plans, then Cal-Intervals. A/B/C label the three daily exercises.</x:v>
      </x:c>
      <x:c r="E14" s="283" t="s">
        <x:v>55</x:v>
      </x:c>
      <x:c r="F14" s="174"/>
      <x:c r="G14" s="174"/>
      <x:c r="H14" s="175"/>
      <x:c r="I14" s="175"/>
    </x:row>
    <x:row r="15" ht="110" hidden="0" customHeight="1">
      <x:c r="A15" s="177" t="s">
        <x:v>56</x:v>
      </x:c>
      <x:c r="B15" s="177" t="s">
        <x:v>6</x:v>
      </x:c>
      <x:c r="C15" s="177" t="s">
        <x:v>57</x:v>
      </x:c>
      <x:c r="D15" s="278" t="str">
        <x:v>Follow block B in Week plans, then Cal-Intervals. A/B/C label the three daily exercises.</x:v>
      </x:c>
      <x:c r="E15" s="278" t="s">
        <x:v>58</x:v>
      </x:c>
      <x:c r="F15" s="177"/>
      <x:c r="G15" s="177"/>
      <x:c r="H15" s="179"/>
      <x:c r="I15" s="179"/>
    </x:row>
    <x:row r="16" ht="110" hidden="0" customHeight="1">
      <x:c r="A16" s="174" t="s">
        <x:v>59</x:v>
      </x:c>
      <x:c r="B16" s="174" t="s">
        <x:v>6</x:v>
      </x:c>
      <x:c r="C16" s="174" t="s">
        <x:v>60</x:v>
      </x:c>
      <x:c r="D16" s="283" t="s">
        <x:v>61</x:v>
      </x:c>
      <x:c r="E16" s="283" t="s">
        <x:v>26</x:v>
      </x:c>
      <x:c r="F16" s="174"/>
      <x:c r="G16" s="174"/>
      <x:c r="H16" s="175"/>
      <x:c r="I16" s="175"/>
    </x:row>
    <x:row r="17" ht="110" hidden="0" customHeight="1">
      <x:c r="A17" s="177" t="str">
        <x:v>Cal-Intervals</x:v>
      </x:c>
      <x:c r="B17" s="177" t="s">
        <x:v>6</x:v>
      </x:c>
      <x:c r="C17" s="177" t="str">
        <x:v>Cal-Intervals circuit — 16 min 40 sec</x:v>
      </x:c>
      <x:c r="D17" s="278" t="str">
        <x:v>5 rounds: pull-ups, push-ups, squats, upside-down hanging shoulder/ab work. Each exercise: 30 sec work + 20 sec rest.</x:v>
      </x:c>
      <x:c r="E17" s="278" t="s">
        <x:v>62</x:v>
      </x:c>
      <x:c r="F17" s="177"/>
      <x:c r="G17" s="177"/>
      <x:c r="H17" s="179"/>
      <x:c r="I17" s="179"/>
    </x:row>
    <x:row r="18" ht="18" hidden="0" customHeight="1">
      <x:c r="A18" s="175"/>
      <x:c r="B18" s="175"/>
      <x:c r="C18" s="175"/>
      <x:c r="D18" s="175"/>
      <x:c r="E18" s="175"/>
      <x:c r="F18" s="175"/>
      <x:c r="G18" s="175"/>
      <x:c r="H18" s="175"/>
      <x:c r="I18" s="175"/>
    </x:row>
    <x:row r="19" ht="26" hidden="0" customHeight="1">
      <x:c r="A19" s="181" t="s">
        <x:v>63</x:v>
      </x:c>
      <x:c r="B19" s="181"/>
      <x:c r="C19" s="181"/>
      <x:c r="D19" s="181"/>
      <x:c r="E19" s="181"/>
      <x:c r="F19" s="181"/>
      <x:c r="G19" s="181"/>
      <x:c r="H19" s="185"/>
      <x:c r="I19" s="185"/>
    </x:row>
    <x:row r="20" ht="28" hidden="0" customHeight="1">
      <x:c r="A20" s="183" t="s">
        <x:v>64</x:v>
      </x:c>
      <x:c r="B20" s="183" t="s">
        <x:v>65</x:v>
      </x:c>
      <x:c r="C20" s="183" t="s">
        <x:v>66</x:v>
      </x:c>
      <x:c r="D20" s="183" t="s">
        <x:v>67</x:v>
      </x:c>
      <x:c r="E20" s="183" t="s">
        <x:v>68</x:v>
      </x:c>
      <x:c r="F20" s="183" t="s">
        <x:v>69</x:v>
      </x:c>
      <x:c r="G20" s="183" t="s">
        <x:v>70</x:v>
      </x:c>
      <x:c r="H20" s="183" t="s">
        <x:v>53</x:v>
      </x:c>
      <x:c r="I20" s="183" t="s">
        <x:v>56</x:v>
      </x:c>
    </x:row>
    <x:row r="21" ht="95" hidden="0" customHeight="1">
      <x:c r="A21" s="177" t="n">
        <x:v>1</x:v>
      </x:c>
      <x:c r="B21" s="178" t="n">
        <x:f aca="0">$E$3+7*(A21-1)</x:f>
        <x:v>46321.5</x:v>
      </x:c>
      <x:c r="C21" s="278" t="s">
        <x:v>71</x:v>
      </x:c>
      <x:c r="D21" s="278" t="s">
        <x:v>72</x:v>
      </x:c>
      <x:c r="E21" s="278" t="s">
        <x:v>73</x:v>
      </x:c>
      <x:c r="F21" s="278" t="s">
        <x:v>74</x:v>
      </x:c>
      <x:c r="G21" s="278" t="n">
        <x:v>160</x:v>
      </x:c>
      <x:c r="H21" s="278" t="str">
        <x:v>A) Scapular pull-up: 3 x 5, B) High pull (chest-to-bar intent): 3 x 3, C) Box pistol: 3 x 5/leg, Cal-Intervals: 5 rounds</x:v>
      </x:c>
      <x:c r="I21" s="278" t="str">
        <x:v>A) Chest-to-wall handstand: 3 x 20 sec, B) Pike push-up: 3 x 5, C) Box pistol: 3 x 5/leg, Cal-Intervals: 5 rounds</x:v>
      </x:c>
    </x:row>
    <x:row r="22" ht="95" hidden="0" customHeight="1">
      <x:c r="A22" s="174" t="n">
        <x:v>2</x:v>
      </x:c>
      <x:c r="B22" s="176" t="n">
        <x:f aca="0">$E$3+7*(A22-1)</x:f>
        <x:v>46328.5</x:v>
      </x:c>
      <x:c r="C22" s="283" t="s">
        <x:v>71</x:v>
      </x:c>
      <x:c r="D22" s="283" t="s">
        <x:v>72</x:v>
      </x:c>
      <x:c r="E22" s="283" t="s">
        <x:v>75</x:v>
      </x:c>
      <x:c r="F22" s="283" t="s">
        <x:v>74</x:v>
      </x:c>
      <x:c r="G22" s="283" t="n">
        <x:v>160</x:v>
      </x:c>
      <x:c r="H22" s="283" t="str">
        <x:v>A) Band transition drill: 3 x 3, B) High pull: 3 x 3, C) Lower-box pistol with counterweight: 3 x 4/leg, Cal-Intervals: 5 rounds</x:v>
      </x:c>
      <x:c r="I22" s="283" t="str">
        <x:v>A) Wall handstand: 3 x 25 sec, B) Elevated pike push-up: 3 x 4, C) Lower-box pistol with counterweight: 3 x 4/leg, Cal-Intervals: 5 rounds</x:v>
      </x:c>
    </x:row>
    <x:row r="23" ht="95" hidden="0" customHeight="1">
      <x:c r="A23" s="177" t="n">
        <x:v>3</x:v>
      </x:c>
      <x:c r="B23" s="178" t="n">
        <x:f aca="0">$E$3+7*(A23-1)</x:f>
        <x:v>46335.5</x:v>
      </x:c>
      <x:c r="C23" s="278" t="s">
        <x:v>71</x:v>
      </x:c>
      <x:c r="D23" s="278" t="s">
        <x:v>72</x:v>
      </x:c>
      <x:c r="E23" s="278" t="s">
        <x:v>76</x:v>
      </x:c>
      <x:c r="F23" s="278" t="s">
        <x:v>74</x:v>
      </x:c>
      <x:c r="G23" s="278" t="n">
        <x:v>160</x:v>
      </x:c>
      <x:c r="H23" s="278" t="str">
        <x:v>A) Explosive pull-up: 4 x 2, B) Low-bar transition: 3 x 3, C) Assisted full-depth pistol: 3 x 4/leg, Cal-Intervals: 5 rounds</x:v>
      </x:c>
      <x:c r="I23" s="278" t="str">
        <x:v>A) Wall HSPU negative: 3 x 2 (lower 3 sec), B) Pike push-up: 3 x 5, C) Assisted full-depth pistol: 3 x 4/leg, Cal-Intervals: 5 rounds</x:v>
      </x:c>
    </x:row>
    <x:row r="24" ht="95" hidden="0" customHeight="1">
      <x:c r="A24" s="174" t="n">
        <x:v>4</x:v>
      </x:c>
      <x:c r="B24" s="176" t="n">
        <x:f aca="0">$E$3+7*(A24-1)</x:f>
        <x:v>46342.5</x:v>
      </x:c>
      <x:c r="C24" s="283" t="s">
        <x:v>77</x:v>
      </x:c>
      <x:c r="D24" s="283" t="s">
        <x:v>78</x:v>
      </x:c>
      <x:c r="E24" s="283" t="s">
        <x:v>79</x:v>
      </x:c>
      <x:c r="F24" s="283" t="s">
        <x:v>74</x:v>
      </x:c>
      <x:c r="G24" s="283" t="n">
        <x:v>81</x:v>
      </x:c>
      <x:c r="H24" s="283" t="str">
        <x:v>A) Easy scapular pull-up: 1 x 5, B) Easy low-bar transition: 1 x 3, C) Assisted pistol: 1 x 3/leg, Cal-Intervals: 3 rounds</x:v>
      </x:c>
      <x:c r="I24" s="283" t="str">
        <x:v>A) Easy wall handstand: 1 x 15 sec, B) Gentle wrist/shoulder mobility: 2 min, C) Assisted pistol: 1 x 3/leg, Cal-Intervals: 3 rounds</x:v>
      </x:c>
    </x:row>
    <x:row r="25" ht="95" hidden="0" customHeight="1">
      <x:c r="A25" s="177" t="n">
        <x:v>5</x:v>
      </x:c>
      <x:c r="B25" s="178" t="n">
        <x:f aca="0">$E$3+7*(A25-1)</x:f>
        <x:v>46349.5</x:v>
      </x:c>
      <x:c r="C25" s="278" t="s">
        <x:v>80</x:v>
      </x:c>
      <x:c r="D25" s="278" t="s">
        <x:v>72</x:v>
      </x:c>
      <x:c r="E25" s="278" t="s">
        <x:v>81</x:v>
      </x:c>
      <x:c r="F25" s="278" t="s">
        <x:v>74</x:v>
      </x:c>
      <x:c r="G25" s="278" t="n">
        <x:v>160</x:v>
      </x:c>
      <x:c r="H25" s="278" t="str">
        <x:v>A) Chest-to-bar pull-up: 3 x 3, B) Band-assisted muscle-up: 4 x 1, C) Counterweight pistol: 3 x 4/leg, Cal-Intervals: 5 rounds</x:v>
      </x:c>
      <x:c r="I25" s="278" t="str">
        <x:v>A) Deficit pike push-up: 3 x 4, B) Wall HSPU negative: 3 x 2 (lower 3 sec), C) Counterweight pistol: 3 x 4/leg, Cal-Intervals: 5 rounds</x:v>
      </x:c>
    </x:row>
    <x:row r="26" ht="95" hidden="0" customHeight="1">
      <x:c r="A26" s="174" t="n">
        <x:v>6</x:v>
      </x:c>
      <x:c r="B26" s="176" t="n">
        <x:f aca="0">$E$3+7*(A26-1)</x:f>
        <x:v>46356.5</x:v>
      </x:c>
      <x:c r="C26" s="283" t="s">
        <x:v>80</x:v>
      </x:c>
      <x:c r="D26" s="283" t="s">
        <x:v>72</x:v>
      </x:c>
      <x:c r="E26" s="283" t="s">
        <x:v>82</x:v>
      </x:c>
      <x:c r="F26" s="283" t="s">
        <x:v>74</x:v>
      </x:c>
      <x:c r="G26" s="283" t="n">
        <x:v>160</x:v>
      </x:c>
      <x:c r="H26" s="283" t="str">
        <x:v>A) Jumping muscle-up: 3 x 3, B) Low-bar slow transition: 3 x 3, C) Light-counterweight pistol: 3 x 4/leg, Cal-Intervals: 5 rounds</x:v>
      </x:c>
      <x:c r="I26" s="283" t="str">
        <x:v>A) Partial wall HSPU: 3 x 3, B) Wall HSPU negative: 3 x 2 (lower 3 sec), C) Light-counterweight pistol: 3 x 4/leg, Cal-Intervals: 5 rounds</x:v>
      </x:c>
    </x:row>
    <x:row r="27" ht="95" hidden="0" customHeight="1">
      <x:c r="A27" s="177" t="n">
        <x:v>7</x:v>
      </x:c>
      <x:c r="B27" s="178" t="n">
        <x:f aca="0">$E$3+7*(A27-1)</x:f>
        <x:v>46363.5</x:v>
      </x:c>
      <x:c r="C27" s="278" t="s">
        <x:v>80</x:v>
      </x:c>
      <x:c r="D27" s="278" t="s">
        <x:v>72</x:v>
      </x:c>
      <x:c r="E27" s="278" t="s">
        <x:v>83</x:v>
      </x:c>
      <x:c r="F27" s="278" t="s">
        <x:v>74</x:v>
      </x:c>
      <x:c r="G27" s="278" t="n">
        <x:v>160</x:v>
      </x:c>
      <x:c r="H27" s="278" t="str">
        <x:v>A) Light-band muscle-up: 4 x 1, B) Band-assisted transition: 3 x 2, C) Unassisted pistol to target: 3 x 1/leg, Cal-Intervals: 5 rounds</x:v>
      </x:c>
      <x:c r="I27" s="278" t="str">
        <x:v>A) Deeper wall HSPU: 3 x 2, B) Easy wall handstand: 2 x 20 sec, C) Unassisted pistol to target: 3 x 1/leg, Cal-Intervals: 5 rounds</x:v>
      </x:c>
    </x:row>
    <x:row r="28" ht="95" hidden="0" customHeight="1">
      <x:c r="A28" s="174" t="n">
        <x:v>8</x:v>
      </x:c>
      <x:c r="B28" s="176" t="n">
        <x:f aca="0">$E$3+7*(A28-1)</x:f>
        <x:v>46370.5</x:v>
      </x:c>
      <x:c r="C28" s="283" t="s">
        <x:v>77</x:v>
      </x:c>
      <x:c r="D28" s="283" t="s">
        <x:v>78</x:v>
      </x:c>
      <x:c r="E28" s="283" t="s">
        <x:v>84</x:v>
      </x:c>
      <x:c r="F28" s="283" t="s">
        <x:v>74</x:v>
      </x:c>
      <x:c r="G28" s="283" t="n">
        <x:v>81</x:v>
      </x:c>
      <x:c r="H28" s="283" t="str">
        <x:v>A) Easy high pull: 1 x 3, B) Easy low-bar transition: 1 x 3, C) Assisted smooth pistol: 1 x 3/leg, Cal-Intervals: 3 rounds</x:v>
      </x:c>
      <x:c r="I28" s="283" t="str">
        <x:v>A) Easy wall handstand: 1 x 15 sec, B) Easy pike push-up: 1 x 4, C) Assisted smooth pistol: 1 x 3/leg, Cal-Intervals: 3 rounds</x:v>
      </x:c>
    </x:row>
    <x:row r="29" ht="95" hidden="0" customHeight="1">
      <x:c r="A29" s="177" t="n">
        <x:v>9</x:v>
      </x:c>
      <x:c r="B29" s="178" t="n">
        <x:f aca="0">$E$3+7*(A29-1)</x:f>
        <x:v>46377.5</x:v>
      </x:c>
      <x:c r="C29" s="278" t="s">
        <x:v>85</x:v>
      </x:c>
      <x:c r="D29" s="278" t="s">
        <x:v>72</x:v>
      </x:c>
      <x:c r="E29" s="278" t="s">
        <x:v>86</x:v>
      </x:c>
      <x:c r="F29" s="278" t="s">
        <x:v>74</x:v>
      </x:c>
      <x:c r="G29" s="278" t="n">
        <x:v>160</x:v>
      </x:c>
      <x:c r="H29" s="278" t="str">
        <x:v>A) Light-band or strict muscle-up: 3 x 1, B) Stronger-band back-off muscle-up: 2 x 2, C) Unassisted pistol: 3 x 1/leg, Cal-Intervals: 5 rounds</x:v>
      </x:c>
      <x:c r="I29" s="278" t="str">
        <x:v>A) Full-ROM wall HSPU negative: 3 x 1, B) Partial wall HSPU: 3 x 3, C) Unassisted pistol: 3 x 1/leg, Cal-Intervals: 5 rounds</x:v>
      </x:c>
    </x:row>
    <x:row r="30" ht="95" hidden="0" customHeight="1">
      <x:c r="A30" s="174" t="n">
        <x:v>10</x:v>
      </x:c>
      <x:c r="B30" s="176" t="n">
        <x:f aca="0">$E$3+7*(A30-1)</x:f>
        <x:v>46384.5</x:v>
      </x:c>
      <x:c r="C30" s="283" t="s">
        <x:v>85</x:v>
      </x:c>
      <x:c r="D30" s="283" t="s">
        <x:v>72</x:v>
      </x:c>
      <x:c r="E30" s="283" t="s">
        <x:v>87</x:v>
      </x:c>
      <x:c r="F30" s="283" t="s">
        <x:v>74</x:v>
      </x:c>
      <x:c r="G30" s="283" t="n">
        <x:v>160</x:v>
      </x:c>
      <x:c r="H30" s="283" t="str">
        <x:v>A) Quality muscle-up attempts: 3-5 singles, B) Band-assisted muscle-up: 2 x 2, C) Pistol clusters: 3 x (1+1)/leg (20 sec between reps), Cal-Intervals: 5 rounds</x:v>
      </x:c>
      <x:c r="I30" s="283" t="str">
        <x:v>A) Wall HSPU clusters: 3 x (1+1) (20 sec between reps), B) Easy wall handstand: 2 x 20 sec, C) Pistol clusters: 3 x (1+1)/leg (20 sec between reps), Cal-Intervals: 5 rounds</x:v>
      </x:c>
    </x:row>
    <x:row r="31" ht="95" hidden="0" customHeight="1">
      <x:c r="A31" s="177" t="n">
        <x:v>11</x:v>
      </x:c>
      <x:c r="B31" s="178" t="n">
        <x:f aca="0">$E$3+7*(A31-1)</x:f>
        <x:v>46391.5</x:v>
      </x:c>
      <x:c r="C31" s="278" t="s">
        <x:v>85</x:v>
      </x:c>
      <x:c r="D31" s="278" t="s">
        <x:v>72</x:v>
      </x:c>
      <x:c r="E31" s="278" t="s">
        <x:v>88</x:v>
      </x:c>
      <x:c r="F31" s="278" t="s">
        <x:v>74</x:v>
      </x:c>
      <x:c r="G31" s="278" t="n">
        <x:v>160</x:v>
      </x:c>
      <x:c r="H31" s="278" t="str">
        <x:v>A) Quality muscle-up attempts: 3 singles, B) Crisp high pull: 3 x 2, C) Clean pistol: 3 x 2/leg, Cal-Intervals: 5 rounds</x:v>
      </x:c>
      <x:c r="I31" s="278" t="str">
        <x:v>A) Full-ROM wall HSPU: 3 single attempts, B) Pike push-up back-off: 2 x 4, C) Clean pistol: 3 x 2/leg, Cal-Intervals: 5 rounds</x:v>
      </x:c>
    </x:row>
    <x:row r="32" ht="95" hidden="0" customHeight="1">
      <x:c r="A32" s="174" t="n">
        <x:v>12</x:v>
      </x:c>
      <x:c r="B32" s="176" t="n">
        <x:f aca="0">$E$3+7*(A32-1)</x:f>
        <x:v>46398.5</x:v>
      </x:c>
      <x:c r="C32" s="283" t="s">
        <x:v>89</x:v>
      </x:c>
      <x:c r="D32" s="283" t="s">
        <x:v>90</x:v>
      </x:c>
      <x:c r="E32" s="283" t="s">
        <x:v>91</x:v>
      </x:c>
      <x:c r="F32" s="283" t="s">
        <x:v>74</x:v>
      </x:c>
      <x:c r="G32" s="283" t="n">
        <x:v>75</x:v>
      </x:c>
      <x:c r="H32" s="283" t="str">
        <x:v>A) Muscle-up test: up to 3 rested singles, B) Pistol test: 1 clean set/leg (cap at 5), C) Easy scapular pull-up: 1 x 5 if time remains, Cal-Intervals: 2 rounds</x:v>
      </x:c>
      <x:c r="I32" s="283" t="str">
        <x:v>A) Wall HSPU test: 1 clean set (cap at 5), B) Easy wall handstand: 1 x 15 sec, C) Gentle wrist/shoulder mobility: 2 min, Cal-Intervals: 2 rounds</x:v>
      </x:c>
    </x:row>
    <x:row r="33" ht="18" hidden="0" customHeight="1">
      <x:c r="A33" s="179"/>
      <x:c r="B33" s="179"/>
      <x:c r="C33" s="179"/>
      <x:c r="D33" s="179"/>
      <x:c r="E33" s="179"/>
      <x:c r="F33" s="179"/>
      <x:c r="G33" s="179"/>
      <x:c r="H33" s="179"/>
      <x:c r="I33" s="179"/>
    </x:row>
    <x:row r="34" ht="26" hidden="0" customHeight="1">
      <x:c r="A34" s="394" t="str">
        <x:v>Plan summary</x:v>
      </x:c>
      <x:c r="B34" s="394"/>
      <x:c r="C34" s="394"/>
      <x:c r="D34" s="394"/>
      <x:c r="E34"/>
      <x:c r="F34"/>
      <x:c r="G34"/>
      <x:c r="H34"/>
      <x:c r="I34"/>
    </x:row>
    <x:row r="35" ht="26" hidden="0" customHeight="1">
      <x:c r="A35" s="397" t="str">
        <x:v>Metric</x:v>
      </x:c>
      <x:c r="B35" s="397" t="str">
        <x:v>Value</x:v>
      </x:c>
      <x:c r="C35" s="391"/>
      <x:c r="D35" s="391"/>
      <x:c r="E35"/>
      <x:c r="F35"/>
      <x:c r="G35"/>
      <x:c r="H35"/>
      <x:c r="I35"/>
    </x:row>
    <x:row r="36" ht="38" hidden="0" customHeight="1">
      <x:c r="A36" s="400" t="str">
        <x:v>Planned sessions</x:v>
      </x:c>
      <x:c r="B36" s="391" t="n">
        <x:f>COUNTA(Daily!A3:A80)</x:f>
        <x:v>48</x:v>
      </x:c>
      <x:c r="C36" s="391"/>
      <x:c r="D36" s="391"/>
      <x:c r="E36"/>
      <x:c r="F36"/>
      <x:c r="G36"/>
      <x:c r="H36"/>
      <x:c r="I36"/>
    </x:row>
    <x:row r="37" ht="38" hidden="0" customHeight="1">
      <x:c r="A37" s="400" t="str">
        <x:v>Completed sessions</x:v>
      </x:c>
      <x:c r="B37" s="391" t="n">
        <x:f>COUNTIF(Daily!G3:G80,"completed")</x:f>
        <x:v>0</x:v>
      </x:c>
      <x:c r="C37" s="391"/>
      <x:c r="D37" s="391"/>
      <x:c r="E37"/>
      <x:c r="F37"/>
      <x:c r="G37"/>
      <x:c r="H37"/>
      <x:c r="I37"/>
    </x:row>
    <x:row r="38" ht="38" hidden="0" customHeight="1">
      <x:c r="A38" s="400" t="str">
        <x:v>Recorded manual minutes</x:v>
      </x:c>
      <x:c r="B38" s="391" t="str">
        <x:f>IF(COUNT(Daily!F3:F50)=0,"",SUM(Daily!F3:F50))</x:f>
      </x:c>
      <x:c r="C38" s="391"/>
      <x:c r="D38" s="391"/>
      <x:c r="E38"/>
      <x:c r="F38"/>
      <x:c r="G38"/>
      <x:c r="H38"/>
      <x:c r="I38"/>
    </x:row>
    <x:row r="39" ht="38" hidden="0" customHeight="1">
      <x:c r="A39" s="400" t="str">
        <x:v>Recorded performance (%)</x:v>
      </x:c>
      <x:c r="B39" s="391" t="str">
        <x:f>IF(COUNT(Scoring!Q5:Q300)=0,"",MEDIAN(Scoring!Q5:Q300))</x:f>
      </x:c>
      <x:c r="C39" s="391"/>
      <x:c r="D39" s="391"/>
      <x:c r="E39"/>
      <x:c r="F39"/>
      <x:c r="G39"/>
      <x:c r="H39"/>
      <x:c r="I39"/>
    </x:row>
    <x:row r="40" ht="26" hidden="0" customHeight="1">
      <x:c r="A40" s="391"/>
      <x:c r="B40" s="391"/>
      <x:c r="C40" s="391"/>
      <x:c r="D40" s="391"/>
      <x:c r="E40"/>
      <x:c r="F40"/>
      <x:c r="G40"/>
      <x:c r="H40"/>
      <x:c r="I40"/>
    </x:row>
    <x:row r="41" ht="26" hidden="0" customHeight="1">
      <x:c r="A41" s="391"/>
      <x:c r="B41" s="391"/>
      <x:c r="C41" s="391"/>
      <x:c r="D41" s="391"/>
      <x:c r="E41"/>
      <x:c r="F41"/>
      <x:c r="G41"/>
      <x:c r="H41"/>
      <x:c r="I41"/>
    </x:row>
    <x:row r="42" ht="26" hidden="0" customHeight="1">
      <x:c r="A42" s="394" t="str">
        <x:v>Plan recap</x:v>
      </x:c>
      <x:c r="B42" s="394"/>
      <x:c r="C42" s="394"/>
      <x:c r="D42" s="394"/>
      <x:c r="E42"/>
      <x:c r="F42"/>
      <x:c r="G42"/>
      <x:c r="H42"/>
      <x:c r="I42"/>
    </x:row>
    <x:row r="43" ht="26" hidden="0" customHeight="1">
      <x:c r="A43" s="397" t="str">
        <x:v>Prompt</x:v>
      </x:c>
      <x:c r="B43" s="397" t="str">
        <x:v>Response</x:v>
      </x:c>
      <x:c r="C43" s="397"/>
      <x:c r="D43" s="397"/>
      <x:c r="E43"/>
      <x:c r="F43"/>
      <x:c r="G43"/>
      <x:c r="H43"/>
      <x:c r="I43"/>
    </x:row>
    <x:row r="44" ht="42" hidden="0" customHeight="1">
      <x:c r="A44" s="400" t="str">
        <x:v>Goal progress</x:v>
      </x:c>
      <x:c r="B44" s="401"/>
      <x:c r="C44" s="391"/>
      <x:c r="D44" s="391"/>
      <x:c r="E44"/>
      <x:c r="F44"/>
      <x:c r="G44"/>
      <x:c r="H44"/>
      <x:c r="I44"/>
    </x:row>
    <x:row r="45" ht="42" hidden="0" customHeight="1">
      <x:c r="A45" s="400" t="str">
        <x:v>What worked</x:v>
      </x:c>
      <x:c r="B45" s="401"/>
      <x:c r="C45" s="391"/>
      <x:c r="D45" s="391"/>
      <x:c r="E45"/>
      <x:c r="F45"/>
      <x:c r="G45"/>
      <x:c r="H45"/>
      <x:c r="I45"/>
    </x:row>
    <x:row r="46" ht="42" hidden="0" customHeight="1">
      <x:c r="A46" s="400" t="str">
        <x:v>What to change</x:v>
      </x:c>
      <x:c r="B46" s="401"/>
      <x:c r="C46" s="391"/>
      <x:c r="D46" s="391"/>
      <x:c r="E46"/>
      <x:c r="F46"/>
      <x:c r="G46"/>
      <x:c r="H46"/>
      <x:c r="I46"/>
    </x:row>
    <x:row r="47" ht="42" hidden="0" customHeight="1">
      <x:c r="A47" s="400" t="str">
        <x:v>Recovery and comfort</x:v>
      </x:c>
      <x:c r="B47" s="401"/>
      <x:c r="C47" s="391"/>
      <x:c r="D47" s="391"/>
      <x:c r="E47"/>
      <x:c r="F47"/>
      <x:c r="G47"/>
      <x:c r="H47"/>
      <x:c r="I47"/>
    </x:row>
    <x:row r="48" ht="42" hidden="0" customHeight="1">
      <x:c r="A48" s="400" t="str">
        <x:v>Vest / load observations</x:v>
      </x:c>
      <x:c r="B48" s="401"/>
      <x:c r="C48" s="391"/>
      <x:c r="D48" s="391"/>
      <x:c r="E48"/>
      <x:c r="F48"/>
      <x:c r="G48"/>
      <x:c r="H48"/>
      <x:c r="I48"/>
    </x:row>
    <x:row r="49" ht="42" hidden="0" customHeight="1">
      <x:c r="A49" s="400" t="str">
        <x:v>Next plan</x:v>
      </x:c>
      <x:c r="B49" s="401"/>
      <x:c r="C49" s="391"/>
      <x:c r="D49" s="391"/>
      <x:c r="E49"/>
      <x:c r="F49"/>
      <x:c r="G49"/>
      <x:c r="H49"/>
      <x:c r="I49"/>
    </x:row>
    <x:row r="50" ht="26" hidden="0" customHeight="1">
      <x:c r="A50"/>
      <x:c r="B50"/>
      <x:c r="C50"/>
      <x:c r="D50"/>
      <x:c r="E50"/>
      <x:c r="F50"/>
      <x:c r="G50"/>
      <x:c r="H50"/>
      <x:c r="I50"/>
    </x:row>
    <x:row r="51" ht="26" hidden="0" customHeight="1">
      <x:c r="A51"/>
      <x:c r="B51"/>
      <x:c r="C51"/>
      <x:c r="D51"/>
      <x:c r="E51"/>
      <x:c r="F51"/>
      <x:c r="G51"/>
      <x:c r="H51"/>
      <x:c r="I51"/>
    </x:row>
    <x:row r="52" ht="26" hidden="0" customHeight="1">
      <x:c r="A52"/>
      <x:c r="B52"/>
      <x:c r="C52"/>
      <x:c r="D52"/>
      <x:c r="E52"/>
      <x:c r="F52"/>
      <x:c r="G52"/>
      <x:c r="H52"/>
      <x:c r="I52"/>
    </x:row>
    <x:row r="53" ht="26" hidden="0" customHeight="1">
      <x:c r="A53"/>
      <x:c r="B53"/>
      <x:c r="C53"/>
      <x:c r="D53"/>
      <x:c r="E53"/>
      <x:c r="F53"/>
      <x:c r="G53"/>
      <x:c r="H53"/>
      <x:c r="I53"/>
    </x:row>
    <x:row r="54" ht="26" hidden="0" customHeight="1">
      <x:c r="A54"/>
      <x:c r="B54"/>
      <x:c r="C54"/>
      <x:c r="D54"/>
      <x:c r="E54"/>
      <x:c r="F54"/>
      <x:c r="G54"/>
      <x:c r="H54"/>
      <x:c r="I54"/>
    </x:row>
    <x:row r="55" ht="26" hidden="0" customHeight="1">
      <x:c r="A55"/>
      <x:c r="B55"/>
      <x:c r="C55"/>
      <x:c r="D55"/>
      <x:c r="E55"/>
      <x:c r="F55"/>
      <x:c r="G55"/>
      <x:c r="H55"/>
      <x:c r="I55"/>
    </x:row>
    <x:row r="56" ht="26" hidden="0" customHeight="1">
      <x:c r="A56"/>
      <x:c r="B56"/>
      <x:c r="C56"/>
      <x:c r="D56"/>
      <x:c r="E56"/>
      <x:c r="F56"/>
      <x:c r="G56"/>
      <x:c r="H56"/>
      <x:c r="I56"/>
    </x:row>
    <x:row r="57" ht="26" hidden="0" customHeight="1">
      <x:c r="A57"/>
      <x:c r="B57"/>
      <x:c r="C57"/>
      <x:c r="D57"/>
      <x:c r="E57"/>
      <x:c r="F57"/>
      <x:c r="G57"/>
      <x:c r="H57"/>
      <x:c r="I57"/>
    </x:row>
    <x:row r="58" ht="26" hidden="0" customHeight="1">
      <x:c r="A58"/>
      <x:c r="B58"/>
      <x:c r="C58"/>
      <x:c r="D58"/>
      <x:c r="E58"/>
      <x:c r="F58"/>
      <x:c r="G58"/>
      <x:c r="H58"/>
      <x:c r="I58"/>
    </x:row>
    <x:row r="59" ht="26" hidden="0" customHeight="1">
      <x:c r="A59"/>
      <x:c r="B59"/>
      <x:c r="C59"/>
      <x:c r="D59"/>
      <x:c r="E59"/>
      <x:c r="F59"/>
      <x:c r="G59"/>
      <x:c r="H59"/>
      <x:c r="I59"/>
    </x:row>
    <x:row r="60" ht="26" hidden="0" customHeight="1">
      <x:c r="A60"/>
      <x:c r="B60"/>
      <x:c r="C60"/>
      <x:c r="D60"/>
      <x:c r="E60"/>
      <x:c r="F60"/>
      <x:c r="G60"/>
      <x:c r="H60"/>
      <x:c r="I60"/>
    </x:row>
    <x:row r="61" ht="26" hidden="0" customHeight="1">
      <x:c r="A61"/>
      <x:c r="B61"/>
      <x:c r="C61"/>
      <x:c r="D61"/>
      <x:c r="E61"/>
      <x:c r="F61"/>
      <x:c r="G61"/>
      <x:c r="H61"/>
      <x:c r="I61"/>
    </x:row>
    <x:row r="62" ht="26" hidden="0" customHeight="1">
      <x:c r="A62"/>
      <x:c r="B62"/>
      <x:c r="C62"/>
      <x:c r="D62"/>
      <x:c r="E62"/>
      <x:c r="F62"/>
      <x:c r="G62"/>
      <x:c r="H62"/>
      <x:c r="I62"/>
    </x:row>
    <x:row r="63" ht="26" hidden="0" customHeight="1">
      <x:c r="A63"/>
      <x:c r="B63"/>
      <x:c r="C63"/>
      <x:c r="D63"/>
      <x:c r="E63"/>
      <x:c r="F63"/>
      <x:c r="G63"/>
      <x:c r="H63"/>
      <x:c r="I63"/>
    </x:row>
    <x:row r="64" ht="26" hidden="0" customHeight="1">
      <x:c r="A64"/>
      <x:c r="B64"/>
      <x:c r="C64"/>
      <x:c r="D64"/>
      <x:c r="E64"/>
      <x:c r="F64"/>
      <x:c r="G64"/>
      <x:c r="H64"/>
      <x:c r="I64"/>
    </x:row>
    <x:row r="65" ht="26" hidden="0" customHeight="1">
      <x:c r="A65"/>
      <x:c r="B65"/>
      <x:c r="C65"/>
      <x:c r="D65"/>
      <x:c r="E65"/>
      <x:c r="F65"/>
      <x:c r="G65"/>
      <x:c r="H65"/>
      <x:c r="I65"/>
    </x:row>
    <x:row r="66" ht="26" hidden="0" customHeight="1">
      <x:c r="A66"/>
      <x:c r="B66"/>
      <x:c r="C66"/>
      <x:c r="D66"/>
      <x:c r="E66"/>
      <x:c r="F66"/>
      <x:c r="G66"/>
      <x:c r="H66"/>
      <x:c r="I66"/>
    </x:row>
    <x:row r="67" ht="26" hidden="0" customHeight="1">
      <x:c r="A67"/>
      <x:c r="B67"/>
      <x:c r="C67"/>
      <x:c r="D67"/>
      <x:c r="E67"/>
      <x:c r="F67"/>
      <x:c r="G67"/>
      <x:c r="H67"/>
      <x:c r="I67"/>
    </x:row>
    <x:row r="68" ht="26" hidden="0" customHeight="1">
      <x:c r="A68"/>
      <x:c r="B68"/>
      <x:c r="C68"/>
      <x:c r="D68"/>
      <x:c r="E68"/>
      <x:c r="F68"/>
      <x:c r="G68"/>
      <x:c r="H68"/>
      <x:c r="I68"/>
    </x:row>
    <x:row r="69" ht="26" hidden="0" customHeight="1">
      <x:c r="A69"/>
      <x:c r="B69"/>
      <x:c r="C69"/>
      <x:c r="D69"/>
      <x:c r="E69"/>
      <x:c r="F69"/>
      <x:c r="G69"/>
      <x:c r="H69"/>
      <x:c r="I69"/>
    </x:row>
    <x:row r="70" ht="26" hidden="0" customHeight="1">
      <x:c r="A70"/>
      <x:c r="B70"/>
      <x:c r="C70"/>
      <x:c r="D70"/>
      <x:c r="E70"/>
      <x:c r="F70"/>
      <x:c r="G70"/>
      <x:c r="H70"/>
      <x:c r="I70"/>
    </x:row>
    <x:row r="71" ht="26" hidden="0" customHeight="1">
      <x:c r="A71"/>
      <x:c r="B71"/>
      <x:c r="C71"/>
      <x:c r="D71"/>
      <x:c r="E71"/>
      <x:c r="F71"/>
      <x:c r="G71"/>
      <x:c r="H71"/>
      <x:c r="I71"/>
    </x:row>
    <x:row r="72" ht="26" hidden="0" customHeight="1">
      <x:c r="A72"/>
      <x:c r="B72"/>
      <x:c r="C72"/>
      <x:c r="D72"/>
      <x:c r="E72"/>
      <x:c r="F72"/>
      <x:c r="G72"/>
      <x:c r="H72"/>
      <x:c r="I72"/>
    </x:row>
    <x:row r="73" ht="26" hidden="0" customHeight="1">
      <x:c r="A73"/>
      <x:c r="B73"/>
      <x:c r="C73"/>
      <x:c r="D73"/>
      <x:c r="E73"/>
      <x:c r="F73"/>
      <x:c r="G73"/>
      <x:c r="H73"/>
      <x:c r="I73"/>
    </x:row>
    <x:row r="74" ht="26" hidden="0" customHeight="1">
      <x:c r="A74"/>
      <x:c r="B74"/>
      <x:c r="C74"/>
      <x:c r="D74"/>
      <x:c r="E74"/>
      <x:c r="F74"/>
      <x:c r="G74"/>
      <x:c r="H74"/>
      <x:c r="I74"/>
    </x:row>
    <x:row r="75" ht="26" hidden="0" customHeight="1">
      <x:c r="A75"/>
      <x:c r="B75"/>
      <x:c r="C75"/>
      <x:c r="D75"/>
      <x:c r="E75"/>
      <x:c r="F75"/>
      <x:c r="G75"/>
      <x:c r="H75"/>
      <x:c r="I75"/>
    </x:row>
    <x:row r="76" ht="26" hidden="0" customHeight="1">
      <x:c r="A76"/>
      <x:c r="B76"/>
      <x:c r="C76"/>
      <x:c r="D76"/>
      <x:c r="E76"/>
      <x:c r="F76"/>
      <x:c r="G76"/>
      <x:c r="H76"/>
      <x:c r="I76"/>
    </x:row>
    <x:row r="77" ht="26" hidden="0" customHeight="1">
      <x:c r="A77"/>
      <x:c r="B77"/>
      <x:c r="C77"/>
      <x:c r="D77"/>
      <x:c r="E77"/>
      <x:c r="F77"/>
      <x:c r="G77"/>
      <x:c r="H77"/>
      <x:c r="I77"/>
    </x:row>
    <x:row r="78" ht="26" hidden="0" customHeight="1">
      <x:c r="A78"/>
      <x:c r="B78"/>
      <x:c r="C78"/>
      <x:c r="D78"/>
      <x:c r="E78"/>
      <x:c r="F78"/>
      <x:c r="G78"/>
      <x:c r="H78"/>
      <x:c r="I78"/>
    </x:row>
    <x:row r="79" ht="26" hidden="0" customHeight="1">
      <x:c r="A79"/>
      <x:c r="B79"/>
      <x:c r="C79"/>
      <x:c r="D79"/>
      <x:c r="E79"/>
      <x:c r="F79"/>
      <x:c r="G79"/>
      <x:c r="H79"/>
      <x:c r="I79"/>
    </x:row>
    <x:row r="80" ht="26" hidden="0" customHeight="1">
      <x:c r="A80"/>
      <x:c r="B80"/>
      <x:c r="C80"/>
      <x:c r="D80"/>
      <x:c r="E80"/>
      <x:c r="F80"/>
      <x:c r="G80"/>
      <x:c r="H80"/>
      <x:c r="I80"/>
    </x:row>
    <x:row r="81" ht="26" hidden="0" customHeight="1">
      <x:c r="A81"/>
      <x:c r="B81"/>
      <x:c r="C81"/>
      <x:c r="D81"/>
      <x:c r="E81"/>
      <x:c r="F81"/>
      <x:c r="G81"/>
      <x:c r="H81"/>
      <x:c r="I81"/>
    </x:row>
    <x:row r="82" ht="26" hidden="0" customHeight="1">
      <x:c r="A82"/>
      <x:c r="B82"/>
      <x:c r="C82"/>
      <x:c r="D82"/>
      <x:c r="E82"/>
      <x:c r="F82"/>
      <x:c r="G82"/>
      <x:c r="H82"/>
      <x:c r="I82"/>
    </x:row>
    <x:row r="83" ht="26" hidden="0" customHeight="1">
      <x:c r="A83"/>
      <x:c r="B83"/>
      <x:c r="C83"/>
      <x:c r="D83"/>
      <x:c r="E83"/>
      <x:c r="F83"/>
      <x:c r="G83"/>
      <x:c r="H83"/>
      <x:c r="I83"/>
    </x:row>
    <x:row r="84" ht="26" hidden="0" customHeight="1">
      <x:c r="A84"/>
      <x:c r="B84"/>
      <x:c r="C84"/>
      <x:c r="D84"/>
      <x:c r="E84"/>
      <x:c r="F84"/>
      <x:c r="G84"/>
      <x:c r="H84"/>
      <x:c r="I84"/>
    </x:row>
    <x:row r="85" ht="26" hidden="0" customHeight="1">
      <x:c r="A85"/>
      <x:c r="B85"/>
      <x:c r="C85"/>
      <x:c r="D85"/>
      <x:c r="E85"/>
      <x:c r="F85"/>
      <x:c r="G85"/>
      <x:c r="H85"/>
      <x:c r="I85"/>
    </x:row>
    <x:row r="86" ht="26" hidden="0" customHeight="1">
      <x:c r="A86"/>
      <x:c r="B86"/>
      <x:c r="C86"/>
      <x:c r="D86"/>
      <x:c r="E86"/>
      <x:c r="F86"/>
      <x:c r="G86"/>
      <x:c r="H86"/>
      <x:c r="I86"/>
    </x:row>
    <x:row r="87" ht="26" hidden="0" customHeight="1">
      <x:c r="A87"/>
      <x:c r="B87"/>
      <x:c r="C87"/>
      <x:c r="D87"/>
      <x:c r="E87"/>
      <x:c r="F87"/>
      <x:c r="G87"/>
      <x:c r="H87"/>
      <x:c r="I87"/>
    </x:row>
    <x:row r="88" ht="26" hidden="0" customHeight="1">
      <x:c r="A88"/>
      <x:c r="B88"/>
      <x:c r="C88"/>
      <x:c r="D88"/>
      <x:c r="E88"/>
      <x:c r="F88"/>
      <x:c r="G88"/>
      <x:c r="H88"/>
      <x:c r="I88"/>
    </x:row>
    <x:row r="89" ht="26" hidden="0" customHeight="1">
      <x:c r="A89"/>
      <x:c r="B89"/>
      <x:c r="C89"/>
      <x:c r="D89"/>
      <x:c r="E89"/>
      <x:c r="F89"/>
      <x:c r="G89"/>
      <x:c r="H89"/>
      <x:c r="I89"/>
    </x:row>
    <x:row r="90" ht="26" hidden="0" customHeight="1">
      <x:c r="A90"/>
      <x:c r="B90"/>
      <x:c r="C90"/>
      <x:c r="D90"/>
      <x:c r="E90"/>
      <x:c r="F90"/>
      <x:c r="G90"/>
      <x:c r="H90"/>
      <x:c r="I90"/>
    </x:row>
    <x:row r="91" ht="82" hidden="0" customHeight="1"/>
    <x:row r="92" ht="82" hidden="0" customHeight="1"/>
    <x:row r="93" ht="82" hidden="0" customHeight="1"/>
    <x:row r="94" ht="82" hidden="0" customHeight="1"/>
    <x:row r="95" ht="82" hidden="0" customHeight="1"/>
    <x:row r="96" ht="82" hidden="0" customHeight="1"/>
    <x:row r="97" ht="82" hidden="0" customHeight="1"/>
    <x:row r="98" ht="82" hidden="0" customHeight="1"/>
    <x:row r="99" ht="82" hidden="0" customHeight="1"/>
    <x:row r="100" ht="82" hidden="0" customHeight="1"/>
    <x:row r="101" ht="82" hidden="0" customHeight="1"/>
    <x:row r="102" ht="82" hidden="0" customHeight="1"/>
    <x:row r="103" ht="82" hidden="0" customHeight="1"/>
    <x:row r="1048574" ht="12.800000190734863" hidden="0"/>
    <x:row r="1048575" ht="12.800000190734863" hidden="0"/>
    <x:row r="1048576" ht="12.800000190734863" hidden="0"/>
  </x:sheetData>
  <x:mergeCells>
    <x:mergeCell ref="A34:D34"/>
    <x:mergeCell ref="A42:D42"/>
    <x:mergeCell ref="B44:D44"/>
    <x:mergeCell ref="B45:D45"/>
    <x:mergeCell ref="B46:D46"/>
    <x:mergeCell ref="B47:D47"/>
    <x:mergeCell ref="B48:D48"/>
    <x:mergeCell ref="B49:D49"/>
  </x:mergeCells>
  <x:dataValidations count="2">
    <x:dataValidation type="list" errorStyle="stop" operator="between" allowBlank="0" showDropDown="0" showInputMessage="0" showErrorMessage="0" sqref="F7:F10">
      <x:formula1>"milestone,maintenance"</x:formula1>
      <x:formula2>0</x:formula2>
    </x:dataValidation>
    <x:dataValidation type="list" errorStyle="stop" operator="between" allowBlank="0" showDropDown="0" showInputMessage="0" showErrorMessage="0" sqref="F11">
      <x:formula1>"milestone,maintenance"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3465E"/>
  </x:sheetPr>
  <x:sheetViews>
    <x:sheetView showGridLines="0" workbookViewId="0">
      <x:pane ySplit="2" topLeftCell="A3" activePane="bottomLeft" state="frozen"/>
    </x:sheetView>
  </x:sheetViews>
  <x:sheetFormatPr defaultColWidth="8.6796875" defaultRowHeight="15"/>
  <x:cols>
    <x:col min="1" max="3" width="16" style="1" hidden="0" customWidth="1"/>
    <x:col min="4" max="4" width="12" style="1" hidden="0" customWidth="1"/>
    <x:col min="5" max="6" width="22" style="1" hidden="0" customWidth="1"/>
    <x:col min="7" max="7" width="44" hidden="0" customWidth="1"/>
  </x:cols>
  <x:sheetData>
    <x:row r="1" ht="26" hidden="0" customHeight="1">
      <x:c r="A1" s="306" t="s">
        <x:v>92</x:v>
      </x:c>
      <x:c r="B1" s="306"/>
      <x:c r="C1" s="306"/>
      <x:c r="D1" s="306"/>
      <x:c r="E1" s="306"/>
      <x:c r="F1" s="306"/>
      <x:c r="G1" s="307"/>
    </x:row>
    <x:row r="2" ht="28" hidden="0" customHeight="1">
      <x:c r="A2" s="183" t="s">
        <x:v>93</x:v>
      </x:c>
      <x:c r="B2" s="183" t="s">
        <x:v>94</x:v>
      </x:c>
      <x:c r="C2" s="183" t="s">
        <x:v>95</x:v>
      </x:c>
      <x:c r="D2" s="183" t="s">
        <x:v>70</x:v>
      </x:c>
      <x:c r="E2" s="183" t="s">
        <x:v>96</x:v>
      </x:c>
      <x:c r="F2" s="183" t="s">
        <x:v>97</x:v>
      </x:c>
      <x:c r="G2" s="183" t="s">
        <x:v>98</x:v>
      </x:c>
    </x:row>
    <x:row r="3" ht="26" hidden="0" customHeight="1">
      <x:c r="A3" s="177" t="s">
        <x:v>99</x:v>
      </x:c>
      <x:c r="B3" s="296"/>
      <x:c r="C3" s="296"/>
      <x:c r="D3" s="302" t="str">
        <x:f aca="0">IF(OR(B3="",C3=""),"",ROUND(MOD(C3-B3,1)*1440,6))</x:f>
      </x:c>
      <x:c r="E3" s="298"/>
      <x:c r="F3" s="298"/>
      <x:c r="G3" s="298"/>
    </x:row>
    <x:row r="4" ht="26" hidden="0" customHeight="1">
      <x:c r="A4" s="174" t="s">
        <x:v>99</x:v>
      </x:c>
      <x:c r="B4" s="299"/>
      <x:c r="C4" s="299"/>
      <x:c r="D4" s="303" t="str">
        <x:f aca="0">IF(OR(B4="",C4=""),"",ROUND(MOD(C4-B4,1)*1440,6))</x:f>
      </x:c>
      <x:c r="E4" s="301"/>
      <x:c r="F4" s="301"/>
      <x:c r="G4" s="301"/>
    </x:row>
    <x:row r="5" ht="28" hidden="0" customHeight="1">
      <x:c r="A5" s="177" t="s">
        <x:v>100</x:v>
      </x:c>
      <x:c r="B5" s="296" t="n">
        <x:v>0.833333333333333</x:v>
      </x:c>
      <x:c r="C5" s="296" t="n">
        <x:v>0.875</x:v>
      </x:c>
      <x:c r="D5" s="302" t="n">
        <x:f aca="0">IF(OR(B5="",C5=""),"",ROUND(MOD(C5-B5,1)*1440,6))</x:f>
        <x:v>60</x:v>
      </x:c>
      <x:c r="E5" s="298" t="s">
        <x:v>44</x:v>
      </x:c>
      <x:c r="F5" s="298" t="s">
        <x:v>101</x:v>
      </x:c>
      <x:c r="G5" s="298" t="s">
        <x:v>102</x:v>
      </x:c>
    </x:row>
    <x:row r="6" ht="26" hidden="0" customHeight="1">
      <x:c r="A6" s="174" t="s">
        <x:v>100</x:v>
      </x:c>
      <x:c r="B6" s="299"/>
      <x:c r="C6" s="299"/>
      <x:c r="D6" s="303" t="str">
        <x:f aca="0">IF(OR(B6="",C6=""),"",ROUND(MOD(C6-B6,1)*1440,6))</x:f>
      </x:c>
      <x:c r="E6" s="301"/>
      <x:c r="F6" s="301"/>
      <x:c r="G6" s="301"/>
    </x:row>
    <x:row r="7" ht="26" hidden="0" customHeight="1">
      <x:c r="A7" s="177" t="s">
        <x:v>103</x:v>
      </x:c>
      <x:c r="B7" s="296"/>
      <x:c r="C7" s="296"/>
      <x:c r="D7" s="302" t="str">
        <x:f aca="0">IF(OR(B7="",C7=""),"",ROUND(MOD(C7-B7,1)*1440,6))</x:f>
      </x:c>
      <x:c r="E7" s="298"/>
      <x:c r="F7" s="298"/>
      <x:c r="G7" s="298"/>
    </x:row>
    <x:row r="8" ht="26" hidden="0" customHeight="1">
      <x:c r="A8" s="174" t="s">
        <x:v>103</x:v>
      </x:c>
      <x:c r="B8" s="299"/>
      <x:c r="C8" s="299"/>
      <x:c r="D8" s="303" t="str">
        <x:f aca="0">IF(OR(B8="",C8=""),"",ROUND(MOD(C8-B8,1)*1440,6))</x:f>
      </x:c>
      <x:c r="E8" s="301"/>
      <x:c r="F8" s="301"/>
      <x:c r="G8" s="301"/>
    </x:row>
    <x:row r="9" ht="26" hidden="0" customHeight="1">
      <x:c r="A9" s="177" t="s">
        <x:v>104</x:v>
      </x:c>
      <x:c r="B9" s="296"/>
      <x:c r="C9" s="296"/>
      <x:c r="D9" s="302" t="str">
        <x:f aca="0">IF(OR(B9="",C9=""),"",ROUND(MOD(C9-B9,1)*1440,6))</x:f>
      </x:c>
      <x:c r="E9" s="298"/>
      <x:c r="F9" s="298"/>
      <x:c r="G9" s="298"/>
    </x:row>
    <x:row r="10" ht="26" hidden="0" customHeight="1">
      <x:c r="A10" s="174" t="s">
        <x:v>104</x:v>
      </x:c>
      <x:c r="B10" s="299"/>
      <x:c r="C10" s="299"/>
      <x:c r="D10" s="303" t="str">
        <x:f aca="0">IF(OR(B10="",C10=""),"",ROUND(MOD(C10-B10,1)*1440,6))</x:f>
      </x:c>
      <x:c r="E10" s="301"/>
      <x:c r="F10" s="301"/>
      <x:c r="G10" s="301"/>
    </x:row>
    <x:row r="11" ht="26" hidden="0" customHeight="1">
      <x:c r="A11" s="177" t="s">
        <x:v>105</x:v>
      </x:c>
      <x:c r="B11" s="296"/>
      <x:c r="C11" s="296"/>
      <x:c r="D11" s="302" t="str">
        <x:f aca="0">IF(OR(B11="",C11=""),"",ROUND(MOD(C11-B11,1)*1440,6))</x:f>
      </x:c>
      <x:c r="E11" s="298"/>
      <x:c r="F11" s="298"/>
      <x:c r="G11" s="298"/>
    </x:row>
    <x:row r="12" ht="26" hidden="0" customHeight="1">
      <x:c r="A12" s="174" t="s">
        <x:v>105</x:v>
      </x:c>
      <x:c r="B12" s="299"/>
      <x:c r="C12" s="299"/>
      <x:c r="D12" s="303" t="str">
        <x:f aca="0">IF(OR(B12="",C12=""),"",ROUND(MOD(C12-B12,1)*1440,6))</x:f>
      </x:c>
      <x:c r="E12" s="301"/>
      <x:c r="F12" s="301"/>
      <x:c r="G12" s="301"/>
    </x:row>
    <x:row r="13" ht="26" hidden="0" customHeight="1">
      <x:c r="A13" s="177" t="s">
        <x:v>106</x:v>
      </x:c>
      <x:c r="B13" s="296"/>
      <x:c r="C13" s="296"/>
      <x:c r="D13" s="302" t="str">
        <x:f aca="0">IF(OR(B13="",C13=""),"",ROUND(MOD(C13-B13,1)*1440,6))</x:f>
      </x:c>
      <x:c r="E13" s="298"/>
      <x:c r="F13" s="298"/>
      <x:c r="G13" s="298"/>
    </x:row>
    <x:row r="14" ht="26" hidden="0" customHeight="1">
      <x:c r="A14" s="174" t="s">
        <x:v>106</x:v>
      </x:c>
      <x:c r="B14" s="299"/>
      <x:c r="C14" s="299"/>
      <x:c r="D14" s="303" t="str">
        <x:f aca="0">IF(OR(B14="",C14=""),"",ROUND(MOD(C14-B14,1)*1440,6))</x:f>
      </x:c>
      <x:c r="E14" s="301"/>
      <x:c r="F14" s="301"/>
      <x:c r="G14" s="301"/>
    </x:row>
    <x:row r="15" ht="28" hidden="0" customHeight="1">
      <x:c r="A15" s="177" t="s">
        <x:v>107</x:v>
      </x:c>
      <x:c r="B15" s="296" t="n">
        <x:v>0.4375</x:v>
      </x:c>
      <x:c r="C15" s="296" t="n">
        <x:v>0.479166666666667</x:v>
      </x:c>
      <x:c r="D15" s="302" t="n">
        <x:f aca="0">IF(OR(B15="",C15=""),"",ROUND(MOD(C15-B15,1)*1440,6))</x:f>
        <x:v>60</x:v>
      </x:c>
      <x:c r="E15" s="298" t="s">
        <x:v>38</x:v>
      </x:c>
      <x:c r="F15" s="298" t="s">
        <x:v>101</x:v>
      </x:c>
      <x:c r="G15" s="298" t="s">
        <x:v>108</x:v>
      </x:c>
    </x:row>
    <x:row r="16" ht="26" hidden="0" customHeight="1">
      <x:c r="A16" s="174" t="s">
        <x:v>107</x:v>
      </x:c>
      <x:c r="B16" s="299"/>
      <x:c r="C16" s="299"/>
      <x:c r="D16" s="303" t="str">
        <x:f aca="0">IF(OR(B16="",C16=""),"",ROUND(MOD(C16-B16,1)*1440,6))</x:f>
      </x:c>
      <x:c r="E16" s="301"/>
      <x:c r="F16" s="301"/>
      <x:c r="G16" s="3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3465E"/>
  </x:sheetPr>
  <x:sheetViews>
    <x:sheetView showGridLines="0" workbookViewId="0">
      <x:pane xSplit="2" ySplit="2" topLeftCell="C3" activePane="bottomRight" state="frozen"/>
    </x:sheetView>
  </x:sheetViews>
  <x:sheetFormatPr defaultColWidth="8.6796875" defaultRowHeight="15"/>
  <x:cols>
    <x:col min="1" max="2" width="14" style="1" hidden="0" customWidth="1"/>
    <x:col min="3" max="3" width="72" style="1" hidden="0" customWidth="1"/>
    <x:col min="4" max="4" width="29" style="1" hidden="0" customWidth="1"/>
    <x:col min="5" max="7" width="17" style="1" hidden="0" customWidth="1"/>
    <x:col min="8" max="11" width="30" style="1" hidden="0" customWidth="1"/>
    <x:col min="12" max="25" width="12" hidden="0" customWidth="1"/>
    <x:col min="26" max="26" width="9" hidden="0" customWidth="1"/>
    <x:col min="16383" max="16384" width="11.529999732971191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7" max="27" width="9" hidden="0" customWidth="1"/>
    <x:col min="29" max="29" width="32" hidden="0" customWidth="1"/>
    <x:col min="30" max="30" width="27" hidden="0" customWidth="1"/>
    <x:col min="31" max="31" width="27" hidden="0" customWidth="1"/>
    <x:col min="32" max="32" width="27" hidden="0" customWidth="1"/>
    <x:col min="33" max="33" width="19" hidden="0" customWidth="1"/>
    <x:col min="34" max="34" width="19" hidden="0" customWidth="1"/>
    <x:col min="35" max="35" width="24" hidden="0" customWidth="1"/>
    <x:col min="36" max="36" width="24" hidden="0" customWidth="1"/>
    <x:col min="37" max="37" width="19" hidden="0" customWidth="1"/>
    <x:col min="38" max="38" width="19" hidden="0" customWidth="1"/>
    <x:col min="28" max="28" width="13" hidden="0" customWidth="1"/>
  </x:cols>
  <x:sheetData>
    <x:row r="1" ht="26" hidden="0" customHeight="1">
      <x:c r="A1" s="290" t="str">
        <x:v>Daily training</x:v>
      </x:c>
      <x:c r="B1" s="290"/>
      <x:c r="C1" s="290"/>
      <x:c r="D1" s="290"/>
      <x:c r="E1" s="290"/>
      <x:c r="F1" s="290"/>
      <x:c r="G1" s="290"/>
      <x:c r="H1" s="291" t="s">
        <x:v>53</x:v>
      </x:c>
      <x:c r="I1" s="290"/>
      <x:c r="J1" s="290"/>
      <x:c r="K1" s="290"/>
      <x:c r="L1" s="290"/>
      <x:c r="M1" s="290"/>
      <x:c r="N1" s="291" t="s">
        <x:v>56</x:v>
      </x:c>
      <x:c r="O1" s="290"/>
      <x:c r="P1" s="290"/>
      <x:c r="Q1" s="290"/>
      <x:c r="R1" s="290"/>
      <x:c r="S1" s="290"/>
      <x:c r="T1" s="291" t="s">
        <x:v>109</x:v>
      </x:c>
      <x:c r="U1" s="290"/>
      <x:c r="V1" s="290"/>
      <x:c r="W1" s="290"/>
      <x:c r="X1" s="290"/>
      <x:c r="Y1" s="290"/>
      <x:c r="Z1" s="291" t="str">
        <x:v>Cal-Intervals</x:v>
      </x:c>
      <x:c r="AA1" s="290"/>
      <x:c r="AB1" s="384" t="str">
        <x:v>Session</x:v>
      </x:c>
      <x:c r="AC1" s="383"/>
      <x:c r="AD1" s="383"/>
      <x:c r="AE1" s="383"/>
      <x:c r="AF1" s="383"/>
      <x:c r="AG1" s="333" t="str">
        <x:v>Daily scores</x:v>
      </x:c>
      <x:c r="AH1" s="333"/>
      <x:c r="AI1"/>
      <x:c r="AJ1"/>
      <x:c r="AK1"/>
      <x:c r="AL1"/>
    </x:row>
    <x:row r="2" ht="42" hidden="0" customHeight="1">
      <x:c r="A2" s="239" t="s">
        <x:v>110</x:v>
      </x:c>
      <x:c r="B2" s="239" t="s">
        <x:v>111</x:v>
      </x:c>
      <x:c r="C2" s="239" t="s">
        <x:v>0</x:v>
      </x:c>
      <x:c r="D2" s="239" t="s">
        <x:v>112</x:v>
      </x:c>
      <x:c r="E2" s="239" t="s">
        <x:v>113</x:v>
      </x:c>
      <x:c r="F2" s="239" t="s">
        <x:v>114</x:v>
      </x:c>
      <x:c r="G2" s="239" t="s">
        <x:v>115</x:v>
      </x:c>
      <x:c r="H2" s="242" t="s">
        <x:v>116</x:v>
      </x:c>
      <x:c r="I2" s="240" t="n">
        <x:v>1</x:v>
      </x:c>
      <x:c r="J2" s="240" t="n">
        <x:v>2</x:v>
      </x:c>
      <x:c r="K2" s="240" t="n">
        <x:v>3</x:v>
      </x:c>
      <x:c r="L2" s="240" t="n">
        <x:v>4</x:v>
      </x:c>
      <x:c r="M2" s="240" t="n">
        <x:v>5</x:v>
      </x:c>
      <x:c r="N2" s="242" t="s">
        <x:v>116</x:v>
      </x:c>
      <x:c r="O2" s="240" t="n">
        <x:v>1</x:v>
      </x:c>
      <x:c r="P2" s="240" t="n">
        <x:v>2</x:v>
      </x:c>
      <x:c r="Q2" s="240" t="n">
        <x:v>3</x:v>
      </x:c>
      <x:c r="R2" s="240" t="n">
        <x:v>4</x:v>
      </x:c>
      <x:c r="S2" s="240" t="n">
        <x:v>5</x:v>
      </x:c>
      <x:c r="T2" s="242" t="s">
        <x:v>116</x:v>
      </x:c>
      <x:c r="U2" s="240" t="n">
        <x:v>1</x:v>
      </x:c>
      <x:c r="V2" s="240" t="n">
        <x:v>2</x:v>
      </x:c>
      <x:c r="W2" s="240" t="n">
        <x:v>3</x:v>
      </x:c>
      <x:c r="X2" s="240" t="n">
        <x:v>4</x:v>
      </x:c>
      <x:c r="Y2" s="240" t="n">
        <x:v>5</x:v>
      </x:c>
      <x:c r="Z2" s="242" t="str">
        <x:v>Done</x:v>
      </x:c>
      <x:c r="AA2" s="240" t="str">
        <x:v>Rounds</x:v>
      </x:c>
      <x:c r="AB2" s="379" t="str">
        <x:v>All done</x:v>
      </x:c>
      <x:c r="AC2" s="242" t="str">
        <x:v>Notes</x:v>
      </x:c>
      <x:c r="AD2" s="240" t="str">
        <x:v>Muscle-up result</x:v>
      </x:c>
      <x:c r="AE2" s="240" t="str">
        <x:v>HSPU result</x:v>
      </x:c>
      <x:c r="AF2" s="240" t="str">
        <x:v>Pistol result</x:v>
      </x:c>
      <x:c r="AG2" s="337" t="str">
        <x:v>Planned intensity</x:v>
      </x:c>
      <x:c r="AH2" s="337" t="str">
        <x:v>Effort rating</x:v>
      </x:c>
      <x:c r="AI2"/>
      <x:c r="AJ2"/>
      <x:c r="AK2"/>
      <x:c r="AL2"/>
    </x:row>
    <x:row r="3" ht="88" hidden="0" customHeight="1">
      <x:c r="A3" s="228" t="n">
        <x:f aca="0">Strategy!$E$3+0</x:f>
        <x:v>46321.5</x:v>
      </x:c>
      <x:c r="B3" s="229" t="s">
        <x:v>53</x:v>
      </x:c>
      <x:c r="C3" s="289" t="str">
        <x:f aca="0">SUBSTITUTE(SUBSTITUTE(SUBSTITUTE("35 min skills"&amp;CHAR(10)&amp;Strategy!H21,", B)",CHAR(10)&amp;"B)"),", C)",CHAR(10)&amp;"C)"),", Core:",CHAR(10)&amp;"Core:")</x:f>
        <x:v>35 min skills
A) Scapular pull-up: 3 x 5
B) High pull (chest-to-bar intent): 3 x 3
C) Box pistol: 3 x 5/leg, Cal-Intervals: 5 rounds</x:v>
      </x:c>
      <x:c r="D3" s="229" t="str">
        <x:v>Skill A + Cal-Intervals</x:v>
      </x:c>
      <x:c r="E3" s="229" t="n">
        <x:v>65</x:v>
      </x:c>
      <x:c r="F3" s="256"/>
      <x:c r="G3" s="256" t="s">
        <x:v>117</x:v>
      </x:c>
      <x:c r="H3" s="258" t="b">
        <x:f aca="0">IF($AB3,TRUE(),FALSE())</x:f>
        <x:v>0</x:v>
      </x:c>
      <x:c r="I3" s="259" t="n">
        <x:v>5</x:v>
      </x:c>
      <x:c r="J3" s="259" t="n">
        <x:v>5</x:v>
      </x:c>
      <x:c r="K3" s="259" t="n">
        <x:v>5</x:v>
      </x:c>
      <x:c r="L3" s="260"/>
      <x:c r="M3" s="260"/>
      <x:c r="N3" s="258" t="b">
        <x:f aca="0">IF($AB3,TRUE(),FALSE())</x:f>
        <x:v>0</x:v>
      </x:c>
      <x:c r="O3" s="259" t="n">
        <x:v>3</x:v>
      </x:c>
      <x:c r="P3" s="259" t="n">
        <x:v>3</x:v>
      </x:c>
      <x:c r="Q3" s="259" t="n">
        <x:v>3</x:v>
      </x:c>
      <x:c r="R3" s="260"/>
      <x:c r="S3" s="260"/>
      <x:c r="T3" s="258" t="b">
        <x:f aca="0">IF($AB3,TRUE(),FALSE())</x:f>
        <x:v>0</x:v>
      </x:c>
      <x:c r="U3" s="259" t="n">
        <x:v>5</x:v>
      </x:c>
      <x:c r="V3" s="259" t="n">
        <x:v>5</x:v>
      </x:c>
      <x:c r="W3" s="259" t="n">
        <x:v>5</x:v>
      </x:c>
      <x:c r="X3" s="260"/>
      <x:c r="Y3" s="260"/>
      <x:c r="Z3" s="258" t="b">
        <x:f>IF($AB3,TRUE(),FALSE())</x:f>
        <x:v>0</x:v>
      </x:c>
      <x:c r="AA3" s="259" t="n">
        <x:v>5</x:v>
      </x:c>
      <x:c r="AB3" s="382" t="b">
        <x:v>0</x:v>
      </x:c>
      <x:c r="AC3" s="262"/>
      <x:c r="AD3" s="287"/>
      <x:c r="AE3" s="287"/>
      <x:c r="AF3" s="287"/>
      <x:c r="AG3" s="329" t="n">
        <x:f>Scoring!P5</x:f>
        <x:v>4.5</x:v>
      </x:c>
      <x:c r="AH3" s="328"/>
      <x:c r="AI3"/>
      <x:c r="AJ3"/>
      <x:c r="AK3"/>
      <x:c r="AL3"/>
    </x:row>
    <x:row r="4" ht="88" hidden="0" customHeight="1">
      <x:c r="A4" s="223" t="n">
        <x:f aca="0">Strategy!$E$3+1</x:f>
        <x:v>46322.5</x:v>
      </x:c>
      <x:c r="B4" s="224" t="s">
        <x:v>59</x:v>
      </x:c>
      <x:c r="C4" s="224" t="s">
        <x:v>118</x:v>
      </x:c>
      <x:c r="D4" s="224" t="s">
        <x:v>119</x:v>
      </x:c>
      <x:c r="E4" s="224" t="n">
        <x:v>10</x:v>
      </x:c>
      <x:c r="F4" s="257"/>
      <x:c r="G4" s="257" t="s">
        <x:v>117</x:v>
      </x:c>
      <x:c r="H4" s="263" t="b">
        <x:f aca="0">IF($AB4,TRUE(),FALSE())</x:f>
        <x:v>0</x:v>
      </x:c>
      <x:c r="I4" s="264" t="n">
        <x:v>0.001388888888888889</x:v>
      </x:c>
      <x:c r="J4" s="265"/>
      <x:c r="K4" s="265"/>
      <x:c r="L4" s="265"/>
      <x:c r="M4" s="265"/>
      <x:c r="N4" s="263" t="b">
        <x:f aca="0">IF($AB4,TRUE(),FALSE())</x:f>
        <x:v>0</x:v>
      </x:c>
      <x:c r="O4" s="264" t="n">
        <x:v>0.00017361111111111112</x:v>
      </x:c>
      <x:c r="P4" s="264" t="n">
        <x:v>0.00017361111111111112</x:v>
      </x:c>
      <x:c r="Q4" s="264" t="n">
        <x:v>0.00017361111111111112</x:v>
      </x:c>
      <x:c r="R4" s="265"/>
      <x:c r="S4" s="265"/>
      <x:c r="T4" s="263" t="b">
        <x:f aca="0">IF($AB4,TRUE(),FALSE())</x:f>
        <x:v>0</x:v>
      </x:c>
      <x:c r="U4" s="264" t="n">
        <x:v>0.00017361111111111112</x:v>
      </x:c>
      <x:c r="V4" s="264" t="n">
        <x:v>0.00017361111111111112</x:v>
      </x:c>
      <x:c r="W4" s="265"/>
      <x:c r="X4" s="265"/>
      <x:c r="Y4" s="265"/>
      <x:c r="Z4" s="263" t="b">
        <x:f>IF($AB4,TRUE(),FALSE())</x:f>
        <x:v>0</x:v>
      </x:c>
      <x:c r="AA4" s="267"/>
      <x:c r="AB4" s="266" t="b">
        <x:v>0</x:v>
      </x:c>
      <x:c r="AC4" s="268"/>
      <x:c r="AD4" s="288"/>
      <x:c r="AE4" s="288"/>
      <x:c r="AF4" s="288"/>
      <x:c r="AG4" s="409" t="n">
        <x:f>Scoring!P9</x:f>
        <x:v>1</x:v>
      </x:c>
      <x:c r="AH4" s="330"/>
      <x:c r="AI4"/>
      <x:c r="AJ4"/>
      <x:c r="AK4"/>
      <x:c r="AL4"/>
    </x:row>
    <x:row r="5" ht="88" hidden="0" customHeight="1">
      <x:c r="A5" s="228" t="n">
        <x:f aca="0">Strategy!$E$3+3</x:f>
        <x:v>46324.5</x:v>
      </x:c>
      <x:c r="B5" s="229" t="s">
        <x:v>56</x:v>
      </x:c>
      <x:c r="C5" s="289" t="str">
        <x:f aca="0">SUBSTITUTE(SUBSTITUTE(SUBSTITUTE("35 min skills"&amp;CHAR(10)&amp;Strategy!I21,", B)",CHAR(10)&amp;"B)"),", C)",CHAR(10)&amp;"C)"),", Core:",CHAR(10)&amp;"Core:")</x:f>
        <x:v>35 min skills
A) Chest-to-wall handstand: 3 x 20 sec
B) Pike push-up: 3 x 5
C) Box pistol: 3 x 5/leg, Cal-Intervals: 5 rounds</x:v>
      </x:c>
      <x:c r="D5" s="229" t="str">
        <x:v>Skill B + Cal-Intervals</x:v>
      </x:c>
      <x:c r="E5" s="229" t="n">
        <x:v>65</x:v>
      </x:c>
      <x:c r="F5" s="256"/>
      <x:c r="G5" s="256" t="s">
        <x:v>117</x:v>
      </x:c>
      <x:c r="H5" s="258" t="b">
        <x:f aca="0">IF($AB5,TRUE(),FALSE())</x:f>
        <x:v>0</x:v>
      </x:c>
      <x:c r="I5" s="269" t="n">
        <x:v>0.0002314814814814815</x:v>
      </x:c>
      <x:c r="J5" s="269" t="n">
        <x:v>0.0002314814814814815</x:v>
      </x:c>
      <x:c r="K5" s="269" t="n">
        <x:v>0.0002314814814814815</x:v>
      </x:c>
      <x:c r="L5" s="260"/>
      <x:c r="M5" s="260"/>
      <x:c r="N5" s="258" t="b">
        <x:f aca="0">IF($AB5,TRUE(),FALSE())</x:f>
        <x:v>0</x:v>
      </x:c>
      <x:c r="O5" s="259" t="n">
        <x:v>5</x:v>
      </x:c>
      <x:c r="P5" s="259" t="n">
        <x:v>5</x:v>
      </x:c>
      <x:c r="Q5" s="259" t="n">
        <x:v>5</x:v>
      </x:c>
      <x:c r="R5" s="260"/>
      <x:c r="S5" s="260"/>
      <x:c r="T5" s="258" t="b">
        <x:f aca="0">IF($AB5,TRUE(),FALSE())</x:f>
        <x:v>0</x:v>
      </x:c>
      <x:c r="U5" s="259" t="n">
        <x:v>5</x:v>
      </x:c>
      <x:c r="V5" s="259" t="n">
        <x:v>5</x:v>
      </x:c>
      <x:c r="W5" s="259" t="n">
        <x:v>5</x:v>
      </x:c>
      <x:c r="X5" s="260"/>
      <x:c r="Y5" s="260"/>
      <x:c r="Z5" s="258" t="b">
        <x:f>IF($AB5,TRUE(),FALSE())</x:f>
        <x:v>0</x:v>
      </x:c>
      <x:c r="AA5" s="259" t="n">
        <x:v>5</x:v>
      </x:c>
      <x:c r="AB5" s="382" t="b">
        <x:v>0</x:v>
      </x:c>
      <x:c r="AC5" s="262"/>
      <x:c r="AD5" s="287"/>
      <x:c r="AE5" s="287"/>
      <x:c r="AF5" s="287"/>
      <x:c r="AG5" s="329" t="n">
        <x:f>Scoring!P12</x:f>
        <x:v>4.5</x:v>
      </x:c>
      <x:c r="AH5" s="328"/>
      <x:c r="AI5"/>
      <x:c r="AJ5"/>
      <x:c r="AK5"/>
      <x:c r="AL5"/>
    </x:row>
    <x:row r="6" ht="88" hidden="0" customHeight="1">
      <x:c r="A6" s="223" t="n">
        <x:f aca="0">Strategy!$E$3+5</x:f>
        <x:v>46326.5</x:v>
      </x:c>
      <x:c r="B6" s="224" t="s">
        <x:v>59</x:v>
      </x:c>
      <x:c r="C6" s="224" t="s">
        <x:v>120</x:v>
      </x:c>
      <x:c r="D6" s="224" t="s">
        <x:v>121</x:v>
      </x:c>
      <x:c r="E6" s="224" t="n">
        <x:v>20</x:v>
      </x:c>
      <x:c r="F6" s="257"/>
      <x:c r="G6" s="257" t="s">
        <x:v>117</x:v>
      </x:c>
      <x:c r="H6" s="263" t="b">
        <x:f aca="0">IF($AB6,TRUE(),FALSE())</x:f>
        <x:v>0</x:v>
      </x:c>
      <x:c r="I6" s="264" t="n">
        <x:v>0.001388888888888889</x:v>
      </x:c>
      <x:c r="J6" s="265"/>
      <x:c r="K6" s="265"/>
      <x:c r="L6" s="265"/>
      <x:c r="M6" s="265"/>
      <x:c r="N6" s="263" t="b">
        <x:f aca="0">IF($AB6,TRUE(),FALSE())</x:f>
        <x:v>0</x:v>
      </x:c>
      <x:c r="O6" s="264" t="n">
        <x:v>0.00017361111111111112</x:v>
      </x:c>
      <x:c r="P6" s="264" t="n">
        <x:v>0.00017361111111111112</x:v>
      </x:c>
      <x:c r="Q6" s="264" t="n">
        <x:v>0.00017361111111111112</x:v>
      </x:c>
      <x:c r="R6" s="265"/>
      <x:c r="S6" s="265"/>
      <x:c r="T6" s="263" t="b">
        <x:f aca="0">IF($AB6,TRUE(),FALSE())</x:f>
        <x:v>0</x:v>
      </x:c>
      <x:c r="U6" s="264" t="n">
        <x:v>0.00017361111111111112</x:v>
      </x:c>
      <x:c r="V6" s="264" t="n">
        <x:v>0.00017361111111111112</x:v>
      </x:c>
      <x:c r="W6" s="264" t="n">
        <x:v>0.00017361111111111112</x:v>
      </x:c>
      <x:c r="X6" s="265"/>
      <x:c r="Y6" s="265"/>
      <x:c r="Z6" s="263" t="b">
        <x:f>IF($AB6,TRUE(),FALSE())</x:f>
        <x:v>0</x:v>
      </x:c>
      <x:c r="AA6" s="267"/>
      <x:c r="AB6" s="266" t="b">
        <x:v>0</x:v>
      </x:c>
      <x:c r="AC6" s="268"/>
      <x:c r="AD6" s="288"/>
      <x:c r="AE6" s="288"/>
      <x:c r="AF6" s="288"/>
      <x:c r="AG6" s="409" t="n">
        <x:f>Scoring!P16</x:f>
        <x:v>1</x:v>
      </x:c>
      <x:c r="AH6" s="330"/>
      <x:c r="AI6"/>
      <x:c r="AJ6"/>
      <x:c r="AK6"/>
      <x:c r="AL6"/>
    </x:row>
    <x:row r="7" ht="88" hidden="0" customHeight="1">
      <x:c r="A7" s="228" t="n">
        <x:f aca="0">Strategy!$E$3+7</x:f>
        <x:v>46328.5</x:v>
      </x:c>
      <x:c r="B7" s="229" t="s">
        <x:v>53</x:v>
      </x:c>
      <x:c r="C7" s="289" t="str">
        <x:f aca="0">SUBSTITUTE(SUBSTITUTE(SUBSTITUTE("35 min skills"&amp;CHAR(10)&amp;Strategy!H22,", B)",CHAR(10)&amp;"B)"),", C)",CHAR(10)&amp;"C)"),", Core:",CHAR(10)&amp;"Core:")</x:f>
        <x:v>35 min skills
A) Band transition drill: 3 x 3
B) High pull: 3 x 3
C) Lower-box pistol with counterweight: 3 x 4/leg, Cal-Intervals: 5 rounds</x:v>
      </x:c>
      <x:c r="D7" s="229" t="str">
        <x:v>Skill A + Cal-Intervals</x:v>
      </x:c>
      <x:c r="E7" s="229" t="n">
        <x:v>65</x:v>
      </x:c>
      <x:c r="F7" s="256"/>
      <x:c r="G7" s="256" t="s">
        <x:v>117</x:v>
      </x:c>
      <x:c r="H7" s="258" t="b">
        <x:f aca="0">IF($AB7,TRUE(),FALSE())</x:f>
        <x:v>0</x:v>
      </x:c>
      <x:c r="I7" s="259" t="n">
        <x:v>3</x:v>
      </x:c>
      <x:c r="J7" s="259" t="n">
        <x:v>3</x:v>
      </x:c>
      <x:c r="K7" s="259" t="n">
        <x:v>3</x:v>
      </x:c>
      <x:c r="L7" s="260"/>
      <x:c r="M7" s="260"/>
      <x:c r="N7" s="258" t="b">
        <x:f aca="0">IF($AB7,TRUE(),FALSE())</x:f>
        <x:v>0</x:v>
      </x:c>
      <x:c r="O7" s="259" t="n">
        <x:v>3</x:v>
      </x:c>
      <x:c r="P7" s="259" t="n">
        <x:v>3</x:v>
      </x:c>
      <x:c r="Q7" s="259" t="n">
        <x:v>3</x:v>
      </x:c>
      <x:c r="R7" s="260"/>
      <x:c r="S7" s="260"/>
      <x:c r="T7" s="258" t="b">
        <x:f aca="0">IF($AB7,TRUE(),FALSE())</x:f>
        <x:v>0</x:v>
      </x:c>
      <x:c r="U7" s="259" t="n">
        <x:v>4</x:v>
      </x:c>
      <x:c r="V7" s="259" t="n">
        <x:v>4</x:v>
      </x:c>
      <x:c r="W7" s="259" t="n">
        <x:v>4</x:v>
      </x:c>
      <x:c r="X7" s="260"/>
      <x:c r="Y7" s="260"/>
      <x:c r="Z7" s="258" t="b">
        <x:f>IF($AB7,TRUE(),FALSE())</x:f>
        <x:v>0</x:v>
      </x:c>
      <x:c r="AA7" s="259" t="n">
        <x:v>5</x:v>
      </x:c>
      <x:c r="AB7" s="382" t="b">
        <x:v>0</x:v>
      </x:c>
      <x:c r="AC7" s="262"/>
      <x:c r="AD7" s="287"/>
      <x:c r="AE7" s="287"/>
      <x:c r="AF7" s="287"/>
      <x:c r="AG7" s="329" t="n">
        <x:f>Scoring!P19</x:f>
        <x:v>4.6</x:v>
      </x:c>
      <x:c r="AH7" s="328"/>
      <x:c r="AI7"/>
      <x:c r="AJ7"/>
      <x:c r="AK7"/>
      <x:c r="AL7"/>
    </x:row>
    <x:row r="8" ht="88" hidden="0" customHeight="1">
      <x:c r="A8" s="223" t="n">
        <x:f aca="0">Strategy!$E$3+8</x:f>
        <x:v>46329.5</x:v>
      </x:c>
      <x:c r="B8" s="224" t="s">
        <x:v>59</x:v>
      </x:c>
      <x:c r="C8" s="224" t="s">
        <x:v>118</x:v>
      </x:c>
      <x:c r="D8" s="224" t="s">
        <x:v>119</x:v>
      </x:c>
      <x:c r="E8" s="224" t="n">
        <x:v>10</x:v>
      </x:c>
      <x:c r="F8" s="257"/>
      <x:c r="G8" s="257" t="s">
        <x:v>117</x:v>
      </x:c>
      <x:c r="H8" s="263" t="b">
        <x:f aca="0">IF($AB8,TRUE(),FALSE())</x:f>
        <x:v>0</x:v>
      </x:c>
      <x:c r="I8" s="264" t="n">
        <x:v>0.001388888888888889</x:v>
      </x:c>
      <x:c r="J8" s="265"/>
      <x:c r="K8" s="265"/>
      <x:c r="L8" s="265"/>
      <x:c r="M8" s="265"/>
      <x:c r="N8" s="263" t="b">
        <x:f aca="0">IF($AB8,TRUE(),FALSE())</x:f>
        <x:v>0</x:v>
      </x:c>
      <x:c r="O8" s="264" t="n">
        <x:v>0.00017361111111111112</x:v>
      </x:c>
      <x:c r="P8" s="264" t="n">
        <x:v>0.00017361111111111112</x:v>
      </x:c>
      <x:c r="Q8" s="264" t="n">
        <x:v>0.00017361111111111112</x:v>
      </x:c>
      <x:c r="R8" s="265"/>
      <x:c r="S8" s="265"/>
      <x:c r="T8" s="263" t="b">
        <x:f aca="0">IF($AB8,TRUE(),FALSE())</x:f>
        <x:v>0</x:v>
      </x:c>
      <x:c r="U8" s="264" t="n">
        <x:v>0.00017361111111111112</x:v>
      </x:c>
      <x:c r="V8" s="264" t="n">
        <x:v>0.00017361111111111112</x:v>
      </x:c>
      <x:c r="W8" s="265"/>
      <x:c r="X8" s="265"/>
      <x:c r="Y8" s="265"/>
      <x:c r="Z8" s="263" t="b">
        <x:f>IF($AB8,TRUE(),FALSE())</x:f>
        <x:v>0</x:v>
      </x:c>
      <x:c r="AA8" s="267"/>
      <x:c r="AB8" s="266" t="b">
        <x:v>0</x:v>
      </x:c>
      <x:c r="AC8" s="268"/>
      <x:c r="AD8" s="288"/>
      <x:c r="AE8" s="288"/>
      <x:c r="AF8" s="288"/>
      <x:c r="AG8" s="409" t="n">
        <x:f>Scoring!P23</x:f>
        <x:v>1</x:v>
      </x:c>
      <x:c r="AH8" s="330"/>
      <x:c r="AI8"/>
      <x:c r="AJ8"/>
      <x:c r="AK8"/>
      <x:c r="AL8"/>
    </x:row>
    <x:row r="9" ht="88" hidden="0" customHeight="1">
      <x:c r="A9" s="228" t="n">
        <x:f aca="0">Strategy!$E$3+10</x:f>
        <x:v>46331.5</x:v>
      </x:c>
      <x:c r="B9" s="229" t="s">
        <x:v>56</x:v>
      </x:c>
      <x:c r="C9" s="289" t="str">
        <x:f aca="0">SUBSTITUTE(SUBSTITUTE(SUBSTITUTE("35 min skills"&amp;CHAR(10)&amp;Strategy!I22,", B)",CHAR(10)&amp;"B)"),", C)",CHAR(10)&amp;"C)"),", Core:",CHAR(10)&amp;"Core:")</x:f>
        <x:v>35 min skills
A) Wall handstand: 3 x 25 sec
B) Elevated pike push-up: 3 x 4
C) Lower-box pistol with counterweight: 3 x 4/leg, Cal-Intervals: 5 rounds</x:v>
      </x:c>
      <x:c r="D9" s="229" t="str">
        <x:v>Skill B + Cal-Intervals</x:v>
      </x:c>
      <x:c r="E9" s="229" t="n">
        <x:v>65</x:v>
      </x:c>
      <x:c r="F9" s="256"/>
      <x:c r="G9" s="256" t="s">
        <x:v>117</x:v>
      </x:c>
      <x:c r="H9" s="258" t="b">
        <x:f aca="0">IF($AB9,TRUE(),FALSE())</x:f>
        <x:v>0</x:v>
      </x:c>
      <x:c r="I9" s="269" t="n">
        <x:v>0.00028935185185185184</x:v>
      </x:c>
      <x:c r="J9" s="269" t="n">
        <x:v>0.00028935185185185184</x:v>
      </x:c>
      <x:c r="K9" s="269" t="n">
        <x:v>0.00028935185185185184</x:v>
      </x:c>
      <x:c r="L9" s="260"/>
      <x:c r="M9" s="260"/>
      <x:c r="N9" s="258" t="b">
        <x:f aca="0">IF($AB9,TRUE(),FALSE())</x:f>
        <x:v>0</x:v>
      </x:c>
      <x:c r="O9" s="259" t="n">
        <x:v>4</x:v>
      </x:c>
      <x:c r="P9" s="259" t="n">
        <x:v>4</x:v>
      </x:c>
      <x:c r="Q9" s="259" t="n">
        <x:v>4</x:v>
      </x:c>
      <x:c r="R9" s="260"/>
      <x:c r="S9" s="260"/>
      <x:c r="T9" s="258" t="b">
        <x:f aca="0">IF($AB9,TRUE(),FALSE())</x:f>
        <x:v>0</x:v>
      </x:c>
      <x:c r="U9" s="259" t="n">
        <x:v>4</x:v>
      </x:c>
      <x:c r="V9" s="259" t="n">
        <x:v>4</x:v>
      </x:c>
      <x:c r="W9" s="259" t="n">
        <x:v>4</x:v>
      </x:c>
      <x:c r="X9" s="260"/>
      <x:c r="Y9" s="260"/>
      <x:c r="Z9" s="258" t="b">
        <x:f>IF($AB9,TRUE(),FALSE())</x:f>
        <x:v>0</x:v>
      </x:c>
      <x:c r="AA9" s="259" t="n">
        <x:v>5</x:v>
      </x:c>
      <x:c r="AB9" s="382" t="b">
        <x:v>0</x:v>
      </x:c>
      <x:c r="AC9" s="262"/>
      <x:c r="AD9" s="287"/>
      <x:c r="AE9" s="287"/>
      <x:c r="AF9" s="287"/>
      <x:c r="AG9" s="329" t="n">
        <x:f>Scoring!P26</x:f>
        <x:v>4.6</x:v>
      </x:c>
      <x:c r="AH9" s="328"/>
      <x:c r="AI9"/>
      <x:c r="AJ9"/>
      <x:c r="AK9"/>
      <x:c r="AL9"/>
    </x:row>
    <x:row r="10" ht="88" hidden="0" customHeight="1">
      <x:c r="A10" s="223" t="n">
        <x:f aca="0">Strategy!$E$3+12</x:f>
        <x:v>46333.5</x:v>
      </x:c>
      <x:c r="B10" s="224" t="s">
        <x:v>59</x:v>
      </x:c>
      <x:c r="C10" s="224" t="s">
        <x:v>120</x:v>
      </x:c>
      <x:c r="D10" s="224" t="s">
        <x:v>121</x:v>
      </x:c>
      <x:c r="E10" s="224" t="n">
        <x:v>20</x:v>
      </x:c>
      <x:c r="F10" s="257"/>
      <x:c r="G10" s="257" t="s">
        <x:v>117</x:v>
      </x:c>
      <x:c r="H10" s="263" t="b">
        <x:f aca="0">IF($AB10,TRUE(),FALSE())</x:f>
        <x:v>0</x:v>
      </x:c>
      <x:c r="I10" s="264" t="n">
        <x:v>0.001388888888888889</x:v>
      </x:c>
      <x:c r="J10" s="265"/>
      <x:c r="K10" s="265"/>
      <x:c r="L10" s="265"/>
      <x:c r="M10" s="265"/>
      <x:c r="N10" s="263" t="b">
        <x:f aca="0">IF($AB10,TRUE(),FALSE())</x:f>
        <x:v>0</x:v>
      </x:c>
      <x:c r="O10" s="264" t="n">
        <x:v>0.00017361111111111112</x:v>
      </x:c>
      <x:c r="P10" s="264" t="n">
        <x:v>0.00017361111111111112</x:v>
      </x:c>
      <x:c r="Q10" s="264" t="n">
        <x:v>0.00017361111111111112</x:v>
      </x:c>
      <x:c r="R10" s="265"/>
      <x:c r="S10" s="265"/>
      <x:c r="T10" s="263" t="b">
        <x:f aca="0">IF($AB10,TRUE(),FALSE())</x:f>
        <x:v>0</x:v>
      </x:c>
      <x:c r="U10" s="264" t="n">
        <x:v>0.00017361111111111112</x:v>
      </x:c>
      <x:c r="V10" s="264" t="n">
        <x:v>0.00017361111111111112</x:v>
      </x:c>
      <x:c r="W10" s="264" t="n">
        <x:v>0.00017361111111111112</x:v>
      </x:c>
      <x:c r="X10" s="265"/>
      <x:c r="Y10" s="265"/>
      <x:c r="Z10" s="263" t="b">
        <x:f>IF($AB10,TRUE(),FALSE())</x:f>
        <x:v>0</x:v>
      </x:c>
      <x:c r="AA10" s="267"/>
      <x:c r="AB10" s="266" t="b">
        <x:v>0</x:v>
      </x:c>
      <x:c r="AC10" s="268"/>
      <x:c r="AD10" s="288"/>
      <x:c r="AE10" s="288"/>
      <x:c r="AF10" s="288"/>
      <x:c r="AG10" s="409" t="n">
        <x:f>Scoring!P30</x:f>
        <x:v>1</x:v>
      </x:c>
      <x:c r="AH10" s="330"/>
      <x:c r="AI10"/>
      <x:c r="AJ10"/>
      <x:c r="AK10"/>
      <x:c r="AL10"/>
    </x:row>
    <x:row r="11" ht="88" hidden="0" customHeight="1">
      <x:c r="A11" s="228" t="n">
        <x:f aca="0">Strategy!$E$3+14</x:f>
        <x:v>46335.5</x:v>
      </x:c>
      <x:c r="B11" s="229" t="s">
        <x:v>53</x:v>
      </x:c>
      <x:c r="C11" s="289" t="str">
        <x:f aca="0">SUBSTITUTE(SUBSTITUTE(SUBSTITUTE("35 min skills"&amp;CHAR(10)&amp;Strategy!H23,", B)",CHAR(10)&amp;"B)"),", C)",CHAR(10)&amp;"C)"),", Core:",CHAR(10)&amp;"Core:")</x:f>
        <x:v>35 min skills
A) Explosive pull-up: 4 x 2
B) Low-bar transition: 3 x 3
C) Assisted full-depth pistol: 3 x 4/leg, Cal-Intervals: 5 rounds</x:v>
      </x:c>
      <x:c r="D11" s="229" t="str">
        <x:v>Skill A + Cal-Intervals</x:v>
      </x:c>
      <x:c r="E11" s="229" t="n">
        <x:v>65</x:v>
      </x:c>
      <x:c r="F11" s="256"/>
      <x:c r="G11" s="256" t="s">
        <x:v>117</x:v>
      </x:c>
      <x:c r="H11" s="258" t="b">
        <x:f aca="0">IF($AB11,TRUE(),FALSE())</x:f>
        <x:v>0</x:v>
      </x:c>
      <x:c r="I11" s="259" t="n">
        <x:v>2</x:v>
      </x:c>
      <x:c r="J11" s="259" t="n">
        <x:v>2</x:v>
      </x:c>
      <x:c r="K11" s="259" t="n">
        <x:v>2</x:v>
      </x:c>
      <x:c r="L11" s="259" t="n">
        <x:v>2</x:v>
      </x:c>
      <x:c r="M11" s="260"/>
      <x:c r="N11" s="258" t="b">
        <x:f aca="0">IF($AB11,TRUE(),FALSE())</x:f>
        <x:v>0</x:v>
      </x:c>
      <x:c r="O11" s="259" t="n">
        <x:v>3</x:v>
      </x:c>
      <x:c r="P11" s="259" t="n">
        <x:v>3</x:v>
      </x:c>
      <x:c r="Q11" s="259" t="n">
        <x:v>3</x:v>
      </x:c>
      <x:c r="R11" s="260"/>
      <x:c r="S11" s="260"/>
      <x:c r="T11" s="258" t="b">
        <x:f aca="0">IF($AB11,TRUE(),FALSE())</x:f>
        <x:v>0</x:v>
      </x:c>
      <x:c r="U11" s="259" t="n">
        <x:v>4</x:v>
      </x:c>
      <x:c r="V11" s="259" t="n">
        <x:v>4</x:v>
      </x:c>
      <x:c r="W11" s="259" t="n">
        <x:v>4</x:v>
      </x:c>
      <x:c r="X11" s="260"/>
      <x:c r="Y11" s="260"/>
      <x:c r="Z11" s="258" t="b">
        <x:f>IF($AB11,TRUE(),FALSE())</x:f>
        <x:v>0</x:v>
      </x:c>
      <x:c r="AA11" s="259" t="n">
        <x:v>5</x:v>
      </x:c>
      <x:c r="AB11" s="382" t="b">
        <x:v>0</x:v>
      </x:c>
      <x:c r="AC11" s="262"/>
      <x:c r="AD11" s="287"/>
      <x:c r="AE11" s="287"/>
      <x:c r="AF11" s="287"/>
      <x:c r="AG11" s="329" t="n">
        <x:f>Scoring!P33</x:f>
        <x:v>4.8</x:v>
      </x:c>
      <x:c r="AH11" s="328"/>
      <x:c r="AI11"/>
      <x:c r="AJ11"/>
      <x:c r="AK11"/>
      <x:c r="AL11"/>
    </x:row>
    <x:row r="12" ht="88" hidden="0" customHeight="1">
      <x:c r="A12" s="223" t="n">
        <x:f aca="0">Strategy!$E$3+15</x:f>
        <x:v>46336.5</x:v>
      </x:c>
      <x:c r="B12" s="224" t="s">
        <x:v>59</x:v>
      </x:c>
      <x:c r="C12" s="224" t="s">
        <x:v>118</x:v>
      </x:c>
      <x:c r="D12" s="224" t="s">
        <x:v>119</x:v>
      </x:c>
      <x:c r="E12" s="224" t="n">
        <x:v>10</x:v>
      </x:c>
      <x:c r="F12" s="257"/>
      <x:c r="G12" s="257" t="s">
        <x:v>117</x:v>
      </x:c>
      <x:c r="H12" s="263" t="b">
        <x:f aca="0">IF($AB12,TRUE(),FALSE())</x:f>
        <x:v>0</x:v>
      </x:c>
      <x:c r="I12" s="264" t="n">
        <x:v>0.001388888888888889</x:v>
      </x:c>
      <x:c r="J12" s="265"/>
      <x:c r="K12" s="265"/>
      <x:c r="L12" s="265"/>
      <x:c r="M12" s="265"/>
      <x:c r="N12" s="263" t="b">
        <x:f aca="0">IF($AB12,TRUE(),FALSE())</x:f>
        <x:v>0</x:v>
      </x:c>
      <x:c r="O12" s="264" t="n">
        <x:v>0.00017361111111111112</x:v>
      </x:c>
      <x:c r="P12" s="264" t="n">
        <x:v>0.00017361111111111112</x:v>
      </x:c>
      <x:c r="Q12" s="264" t="n">
        <x:v>0.00017361111111111112</x:v>
      </x:c>
      <x:c r="R12" s="265"/>
      <x:c r="S12" s="265"/>
      <x:c r="T12" s="263" t="b">
        <x:f aca="0">IF($AB12,TRUE(),FALSE())</x:f>
        <x:v>0</x:v>
      </x:c>
      <x:c r="U12" s="264" t="n">
        <x:v>0.00017361111111111112</x:v>
      </x:c>
      <x:c r="V12" s="264" t="n">
        <x:v>0.00017361111111111112</x:v>
      </x:c>
      <x:c r="W12" s="265"/>
      <x:c r="X12" s="265"/>
      <x:c r="Y12" s="265"/>
      <x:c r="Z12" s="263" t="b">
        <x:f>IF($AB12,TRUE(),FALSE())</x:f>
        <x:v>0</x:v>
      </x:c>
      <x:c r="AA12" s="267"/>
      <x:c r="AB12" s="266" t="b">
        <x:v>0</x:v>
      </x:c>
      <x:c r="AC12" s="268"/>
      <x:c r="AD12" s="288"/>
      <x:c r="AE12" s="288"/>
      <x:c r="AF12" s="288"/>
      <x:c r="AG12" s="409" t="n">
        <x:f>Scoring!P37</x:f>
        <x:v>1</x:v>
      </x:c>
      <x:c r="AH12" s="330"/>
      <x:c r="AI12"/>
      <x:c r="AJ12"/>
      <x:c r="AK12"/>
      <x:c r="AL12"/>
    </x:row>
    <x:row r="13" ht="88" hidden="0" customHeight="1">
      <x:c r="A13" s="228" t="n">
        <x:f aca="0">Strategy!$E$3+17</x:f>
        <x:v>46338.5</x:v>
      </x:c>
      <x:c r="B13" s="229" t="s">
        <x:v>56</x:v>
      </x:c>
      <x:c r="C13" s="289" t="str">
        <x:f aca="0">SUBSTITUTE(SUBSTITUTE(SUBSTITUTE("35 min skills"&amp;CHAR(10)&amp;Strategy!I23,", B)",CHAR(10)&amp;"B)"),", C)",CHAR(10)&amp;"C)"),", Core:",CHAR(10)&amp;"Core:")</x:f>
        <x:v>35 min skills
A) Wall HSPU negative: 3 x 2 (lower 3 sec)
B) Pike push-up: 3 x 5
C) Assisted full-depth pistol: 3 x 4/leg, Cal-Intervals: 5 rounds</x:v>
      </x:c>
      <x:c r="D13" s="229" t="str">
        <x:v>Skill B + Cal-Intervals</x:v>
      </x:c>
      <x:c r="E13" s="229" t="n">
        <x:v>65</x:v>
      </x:c>
      <x:c r="F13" s="256"/>
      <x:c r="G13" s="256" t="s">
        <x:v>117</x:v>
      </x:c>
      <x:c r="H13" s="258" t="b">
        <x:f aca="0">IF($AB13,TRUE(),FALSE())</x:f>
        <x:v>0</x:v>
      </x:c>
      <x:c r="I13" s="259" t="n">
        <x:v>2</x:v>
      </x:c>
      <x:c r="J13" s="259" t="n">
        <x:v>2</x:v>
      </x:c>
      <x:c r="K13" s="259" t="n">
        <x:v>2</x:v>
      </x:c>
      <x:c r="L13" s="260"/>
      <x:c r="M13" s="260"/>
      <x:c r="N13" s="258" t="b">
        <x:f aca="0">IF($AB13,TRUE(),FALSE())</x:f>
        <x:v>0</x:v>
      </x:c>
      <x:c r="O13" s="259" t="n">
        <x:v>5</x:v>
      </x:c>
      <x:c r="P13" s="259" t="n">
        <x:v>5</x:v>
      </x:c>
      <x:c r="Q13" s="259" t="n">
        <x:v>5</x:v>
      </x:c>
      <x:c r="R13" s="260"/>
      <x:c r="S13" s="260"/>
      <x:c r="T13" s="258" t="b">
        <x:f aca="0">IF($AB13,TRUE(),FALSE())</x:f>
        <x:v>0</x:v>
      </x:c>
      <x:c r="U13" s="259" t="n">
        <x:v>4</x:v>
      </x:c>
      <x:c r="V13" s="259" t="n">
        <x:v>4</x:v>
      </x:c>
      <x:c r="W13" s="259" t="n">
        <x:v>4</x:v>
      </x:c>
      <x:c r="X13" s="260"/>
      <x:c r="Y13" s="260"/>
      <x:c r="Z13" s="258" t="b">
        <x:f>IF($AB13,TRUE(),FALSE())</x:f>
        <x:v>0</x:v>
      </x:c>
      <x:c r="AA13" s="259" t="n">
        <x:v>5</x:v>
      </x:c>
      <x:c r="AB13" s="382" t="b">
        <x:v>0</x:v>
      </x:c>
      <x:c r="AC13" s="262"/>
      <x:c r="AD13" s="287"/>
      <x:c r="AE13" s="287"/>
      <x:c r="AF13" s="287"/>
      <x:c r="AG13" s="329" t="n">
        <x:f>Scoring!P40</x:f>
        <x:v>4.9</x:v>
      </x:c>
      <x:c r="AH13" s="328"/>
      <x:c r="AI13"/>
      <x:c r="AJ13"/>
      <x:c r="AK13"/>
      <x:c r="AL13"/>
    </x:row>
    <x:row r="14" ht="88" hidden="0" customHeight="1">
      <x:c r="A14" s="223" t="n">
        <x:f aca="0">Strategy!$E$3+19</x:f>
        <x:v>46340.5</x:v>
      </x:c>
      <x:c r="B14" s="224" t="s">
        <x:v>59</x:v>
      </x:c>
      <x:c r="C14" s="224" t="s">
        <x:v>120</x:v>
      </x:c>
      <x:c r="D14" s="224" t="s">
        <x:v>121</x:v>
      </x:c>
      <x:c r="E14" s="224" t="n">
        <x:v>20</x:v>
      </x:c>
      <x:c r="F14" s="257"/>
      <x:c r="G14" s="257" t="s">
        <x:v>117</x:v>
      </x:c>
      <x:c r="H14" s="263" t="b">
        <x:f aca="0">IF($AB14,TRUE(),FALSE())</x:f>
        <x:v>0</x:v>
      </x:c>
      <x:c r="I14" s="264" t="n">
        <x:v>0.001388888888888889</x:v>
      </x:c>
      <x:c r="J14" s="265"/>
      <x:c r="K14" s="265"/>
      <x:c r="L14" s="265"/>
      <x:c r="M14" s="265"/>
      <x:c r="N14" s="263" t="b">
        <x:f aca="0">IF($AB14,TRUE(),FALSE())</x:f>
        <x:v>0</x:v>
      </x:c>
      <x:c r="O14" s="264" t="n">
        <x:v>0.00017361111111111112</x:v>
      </x:c>
      <x:c r="P14" s="264" t="n">
        <x:v>0.00017361111111111112</x:v>
      </x:c>
      <x:c r="Q14" s="264" t="n">
        <x:v>0.00017361111111111112</x:v>
      </x:c>
      <x:c r="R14" s="265"/>
      <x:c r="S14" s="265"/>
      <x:c r="T14" s="263" t="b">
        <x:f aca="0">IF($AB14,TRUE(),FALSE())</x:f>
        <x:v>0</x:v>
      </x:c>
      <x:c r="U14" s="264" t="n">
        <x:v>0.00017361111111111112</x:v>
      </x:c>
      <x:c r="V14" s="264" t="n">
        <x:v>0.00017361111111111112</x:v>
      </x:c>
      <x:c r="W14" s="264" t="n">
        <x:v>0.00017361111111111112</x:v>
      </x:c>
      <x:c r="X14" s="265"/>
      <x:c r="Y14" s="265"/>
      <x:c r="Z14" s="263" t="b">
        <x:f>IF($AB14,TRUE(),FALSE())</x:f>
        <x:v>0</x:v>
      </x:c>
      <x:c r="AA14" s="267"/>
      <x:c r="AB14" s="266" t="b">
        <x:v>0</x:v>
      </x:c>
      <x:c r="AC14" s="268"/>
      <x:c r="AD14" s="288"/>
      <x:c r="AE14" s="288"/>
      <x:c r="AF14" s="288"/>
      <x:c r="AG14" s="409" t="n">
        <x:f>Scoring!P44</x:f>
        <x:v>1</x:v>
      </x:c>
      <x:c r="AH14" s="330"/>
      <x:c r="AI14"/>
      <x:c r="AJ14"/>
      <x:c r="AK14"/>
      <x:c r="AL14"/>
    </x:row>
    <x:row r="15" ht="88" hidden="0" customHeight="1">
      <x:c r="A15" s="228" t="n">
        <x:f aca="0">Strategy!$E$3+21</x:f>
        <x:v>46342.5</x:v>
      </x:c>
      <x:c r="B15" s="229" t="s">
        <x:v>53</x:v>
      </x:c>
      <x:c r="C15" s="289" t="str">
        <x:f aca="0">SUBSTITUTE(SUBSTITUTE(SUBSTITUTE("10 min skills"&amp;CHAR(10)&amp;Strategy!H24,", B)",CHAR(10)&amp;"B)"),", C)",CHAR(10)&amp;"C)"),", Core:",CHAR(10)&amp;"Core:")</x:f>
        <x:v>10 min skills
A) Easy scapular pull-up: 1 x 5
B) Easy low-bar transition: 1 x 3
C) Assisted pistol: 1 x 3/leg, Cal-Intervals: 3 rounds</x:v>
      </x:c>
      <x:c r="D15" s="229" t="str">
        <x:v>Skill A + Cal-Intervals</x:v>
      </x:c>
      <x:c r="E15" s="229" t="n">
        <x:v>33</x:v>
      </x:c>
      <x:c r="F15" s="256"/>
      <x:c r="G15" s="256" t="s">
        <x:v>117</x:v>
      </x:c>
      <x:c r="H15" s="258" t="b">
        <x:f aca="0">IF($AB15,TRUE(),FALSE())</x:f>
        <x:v>0</x:v>
      </x:c>
      <x:c r="I15" s="259" t="n">
        <x:v>5</x:v>
      </x:c>
      <x:c r="J15" s="260"/>
      <x:c r="K15" s="260"/>
      <x:c r="L15" s="260"/>
      <x:c r="M15" s="260"/>
      <x:c r="N15" s="258" t="b">
        <x:f aca="0">IF($AB15,TRUE(),FALSE())</x:f>
        <x:v>0</x:v>
      </x:c>
      <x:c r="O15" s="259" t="n">
        <x:v>3</x:v>
      </x:c>
      <x:c r="P15" s="260"/>
      <x:c r="Q15" s="260"/>
      <x:c r="R15" s="260"/>
      <x:c r="S15" s="260"/>
      <x:c r="T15" s="258" t="b">
        <x:f aca="0">IF($AB15,TRUE(),FALSE())</x:f>
        <x:v>0</x:v>
      </x:c>
      <x:c r="U15" s="259" t="n">
        <x:v>3</x:v>
      </x:c>
      <x:c r="V15" s="260"/>
      <x:c r="W15" s="260"/>
      <x:c r="X15" s="260"/>
      <x:c r="Y15" s="260"/>
      <x:c r="Z15" s="258" t="b">
        <x:f>IF($AB15,TRUE(),FALSE())</x:f>
        <x:v>0</x:v>
      </x:c>
      <x:c r="AA15" s="259" t="n">
        <x:v>3</x:v>
      </x:c>
      <x:c r="AB15" s="382" t="b">
        <x:v>0</x:v>
      </x:c>
      <x:c r="AC15" s="262"/>
      <x:c r="AD15" s="287"/>
      <x:c r="AE15" s="287"/>
      <x:c r="AF15" s="287"/>
      <x:c r="AG15" s="329" t="n">
        <x:f>Scoring!P47</x:f>
        <x:v>4.6</x:v>
      </x:c>
      <x:c r="AH15" s="328"/>
      <x:c r="AI15"/>
      <x:c r="AJ15"/>
      <x:c r="AK15"/>
      <x:c r="AL15"/>
    </x:row>
    <x:row r="16" ht="88" hidden="0" customHeight="1">
      <x:c r="A16" s="223" t="n">
        <x:f aca="0">Strategy!$E$3+22</x:f>
        <x:v>46343.5</x:v>
      </x:c>
      <x:c r="B16" s="224" t="s">
        <x:v>59</x:v>
      </x:c>
      <x:c r="C16" s="224" t="s">
        <x:v>122</x:v>
      </x:c>
      <x:c r="D16" s="224" t="s">
        <x:v>119</x:v>
      </x:c>
      <x:c r="E16" s="224" t="n">
        <x:v>5</x:v>
      </x:c>
      <x:c r="F16" s="257"/>
      <x:c r="G16" s="257" t="s">
        <x:v>117</x:v>
      </x:c>
      <x:c r="H16" s="263" t="b">
        <x:f aca="0">IF($AB16,TRUE(),FALSE())</x:f>
        <x:v>0</x:v>
      </x:c>
      <x:c r="I16" s="264" t="n">
        <x:v>0.0006944444444444445</x:v>
      </x:c>
      <x:c r="J16" s="265"/>
      <x:c r="K16" s="265"/>
      <x:c r="L16" s="265"/>
      <x:c r="M16" s="265"/>
      <x:c r="N16" s="263" t="b">
        <x:f aca="0">IF($AB16,TRUE(),FALSE())</x:f>
        <x:v>0</x:v>
      </x:c>
      <x:c r="O16" s="264" t="n">
        <x:v>0.00011574074074074075</x:v>
      </x:c>
      <x:c r="P16" s="264" t="n">
        <x:v>0.00011574074074074075</x:v>
      </x:c>
      <x:c r="Q16" s="265"/>
      <x:c r="R16" s="265"/>
      <x:c r="S16" s="265"/>
      <x:c r="T16" s="263" t="b">
        <x:f aca="0">IF($AB16,TRUE(),FALSE())</x:f>
        <x:v>0</x:v>
      </x:c>
      <x:c r="U16" s="264" t="n">
        <x:v>0.00011574074074074075</x:v>
      </x:c>
      <x:c r="V16" s="265"/>
      <x:c r="W16" s="265"/>
      <x:c r="X16" s="265"/>
      <x:c r="Y16" s="265"/>
      <x:c r="Z16" s="263" t="b">
        <x:f>IF($AB16,TRUE(),FALSE())</x:f>
        <x:v>0</x:v>
      </x:c>
      <x:c r="AA16" s="267"/>
      <x:c r="AB16" s="266" t="b">
        <x:v>0</x:v>
      </x:c>
      <x:c r="AC16" s="268"/>
      <x:c r="AD16" s="288"/>
      <x:c r="AE16" s="288"/>
      <x:c r="AF16" s="288"/>
      <x:c r="AG16" s="409" t="n">
        <x:f>Scoring!P51</x:f>
        <x:v>1</x:v>
      </x:c>
      <x:c r="AH16" s="330"/>
      <x:c r="AI16"/>
      <x:c r="AJ16"/>
      <x:c r="AK16"/>
      <x:c r="AL16"/>
    </x:row>
    <x:row r="17" ht="88" hidden="0" customHeight="1">
      <x:c r="A17" s="228" t="n">
        <x:f aca="0">Strategy!$E$3+24</x:f>
        <x:v>46345.5</x:v>
      </x:c>
      <x:c r="B17" s="229" t="s">
        <x:v>56</x:v>
      </x:c>
      <x:c r="C17" s="289" t="str">
        <x:f aca="0">SUBSTITUTE(SUBSTITUTE(SUBSTITUTE("10 min skills"&amp;CHAR(10)&amp;Strategy!I24,", B)",CHAR(10)&amp;"B)"),", C)",CHAR(10)&amp;"C)"),", Core:",CHAR(10)&amp;"Core:")</x:f>
        <x:v>10 min skills
A) Easy wall handstand: 1 x 15 sec
B) Gentle wrist/shoulder mobility: 2 min
C) Assisted pistol: 1 x 3/leg, Cal-Intervals: 3 rounds</x:v>
      </x:c>
      <x:c r="D17" s="229" t="str">
        <x:v>Skill B + Cal-Intervals</x:v>
      </x:c>
      <x:c r="E17" s="229" t="n">
        <x:v>33</x:v>
      </x:c>
      <x:c r="F17" s="256"/>
      <x:c r="G17" s="256" t="s">
        <x:v>117</x:v>
      </x:c>
      <x:c r="H17" s="258" t="b">
        <x:f aca="0">IF($AB17,TRUE(),FALSE())</x:f>
        <x:v>0</x:v>
      </x:c>
      <x:c r="I17" s="269" t="n">
        <x:v>0.00017361111111111112</x:v>
      </x:c>
      <x:c r="J17" s="260"/>
      <x:c r="K17" s="260"/>
      <x:c r="L17" s="260"/>
      <x:c r="M17" s="260"/>
      <x:c r="N17" s="258" t="b">
        <x:f aca="0">IF($AB17,TRUE(),FALSE())</x:f>
        <x:v>0</x:v>
      </x:c>
      <x:c r="O17" s="269" t="n">
        <x:v>0.001388888888888889</x:v>
      </x:c>
      <x:c r="P17" s="260"/>
      <x:c r="Q17" s="260"/>
      <x:c r="R17" s="260"/>
      <x:c r="S17" s="260"/>
      <x:c r="T17" s="258" t="b">
        <x:f aca="0">IF($AB17,TRUE(),FALSE())</x:f>
        <x:v>0</x:v>
      </x:c>
      <x:c r="U17" s="259" t="n">
        <x:v>3</x:v>
      </x:c>
      <x:c r="V17" s="260"/>
      <x:c r="W17" s="260"/>
      <x:c r="X17" s="260"/>
      <x:c r="Y17" s="260"/>
      <x:c r="Z17" s="258" t="b">
        <x:f>IF($AB17,TRUE(),FALSE())</x:f>
        <x:v>0</x:v>
      </x:c>
      <x:c r="AA17" s="259" t="n">
        <x:v>3</x:v>
      </x:c>
      <x:c r="AB17" s="382" t="b">
        <x:v>0</x:v>
      </x:c>
      <x:c r="AC17" s="262"/>
      <x:c r="AD17" s="287"/>
      <x:c r="AE17" s="287"/>
      <x:c r="AF17" s="287"/>
      <x:c r="AG17" s="329" t="n">
        <x:f>Scoring!P54</x:f>
        <x:v>3.8</x:v>
      </x:c>
      <x:c r="AH17" s="328"/>
      <x:c r="AI17"/>
      <x:c r="AJ17"/>
      <x:c r="AK17"/>
      <x:c r="AL17"/>
    </x:row>
    <x:row r="18" ht="88" hidden="0" customHeight="1">
      <x:c r="A18" s="223" t="n">
        <x:f aca="0">Strategy!$E$3+26</x:f>
        <x:v>46347.5</x:v>
      </x:c>
      <x:c r="B18" s="224" t="s">
        <x:v>59</x:v>
      </x:c>
      <x:c r="C18" s="224" t="s">
        <x:v>123</x:v>
      </x:c>
      <x:c r="D18" s="224" t="s">
        <x:v>121</x:v>
      </x:c>
      <x:c r="E18" s="224" t="n">
        <x:v>10</x:v>
      </x:c>
      <x:c r="F18" s="257"/>
      <x:c r="G18" s="257" t="s">
        <x:v>117</x:v>
      </x:c>
      <x:c r="H18" s="263" t="b">
        <x:f aca="0">IF($AB18,TRUE(),FALSE())</x:f>
        <x:v>0</x:v>
      </x:c>
      <x:c r="I18" s="264" t="n">
        <x:v>0.0006944444444444445</x:v>
      </x:c>
      <x:c r="J18" s="265"/>
      <x:c r="K18" s="265"/>
      <x:c r="L18" s="265"/>
      <x:c r="M18" s="265"/>
      <x:c r="N18" s="263" t="b">
        <x:f aca="0">IF($AB18,TRUE(),FALSE())</x:f>
        <x:v>0</x:v>
      </x:c>
      <x:c r="O18" s="264" t="n">
        <x:v>0.00011574074074074075</x:v>
      </x:c>
      <x:c r="P18" s="264" t="n">
        <x:v>0.00011574074074074075</x:v>
      </x:c>
      <x:c r="Q18" s="265"/>
      <x:c r="R18" s="265"/>
      <x:c r="S18" s="265"/>
      <x:c r="T18" s="263" t="b">
        <x:f aca="0">IF($AB18,TRUE(),FALSE())</x:f>
        <x:v>0</x:v>
      </x:c>
      <x:c r="U18" s="264" t="n">
        <x:v>0.00011574074074074075</x:v>
      </x:c>
      <x:c r="V18" s="265"/>
      <x:c r="W18" s="265"/>
      <x:c r="X18" s="265"/>
      <x:c r="Y18" s="265"/>
      <x:c r="Z18" s="263" t="b">
        <x:f>IF($AB18,TRUE(),FALSE())</x:f>
        <x:v>0</x:v>
      </x:c>
      <x:c r="AA18" s="267"/>
      <x:c r="AB18" s="266" t="b">
        <x:v>0</x:v>
      </x:c>
      <x:c r="AC18" s="268"/>
      <x:c r="AD18" s="288"/>
      <x:c r="AE18" s="288"/>
      <x:c r="AF18" s="288"/>
      <x:c r="AG18" s="409" t="n">
        <x:f>Scoring!P58</x:f>
        <x:v>1</x:v>
      </x:c>
      <x:c r="AH18" s="330"/>
      <x:c r="AI18"/>
      <x:c r="AJ18"/>
      <x:c r="AK18"/>
      <x:c r="AL18"/>
    </x:row>
    <x:row r="19" ht="88" hidden="0" customHeight="1">
      <x:c r="A19" s="228" t="n">
        <x:f aca="0">Strategy!$E$3+28</x:f>
        <x:v>46349.5</x:v>
      </x:c>
      <x:c r="B19" s="229" t="s">
        <x:v>53</x:v>
      </x:c>
      <x:c r="C19" s="289" t="str">
        <x:f aca="0"/>
        <x:v>35 min strength and skills
A) Pull-up: 3 x 3
B) Dip: 3 x 5
C) Counterweight pistol: 3 x 4/leg
Cal-Intervals: 5 rounds</x:v>
      </x:c>
      <x:c r="D19" s="229" t="str">
        <x:v>Skill A (weighted)</x:v>
      </x:c>
      <x:c r="E19" s="229" t="n">
        <x:v>65</x:v>
      </x:c>
      <x:c r="F19" s="256"/>
      <x:c r="G19" s="256" t="s">
        <x:v>117</x:v>
      </x:c>
      <x:c r="H19" s="258" t="b">
        <x:f aca="0">IF($AB19,TRUE(),FALSE())</x:f>
        <x:v>0</x:v>
      </x:c>
      <x:c r="I19" s="259" t="n">
        <x:v>3</x:v>
      </x:c>
      <x:c r="J19" s="259" t="n">
        <x:v>3</x:v>
      </x:c>
      <x:c r="K19" s="259" t="n">
        <x:v>3</x:v>
      </x:c>
      <x:c r="L19" s="260"/>
      <x:c r="M19" s="260"/>
      <x:c r="N19" s="258" t="b">
        <x:f aca="0">IF($AB19,TRUE(),FALSE())</x:f>
        <x:v>0</x:v>
      </x:c>
      <x:c r="O19" s="259" t="n">
        <x:v>1</x:v>
      </x:c>
      <x:c r="P19" s="259" t="n">
        <x:v>1</x:v>
      </x:c>
      <x:c r="Q19" s="259" t="n">
        <x:v>1</x:v>
      </x:c>
      <x:c r="R19" s="259" t="n">
        <x:v>1</x:v>
      </x:c>
      <x:c r="S19" s="260"/>
      <x:c r="T19" s="258" t="b">
        <x:f aca="0">IF($AB19,TRUE(),FALSE())</x:f>
        <x:v>0</x:v>
      </x:c>
      <x:c r="U19" s="259" t="n">
        <x:v>4</x:v>
      </x:c>
      <x:c r="V19" s="259" t="n">
        <x:v>4</x:v>
      </x:c>
      <x:c r="W19" s="259" t="n">
        <x:v>4</x:v>
      </x:c>
      <x:c r="X19" s="260"/>
      <x:c r="Y19" s="260"/>
      <x:c r="Z19" s="258" t="b">
        <x:f>IF($AB19,TRUE(),FALSE())</x:f>
        <x:v>0</x:v>
      </x:c>
      <x:c r="AA19" s="259" t="n">
        <x:v>5</x:v>
      </x:c>
      <x:c r="AB19" s="382" t="b">
        <x:v>0</x:v>
      </x:c>
      <x:c r="AC19" s="262" t="str">
        <x:v>6 kg vest for A + B together; remove before Cal-Intervals. Best single sets at 10 kg: 5 pull-ups / 8 dips.</x:v>
      </x:c>
      <x:c r="AD19" s="287"/>
      <x:c r="AE19" s="287"/>
      <x:c r="AF19" s="287"/>
      <x:c r="AG19" s="329" t="n">
        <x:f>Scoring!P61</x:f>
        <x:v>5</x:v>
      </x:c>
      <x:c r="AH19" s="328"/>
      <x:c r="AI19"/>
      <x:c r="AJ19"/>
      <x:c r="AK19"/>
      <x:c r="AL19"/>
    </x:row>
    <x:row r="20" ht="88" hidden="0" customHeight="1">
      <x:c r="A20" s="223" t="n">
        <x:f aca="0">Strategy!$E$3+29</x:f>
        <x:v>46350.5</x:v>
      </x:c>
      <x:c r="B20" s="224" t="s">
        <x:v>59</x:v>
      </x:c>
      <x:c r="C20" s="224" t="s">
        <x:v>118</x:v>
      </x:c>
      <x:c r="D20" s="224" t="s">
        <x:v>119</x:v>
      </x:c>
      <x:c r="E20" s="224" t="n">
        <x:v>10</x:v>
      </x:c>
      <x:c r="F20" s="257"/>
      <x:c r="G20" s="257" t="s">
        <x:v>117</x:v>
      </x:c>
      <x:c r="H20" s="263" t="b">
        <x:f aca="0">IF($AB20,TRUE(),FALSE())</x:f>
        <x:v>0</x:v>
      </x:c>
      <x:c r="I20" s="264" t="n">
        <x:v>0.001388888888888889</x:v>
      </x:c>
      <x:c r="J20" s="265"/>
      <x:c r="K20" s="265"/>
      <x:c r="L20" s="265"/>
      <x:c r="M20" s="265"/>
      <x:c r="N20" s="263" t="b">
        <x:f aca="0">IF($AB20,TRUE(),FALSE())</x:f>
        <x:v>0</x:v>
      </x:c>
      <x:c r="O20" s="264" t="n">
        <x:v>0.00017361111111111112</x:v>
      </x:c>
      <x:c r="P20" s="264" t="n">
        <x:v>0.00017361111111111112</x:v>
      </x:c>
      <x:c r="Q20" s="264" t="n">
        <x:v>0.00017361111111111112</x:v>
      </x:c>
      <x:c r="R20" s="265"/>
      <x:c r="S20" s="265"/>
      <x:c r="T20" s="263" t="b">
        <x:f aca="0">IF($AB20,TRUE(),FALSE())</x:f>
        <x:v>0</x:v>
      </x:c>
      <x:c r="U20" s="264" t="n">
        <x:v>0.00017361111111111112</x:v>
      </x:c>
      <x:c r="V20" s="264" t="n">
        <x:v>0.00017361111111111112</x:v>
      </x:c>
      <x:c r="W20" s="265"/>
      <x:c r="X20" s="265"/>
      <x:c r="Y20" s="265"/>
      <x:c r="Z20" s="263" t="b">
        <x:f>IF($AB20,TRUE(),FALSE())</x:f>
        <x:v>0</x:v>
      </x:c>
      <x:c r="AA20" s="267"/>
      <x:c r="AB20" s="266" t="b">
        <x:v>0</x:v>
      </x:c>
      <x:c r="AC20" s="268"/>
      <x:c r="AD20" s="288"/>
      <x:c r="AE20" s="288"/>
      <x:c r="AF20" s="288"/>
      <x:c r="AG20" s="409" t="n">
        <x:f>Scoring!P65</x:f>
        <x:v>1</x:v>
      </x:c>
      <x:c r="AH20" s="330"/>
      <x:c r="AI20"/>
      <x:c r="AJ20"/>
      <x:c r="AK20"/>
      <x:c r="AL20"/>
    </x:row>
    <x:row r="21" ht="88" hidden="0" customHeight="1">
      <x:c r="A21" s="228" t="n">
        <x:f aca="0">Strategy!$E$3+31</x:f>
        <x:v>46352.5</x:v>
      </x:c>
      <x:c r="B21" s="229" t="s">
        <x:v>56</x:v>
      </x:c>
      <x:c r="C21" s="289" t="str">
        <x:f aca="0">SUBSTITUTE(SUBSTITUTE(SUBSTITUTE("35 min skills"&amp;CHAR(10)&amp;Strategy!I25,", B)",CHAR(10)&amp;"B)"),", C)",CHAR(10)&amp;"C)"),", Core:",CHAR(10)&amp;"Core:")</x:f>
        <x:v>35 min skills
A) Deficit pike push-up: 3 x 4
B) Wall HSPU negative: 3 x 2 (lower 3 sec)
C) Counterweight pistol: 3 x 4/leg, Cal-Intervals: 5 rounds</x:v>
      </x:c>
      <x:c r="D21" s="229" t="str">
        <x:v>Skill B + Cal-Intervals</x:v>
      </x:c>
      <x:c r="E21" s="229" t="n">
        <x:v>65</x:v>
      </x:c>
      <x:c r="F21" s="256"/>
      <x:c r="G21" s="256" t="s">
        <x:v>117</x:v>
      </x:c>
      <x:c r="H21" s="258" t="b">
        <x:f aca="0">IF($AB21,TRUE(),FALSE())</x:f>
        <x:v>0</x:v>
      </x:c>
      <x:c r="I21" s="259" t="n">
        <x:v>4</x:v>
      </x:c>
      <x:c r="J21" s="259" t="n">
        <x:v>4</x:v>
      </x:c>
      <x:c r="K21" s="259" t="n">
        <x:v>4</x:v>
      </x:c>
      <x:c r="L21" s="260"/>
      <x:c r="M21" s="260"/>
      <x:c r="N21" s="258" t="b">
        <x:f aca="0">IF($AB21,TRUE(),FALSE())</x:f>
        <x:v>0</x:v>
      </x:c>
      <x:c r="O21" s="259" t="n">
        <x:v>2</x:v>
      </x:c>
      <x:c r="P21" s="259" t="n">
        <x:v>2</x:v>
      </x:c>
      <x:c r="Q21" s="259" t="n">
        <x:v>2</x:v>
      </x:c>
      <x:c r="R21" s="260"/>
      <x:c r="S21" s="260"/>
      <x:c r="T21" s="258" t="b">
        <x:f aca="0">IF($AB21,TRUE(),FALSE())</x:f>
        <x:v>0</x:v>
      </x:c>
      <x:c r="U21" s="259" t="n">
        <x:v>4</x:v>
      </x:c>
      <x:c r="V21" s="259" t="n">
        <x:v>4</x:v>
      </x:c>
      <x:c r="W21" s="259" t="n">
        <x:v>4</x:v>
      </x:c>
      <x:c r="X21" s="260"/>
      <x:c r="Y21" s="260"/>
      <x:c r="Z21" s="258" t="b">
        <x:f>IF($AB21,TRUE(),FALSE())</x:f>
        <x:v>0</x:v>
      </x:c>
      <x:c r="AA21" s="259" t="n">
        <x:v>5</x:v>
      </x:c>
      <x:c r="AB21" s="382" t="b">
        <x:v>0</x:v>
      </x:c>
      <x:c r="AC21" s="262"/>
      <x:c r="AD21" s="287"/>
      <x:c r="AE21" s="287"/>
      <x:c r="AF21" s="287"/>
      <x:c r="AG21" s="329" t="n">
        <x:f>Scoring!P68</x:f>
        <x:v>5</x:v>
      </x:c>
      <x:c r="AH21" s="328"/>
      <x:c r="AI21"/>
      <x:c r="AJ21"/>
      <x:c r="AK21"/>
      <x:c r="AL21"/>
    </x:row>
    <x:row r="22" ht="88" hidden="0" customHeight="1">
      <x:c r="A22" s="223" t="n">
        <x:f aca="0">Strategy!$E$3+33</x:f>
        <x:v>46354.5</x:v>
      </x:c>
      <x:c r="B22" s="224" t="s">
        <x:v>59</x:v>
      </x:c>
      <x:c r="C22" s="224" t="s">
        <x:v>120</x:v>
      </x:c>
      <x:c r="D22" s="224" t="s">
        <x:v>121</x:v>
      </x:c>
      <x:c r="E22" s="224" t="n">
        <x:v>20</x:v>
      </x:c>
      <x:c r="F22" s="257"/>
      <x:c r="G22" s="257" t="s">
        <x:v>117</x:v>
      </x:c>
      <x:c r="H22" s="263" t="b">
        <x:f aca="0">IF($AB22,TRUE(),FALSE())</x:f>
        <x:v>0</x:v>
      </x:c>
      <x:c r="I22" s="264" t="n">
        <x:v>0.001388888888888889</x:v>
      </x:c>
      <x:c r="J22" s="265"/>
      <x:c r="K22" s="265"/>
      <x:c r="L22" s="265"/>
      <x:c r="M22" s="265"/>
      <x:c r="N22" s="263" t="b">
        <x:f aca="0">IF($AB22,TRUE(),FALSE())</x:f>
        <x:v>0</x:v>
      </x:c>
      <x:c r="O22" s="264" t="n">
        <x:v>0.00017361111111111112</x:v>
      </x:c>
      <x:c r="P22" s="264" t="n">
        <x:v>0.00017361111111111112</x:v>
      </x:c>
      <x:c r="Q22" s="264" t="n">
        <x:v>0.00017361111111111112</x:v>
      </x:c>
      <x:c r="R22" s="265"/>
      <x:c r="S22" s="265"/>
      <x:c r="T22" s="263" t="b">
        <x:f aca="0">IF($AB22,TRUE(),FALSE())</x:f>
        <x:v>0</x:v>
      </x:c>
      <x:c r="U22" s="264" t="n">
        <x:v>0.00017361111111111112</x:v>
      </x:c>
      <x:c r="V22" s="264" t="n">
        <x:v>0.00017361111111111112</x:v>
      </x:c>
      <x:c r="W22" s="264" t="n">
        <x:v>0.00017361111111111112</x:v>
      </x:c>
      <x:c r="X22" s="265"/>
      <x:c r="Y22" s="265"/>
      <x:c r="Z22" s="263" t="b">
        <x:f>IF($AB22,TRUE(),FALSE())</x:f>
        <x:v>0</x:v>
      </x:c>
      <x:c r="AA22" s="267"/>
      <x:c r="AB22" s="266" t="b">
        <x:v>0</x:v>
      </x:c>
      <x:c r="AC22" s="268"/>
      <x:c r="AD22" s="288"/>
      <x:c r="AE22" s="288"/>
      <x:c r="AF22" s="288"/>
      <x:c r="AG22" s="409" t="n">
        <x:f>Scoring!P72</x:f>
        <x:v>1</x:v>
      </x:c>
      <x:c r="AH22" s="330"/>
      <x:c r="AI22"/>
      <x:c r="AJ22"/>
      <x:c r="AK22"/>
      <x:c r="AL22"/>
    </x:row>
    <x:row r="23" ht="88" hidden="0" customHeight="1">
      <x:c r="A23" s="228" t="n">
        <x:f aca="0">Strategy!$E$3+35</x:f>
        <x:v>46356.5</x:v>
      </x:c>
      <x:c r="B23" s="229" t="s">
        <x:v>53</x:v>
      </x:c>
      <x:c r="C23" s="289" t="str">
        <x:f aca="0">SUBSTITUTE(SUBSTITUTE(SUBSTITUTE("35 min skills"&amp;CHAR(10)&amp;Strategy!H26,", B)",CHAR(10)&amp;"B)"),", C)",CHAR(10)&amp;"C)"),", Core:",CHAR(10)&amp;"Core:")</x:f>
        <x:v>35 min skills
A) Jumping muscle-up: 3 x 3
B) Low-bar slow transition: 3 x 3
C) Light-counterweight pistol: 3 x 4/leg, Cal-Intervals: 5 rounds</x:v>
      </x:c>
      <x:c r="D23" s="229" t="str">
        <x:v>Skill A + Cal-Intervals</x:v>
      </x:c>
      <x:c r="E23" s="229" t="n">
        <x:v>65</x:v>
      </x:c>
      <x:c r="F23" s="256"/>
      <x:c r="G23" s="256" t="s">
        <x:v>117</x:v>
      </x:c>
      <x:c r="H23" s="258" t="b">
        <x:f aca="0">IF($AB23,TRUE(),FALSE())</x:f>
        <x:v>0</x:v>
      </x:c>
      <x:c r="I23" s="259" t="n">
        <x:v>3</x:v>
      </x:c>
      <x:c r="J23" s="259" t="n">
        <x:v>3</x:v>
      </x:c>
      <x:c r="K23" s="259" t="n">
        <x:v>3</x:v>
      </x:c>
      <x:c r="L23" s="260"/>
      <x:c r="M23" s="260"/>
      <x:c r="N23" s="258" t="b">
        <x:f aca="0">IF($AB23,TRUE(),FALSE())</x:f>
        <x:v>0</x:v>
      </x:c>
      <x:c r="O23" s="259" t="n">
        <x:v>3</x:v>
      </x:c>
      <x:c r="P23" s="259" t="n">
        <x:v>3</x:v>
      </x:c>
      <x:c r="Q23" s="259" t="n">
        <x:v>3</x:v>
      </x:c>
      <x:c r="R23" s="260"/>
      <x:c r="S23" s="260"/>
      <x:c r="T23" s="258" t="b">
        <x:f aca="0">IF($AB23,TRUE(),FALSE())</x:f>
        <x:v>0</x:v>
      </x:c>
      <x:c r="U23" s="259" t="n">
        <x:v>4</x:v>
      </x:c>
      <x:c r="V23" s="259" t="n">
        <x:v>4</x:v>
      </x:c>
      <x:c r="W23" s="259" t="n">
        <x:v>4</x:v>
      </x:c>
      <x:c r="X23" s="260"/>
      <x:c r="Y23" s="260"/>
      <x:c r="Z23" s="258" t="b">
        <x:f>IF($AB23,TRUE(),FALSE())</x:f>
        <x:v>0</x:v>
      </x:c>
      <x:c r="AA23" s="259" t="n">
        <x:v>5</x:v>
      </x:c>
      <x:c r="AB23" s="382" t="b">
        <x:v>0</x:v>
      </x:c>
      <x:c r="AC23" s="262"/>
      <x:c r="AD23" s="287"/>
      <x:c r="AE23" s="287"/>
      <x:c r="AF23" s="287"/>
      <x:c r="AG23" s="329" t="n">
        <x:f>Scoring!P75</x:f>
        <x:v>4.8</x:v>
      </x:c>
      <x:c r="AH23" s="328"/>
      <x:c r="AI23"/>
      <x:c r="AJ23"/>
      <x:c r="AK23"/>
      <x:c r="AL23"/>
    </x:row>
    <x:row r="24" ht="88" hidden="0" customHeight="1">
      <x:c r="A24" s="223" t="n">
        <x:f aca="0">Strategy!$E$3+36</x:f>
        <x:v>46357.5</x:v>
      </x:c>
      <x:c r="B24" s="224" t="s">
        <x:v>59</x:v>
      </x:c>
      <x:c r="C24" s="224" t="s">
        <x:v>118</x:v>
      </x:c>
      <x:c r="D24" s="224" t="s">
        <x:v>119</x:v>
      </x:c>
      <x:c r="E24" s="224" t="n">
        <x:v>10</x:v>
      </x:c>
      <x:c r="F24" s="257"/>
      <x:c r="G24" s="257" t="s">
        <x:v>117</x:v>
      </x:c>
      <x:c r="H24" s="263" t="b">
        <x:f aca="0">IF($AB24,TRUE(),FALSE())</x:f>
        <x:v>0</x:v>
      </x:c>
      <x:c r="I24" s="264" t="n">
        <x:v>0.001388888888888889</x:v>
      </x:c>
      <x:c r="J24" s="265"/>
      <x:c r="K24" s="265"/>
      <x:c r="L24" s="265"/>
      <x:c r="M24" s="265"/>
      <x:c r="N24" s="263" t="b">
        <x:f aca="0">IF($AB24,TRUE(),FALSE())</x:f>
        <x:v>0</x:v>
      </x:c>
      <x:c r="O24" s="264" t="n">
        <x:v>0.00017361111111111112</x:v>
      </x:c>
      <x:c r="P24" s="264" t="n">
        <x:v>0.00017361111111111112</x:v>
      </x:c>
      <x:c r="Q24" s="264" t="n">
        <x:v>0.00017361111111111112</x:v>
      </x:c>
      <x:c r="R24" s="265"/>
      <x:c r="S24" s="265"/>
      <x:c r="T24" s="263" t="b">
        <x:f aca="0">IF($AB24,TRUE(),FALSE())</x:f>
        <x:v>0</x:v>
      </x:c>
      <x:c r="U24" s="264" t="n">
        <x:v>0.00017361111111111112</x:v>
      </x:c>
      <x:c r="V24" s="264" t="n">
        <x:v>0.00017361111111111112</x:v>
      </x:c>
      <x:c r="W24" s="265"/>
      <x:c r="X24" s="265"/>
      <x:c r="Y24" s="265"/>
      <x:c r="Z24" s="263" t="b">
        <x:f>IF($AB24,TRUE(),FALSE())</x:f>
        <x:v>0</x:v>
      </x:c>
      <x:c r="AA24" s="267"/>
      <x:c r="AB24" s="266" t="b">
        <x:v>0</x:v>
      </x:c>
      <x:c r="AC24" s="268"/>
      <x:c r="AD24" s="288"/>
      <x:c r="AE24" s="288"/>
      <x:c r="AF24" s="288"/>
      <x:c r="AG24" s="409" t="n">
        <x:f>Scoring!P79</x:f>
        <x:v>1</x:v>
      </x:c>
      <x:c r="AH24" s="330"/>
      <x:c r="AI24"/>
      <x:c r="AJ24"/>
      <x:c r="AK24"/>
      <x:c r="AL24"/>
    </x:row>
    <x:row r="25" ht="88" hidden="0" customHeight="1">
      <x:c r="A25" s="228" t="n">
        <x:f aca="0">Strategy!$E$3+38</x:f>
        <x:v>46359.5</x:v>
      </x:c>
      <x:c r="B25" s="229" t="s">
        <x:v>56</x:v>
      </x:c>
      <x:c r="C25" s="289" t="str">
        <x:f aca="0">SUBSTITUTE(SUBSTITUTE(SUBSTITUTE("35 min skills"&amp;CHAR(10)&amp;Strategy!I26,", B)",CHAR(10)&amp;"B)"),", C)",CHAR(10)&amp;"C)"),", Core:",CHAR(10)&amp;"Core:")</x:f>
        <x:v>35 min skills
A) Partial wall HSPU: 3 x 3
B) Wall HSPU negative: 3 x 2 (lower 3 sec)
C) Light-counterweight pistol: 3 x 4/leg, Cal-Intervals: 5 rounds</x:v>
      </x:c>
      <x:c r="D25" s="229" t="str">
        <x:v>Skill B + Cal-Intervals</x:v>
      </x:c>
      <x:c r="E25" s="229" t="n">
        <x:v>65</x:v>
      </x:c>
      <x:c r="F25" s="256"/>
      <x:c r="G25" s="256" t="s">
        <x:v>117</x:v>
      </x:c>
      <x:c r="H25" s="258" t="b">
        <x:f aca="0">IF($AB25,TRUE(),FALSE())</x:f>
        <x:v>0</x:v>
      </x:c>
      <x:c r="I25" s="259" t="n">
        <x:v>3</x:v>
      </x:c>
      <x:c r="J25" s="259" t="n">
        <x:v>3</x:v>
      </x:c>
      <x:c r="K25" s="259" t="n">
        <x:v>3</x:v>
      </x:c>
      <x:c r="L25" s="260"/>
      <x:c r="M25" s="260"/>
      <x:c r="N25" s="258" t="b">
        <x:f aca="0">IF($AB25,TRUE(),FALSE())</x:f>
        <x:v>0</x:v>
      </x:c>
      <x:c r="O25" s="259" t="n">
        <x:v>2</x:v>
      </x:c>
      <x:c r="P25" s="259" t="n">
        <x:v>2</x:v>
      </x:c>
      <x:c r="Q25" s="259" t="n">
        <x:v>2</x:v>
      </x:c>
      <x:c r="R25" s="260"/>
      <x:c r="S25" s="260"/>
      <x:c r="T25" s="258" t="b">
        <x:f aca="0">IF($AB25,TRUE(),FALSE())</x:f>
        <x:v>0</x:v>
      </x:c>
      <x:c r="U25" s="259" t="n">
        <x:v>4</x:v>
      </x:c>
      <x:c r="V25" s="259" t="n">
        <x:v>4</x:v>
      </x:c>
      <x:c r="W25" s="259" t="n">
        <x:v>4</x:v>
      </x:c>
      <x:c r="X25" s="260"/>
      <x:c r="Y25" s="260"/>
      <x:c r="Z25" s="258" t="b">
        <x:f>IF($AB25,TRUE(),FALSE())</x:f>
        <x:v>0</x:v>
      </x:c>
      <x:c r="AA25" s="259" t="n">
        <x:v>5</x:v>
      </x:c>
      <x:c r="AB25" s="382" t="b">
        <x:v>0</x:v>
      </x:c>
      <x:c r="AC25" s="262"/>
      <x:c r="AD25" s="287"/>
      <x:c r="AE25" s="287"/>
      <x:c r="AF25" s="287"/>
      <x:c r="AG25" s="329" t="n">
        <x:f>Scoring!P82</x:f>
        <x:v>4.9</x:v>
      </x:c>
      <x:c r="AH25" s="328"/>
      <x:c r="AI25"/>
      <x:c r="AJ25"/>
      <x:c r="AK25"/>
      <x:c r="AL25"/>
    </x:row>
    <x:row r="26" ht="88" hidden="0" customHeight="1">
      <x:c r="A26" s="223" t="n">
        <x:f aca="0">Strategy!$E$3+40</x:f>
        <x:v>46361.5</x:v>
      </x:c>
      <x:c r="B26" s="224" t="s">
        <x:v>59</x:v>
      </x:c>
      <x:c r="C26" s="224" t="s">
        <x:v>120</x:v>
      </x:c>
      <x:c r="D26" s="224" t="s">
        <x:v>121</x:v>
      </x:c>
      <x:c r="E26" s="224" t="n">
        <x:v>20</x:v>
      </x:c>
      <x:c r="F26" s="257"/>
      <x:c r="G26" s="257" t="s">
        <x:v>117</x:v>
      </x:c>
      <x:c r="H26" s="263" t="b">
        <x:f aca="0">IF($AB26,TRUE(),FALSE())</x:f>
        <x:v>0</x:v>
      </x:c>
      <x:c r="I26" s="264" t="n">
        <x:v>0.001388888888888889</x:v>
      </x:c>
      <x:c r="J26" s="265"/>
      <x:c r="K26" s="265"/>
      <x:c r="L26" s="265"/>
      <x:c r="M26" s="265"/>
      <x:c r="N26" s="263" t="b">
        <x:f aca="0">IF($AB26,TRUE(),FALSE())</x:f>
        <x:v>0</x:v>
      </x:c>
      <x:c r="O26" s="264" t="n">
        <x:v>0.00017361111111111112</x:v>
      </x:c>
      <x:c r="P26" s="264" t="n">
        <x:v>0.00017361111111111112</x:v>
      </x:c>
      <x:c r="Q26" s="264" t="n">
        <x:v>0.00017361111111111112</x:v>
      </x:c>
      <x:c r="R26" s="265"/>
      <x:c r="S26" s="265"/>
      <x:c r="T26" s="263" t="b">
        <x:f aca="0">IF($AB26,TRUE(),FALSE())</x:f>
        <x:v>0</x:v>
      </x:c>
      <x:c r="U26" s="264" t="n">
        <x:v>0.00017361111111111112</x:v>
      </x:c>
      <x:c r="V26" s="264" t="n">
        <x:v>0.00017361111111111112</x:v>
      </x:c>
      <x:c r="W26" s="264" t="n">
        <x:v>0.00017361111111111112</x:v>
      </x:c>
      <x:c r="X26" s="265"/>
      <x:c r="Y26" s="265"/>
      <x:c r="Z26" s="263" t="b">
        <x:f>IF($AB26,TRUE(),FALSE())</x:f>
        <x:v>0</x:v>
      </x:c>
      <x:c r="AA26" s="267"/>
      <x:c r="AB26" s="266" t="b">
        <x:v>0</x:v>
      </x:c>
      <x:c r="AC26" s="268"/>
      <x:c r="AD26" s="288"/>
      <x:c r="AE26" s="288"/>
      <x:c r="AF26" s="288"/>
      <x:c r="AG26" s="409" t="n">
        <x:f>Scoring!P86</x:f>
        <x:v>1</x:v>
      </x:c>
      <x:c r="AH26" s="330"/>
      <x:c r="AI26"/>
      <x:c r="AJ26"/>
      <x:c r="AK26"/>
      <x:c r="AL26"/>
    </x:row>
    <x:row r="27" ht="88" hidden="0" customHeight="1">
      <x:c r="A27" s="228" t="n">
        <x:f aca="0">Strategy!$E$3+42</x:f>
        <x:v>46363.5</x:v>
      </x:c>
      <x:c r="B27" s="229" t="s">
        <x:v>53</x:v>
      </x:c>
      <x:c r="C27" s="289" t="str">
        <x:f aca="0"/>
        <x:v>35 min strength and skills
A) Pull-up: 3 x 3
B) Dip: 3 x 5
C) Unassisted pistol to target: 3 x 1/leg
Cal-Intervals: 5 rounds</x:v>
      </x:c>
      <x:c r="D27" s="229" t="str">
        <x:v>Skill A (weighted)</x:v>
      </x:c>
      <x:c r="E27" s="229" t="n">
        <x:v>65</x:v>
      </x:c>
      <x:c r="F27" s="256"/>
      <x:c r="G27" s="256" t="s">
        <x:v>117</x:v>
      </x:c>
      <x:c r="H27" s="258" t="b">
        <x:f aca="0">IF($AB27,TRUE(),FALSE())</x:f>
        <x:v>0</x:v>
      </x:c>
      <x:c r="I27" s="259" t="n">
        <x:v>1</x:v>
      </x:c>
      <x:c r="J27" s="259" t="n">
        <x:v>1</x:v>
      </x:c>
      <x:c r="K27" s="259" t="n">
        <x:v>1</x:v>
      </x:c>
      <x:c r="L27" s="259" t="n">
        <x:v>1</x:v>
      </x:c>
      <x:c r="M27" s="260"/>
      <x:c r="N27" s="258" t="b">
        <x:f aca="0">IF($AB27,TRUE(),FALSE())</x:f>
        <x:v>0</x:v>
      </x:c>
      <x:c r="O27" s="259" t="n">
        <x:v>2</x:v>
      </x:c>
      <x:c r="P27" s="259" t="n">
        <x:v>2</x:v>
      </x:c>
      <x:c r="Q27" s="259" t="n">
        <x:v>2</x:v>
      </x:c>
      <x:c r="R27" s="260"/>
      <x:c r="S27" s="260"/>
      <x:c r="T27" s="258" t="b">
        <x:f aca="0">IF($AB27,TRUE(),FALSE())</x:f>
        <x:v>0</x:v>
      </x:c>
      <x:c r="U27" s="259" t="n">
        <x:v>1</x:v>
      </x:c>
      <x:c r="V27" s="259" t="n">
        <x:v>1</x:v>
      </x:c>
      <x:c r="W27" s="259" t="n">
        <x:v>1</x:v>
      </x:c>
      <x:c r="X27" s="260"/>
      <x:c r="Y27" s="260"/>
      <x:c r="Z27" s="258" t="b">
        <x:f>IF($AB27,TRUE(),FALSE())</x:f>
        <x:v>0</x:v>
      </x:c>
      <x:c r="AA27" s="259" t="n">
        <x:v>5</x:v>
      </x:c>
      <x:c r="AB27" s="382" t="b">
        <x:v>0</x:v>
      </x:c>
      <x:c r="AC27" s="262" t="str">
        <x:v>6 kg vest for A + B together; remove before Cal-Intervals. Best single sets at 10 kg: 5 pull-ups / 8 dips.</x:v>
      </x:c>
      <x:c r="AD27" s="287"/>
      <x:c r="AE27" s="287"/>
      <x:c r="AF27" s="287"/>
      <x:c r="AG27" s="329" t="n">
        <x:f>Scoring!P89</x:f>
        <x:v>5</x:v>
      </x:c>
      <x:c r="AH27" s="328"/>
      <x:c r="AI27"/>
      <x:c r="AJ27"/>
      <x:c r="AK27"/>
      <x:c r="AL27"/>
    </x:row>
    <x:row r="28" ht="88" hidden="0" customHeight="1">
      <x:c r="A28" s="223" t="n">
        <x:f aca="0">Strategy!$E$3+43</x:f>
        <x:v>46364.5</x:v>
      </x:c>
      <x:c r="B28" s="224" t="s">
        <x:v>59</x:v>
      </x:c>
      <x:c r="C28" s="224" t="s">
        <x:v>118</x:v>
      </x:c>
      <x:c r="D28" s="224" t="s">
        <x:v>119</x:v>
      </x:c>
      <x:c r="E28" s="224" t="n">
        <x:v>10</x:v>
      </x:c>
      <x:c r="F28" s="257"/>
      <x:c r="G28" s="257" t="s">
        <x:v>117</x:v>
      </x:c>
      <x:c r="H28" s="263" t="b">
        <x:f aca="0">IF($AB28,TRUE(),FALSE())</x:f>
        <x:v>0</x:v>
      </x:c>
      <x:c r="I28" s="264" t="n">
        <x:v>0.001388888888888889</x:v>
      </x:c>
      <x:c r="J28" s="265"/>
      <x:c r="K28" s="265"/>
      <x:c r="L28" s="265"/>
      <x:c r="M28" s="265"/>
      <x:c r="N28" s="263" t="b">
        <x:f aca="0">IF($AB28,TRUE(),FALSE())</x:f>
        <x:v>0</x:v>
      </x:c>
      <x:c r="O28" s="264" t="n">
        <x:v>0.00017361111111111112</x:v>
      </x:c>
      <x:c r="P28" s="264" t="n">
        <x:v>0.00017361111111111112</x:v>
      </x:c>
      <x:c r="Q28" s="264" t="n">
        <x:v>0.00017361111111111112</x:v>
      </x:c>
      <x:c r="R28" s="265"/>
      <x:c r="S28" s="265"/>
      <x:c r="T28" s="263" t="b">
        <x:f aca="0">IF($AB28,TRUE(),FALSE())</x:f>
        <x:v>0</x:v>
      </x:c>
      <x:c r="U28" s="264" t="n">
        <x:v>0.00017361111111111112</x:v>
      </x:c>
      <x:c r="V28" s="264" t="n">
        <x:v>0.00017361111111111112</x:v>
      </x:c>
      <x:c r="W28" s="265"/>
      <x:c r="X28" s="265"/>
      <x:c r="Y28" s="265"/>
      <x:c r="Z28" s="263" t="b">
        <x:f>IF($AB28,TRUE(),FALSE())</x:f>
        <x:v>0</x:v>
      </x:c>
      <x:c r="AA28" s="267"/>
      <x:c r="AB28" s="266" t="b">
        <x:v>0</x:v>
      </x:c>
      <x:c r="AC28" s="268"/>
      <x:c r="AD28" s="288"/>
      <x:c r="AE28" s="288"/>
      <x:c r="AF28" s="288"/>
      <x:c r="AG28" s="409" t="n">
        <x:f>Scoring!P93</x:f>
        <x:v>1</x:v>
      </x:c>
      <x:c r="AH28" s="330"/>
      <x:c r="AI28"/>
      <x:c r="AJ28"/>
      <x:c r="AK28"/>
      <x:c r="AL28"/>
    </x:row>
    <x:row r="29" ht="88" hidden="0" customHeight="1">
      <x:c r="A29" s="228" t="n">
        <x:f aca="0">Strategy!$E$3+45</x:f>
        <x:v>46366.5</x:v>
      </x:c>
      <x:c r="B29" s="229" t="s">
        <x:v>56</x:v>
      </x:c>
      <x:c r="C29" s="289" t="str">
        <x:f aca="0">SUBSTITUTE(SUBSTITUTE(SUBSTITUTE("35 min skills"&amp;CHAR(10)&amp;Strategy!I27,", B)",CHAR(10)&amp;"B)"),", C)",CHAR(10)&amp;"C)"),", Core:",CHAR(10)&amp;"Core:")</x:f>
        <x:v>35 min skills
A) Deeper wall HSPU: 3 x 2
B) Easy wall handstand: 2 x 20 sec
C) Unassisted pistol to target: 3 x 1/leg, Cal-Intervals: 5 rounds</x:v>
      </x:c>
      <x:c r="D29" s="229" t="str">
        <x:v>Skill B + Cal-Intervals</x:v>
      </x:c>
      <x:c r="E29" s="229" t="n">
        <x:v>65</x:v>
      </x:c>
      <x:c r="F29" s="256"/>
      <x:c r="G29" s="256" t="s">
        <x:v>117</x:v>
      </x:c>
      <x:c r="H29" s="258" t="b">
        <x:f aca="0">IF($AB29,TRUE(),FALSE())</x:f>
        <x:v>0</x:v>
      </x:c>
      <x:c r="I29" s="259" t="n">
        <x:v>2</x:v>
      </x:c>
      <x:c r="J29" s="259" t="n">
        <x:v>2</x:v>
      </x:c>
      <x:c r="K29" s="259" t="n">
        <x:v>2</x:v>
      </x:c>
      <x:c r="L29" s="260"/>
      <x:c r="M29" s="260"/>
      <x:c r="N29" s="258" t="b">
        <x:f aca="0">IF($AB29,TRUE(),FALSE())</x:f>
        <x:v>0</x:v>
      </x:c>
      <x:c r="O29" s="269" t="n">
        <x:v>0.0002314814814814815</x:v>
      </x:c>
      <x:c r="P29" s="269" t="n">
        <x:v>0.0002314814814814815</x:v>
      </x:c>
      <x:c r="Q29" s="260"/>
      <x:c r="R29" s="260"/>
      <x:c r="S29" s="260"/>
      <x:c r="T29" s="258" t="b">
        <x:f aca="0">IF($AB29,TRUE(),FALSE())</x:f>
        <x:v>0</x:v>
      </x:c>
      <x:c r="U29" s="259" t="n">
        <x:v>1</x:v>
      </x:c>
      <x:c r="V29" s="259" t="n">
        <x:v>1</x:v>
      </x:c>
      <x:c r="W29" s="259" t="n">
        <x:v>1</x:v>
      </x:c>
      <x:c r="X29" s="260"/>
      <x:c r="Y29" s="260"/>
      <x:c r="Z29" s="258" t="b">
        <x:f>IF($AB29,TRUE(),FALSE())</x:f>
        <x:v>0</x:v>
      </x:c>
      <x:c r="AA29" s="259" t="n">
        <x:v>5</x:v>
      </x:c>
      <x:c r="AB29" s="382" t="b">
        <x:v>0</x:v>
      </x:c>
      <x:c r="AC29" s="262"/>
      <x:c r="AD29" s="287"/>
      <x:c r="AE29" s="287"/>
      <x:c r="AF29" s="287"/>
      <x:c r="AG29" s="329" t="n">
        <x:f>Scoring!P96</x:f>
        <x:v>4.7</x:v>
      </x:c>
      <x:c r="AH29" s="328"/>
      <x:c r="AI29"/>
      <x:c r="AJ29"/>
      <x:c r="AK29"/>
      <x:c r="AL29"/>
    </x:row>
    <x:row r="30" ht="88" hidden="0" customHeight="1">
      <x:c r="A30" s="223" t="n">
        <x:f aca="0">Strategy!$E$3+47</x:f>
        <x:v>46368.5</x:v>
      </x:c>
      <x:c r="B30" s="224" t="s">
        <x:v>59</x:v>
      </x:c>
      <x:c r="C30" s="224" t="s">
        <x:v>120</x:v>
      </x:c>
      <x:c r="D30" s="224" t="s">
        <x:v>121</x:v>
      </x:c>
      <x:c r="E30" s="224" t="n">
        <x:v>20</x:v>
      </x:c>
      <x:c r="F30" s="257"/>
      <x:c r="G30" s="257" t="s">
        <x:v>117</x:v>
      </x:c>
      <x:c r="H30" s="263" t="b">
        <x:f aca="0">IF($AB30,TRUE(),FALSE())</x:f>
        <x:v>0</x:v>
      </x:c>
      <x:c r="I30" s="264" t="n">
        <x:v>0.001388888888888889</x:v>
      </x:c>
      <x:c r="J30" s="265"/>
      <x:c r="K30" s="265"/>
      <x:c r="L30" s="265"/>
      <x:c r="M30" s="265"/>
      <x:c r="N30" s="263" t="b">
        <x:f aca="0">IF($AB30,TRUE(),FALSE())</x:f>
        <x:v>0</x:v>
      </x:c>
      <x:c r="O30" s="264" t="n">
        <x:v>0.00017361111111111112</x:v>
      </x:c>
      <x:c r="P30" s="264" t="n">
        <x:v>0.00017361111111111112</x:v>
      </x:c>
      <x:c r="Q30" s="264" t="n">
        <x:v>0.00017361111111111112</x:v>
      </x:c>
      <x:c r="R30" s="265"/>
      <x:c r="S30" s="265"/>
      <x:c r="T30" s="263" t="b">
        <x:f aca="0">IF($AB30,TRUE(),FALSE())</x:f>
        <x:v>0</x:v>
      </x:c>
      <x:c r="U30" s="264" t="n">
        <x:v>0.00017361111111111112</x:v>
      </x:c>
      <x:c r="V30" s="264" t="n">
        <x:v>0.00017361111111111112</x:v>
      </x:c>
      <x:c r="W30" s="264" t="n">
        <x:v>0.00017361111111111112</x:v>
      </x:c>
      <x:c r="X30" s="265"/>
      <x:c r="Y30" s="265"/>
      <x:c r="Z30" s="263" t="b">
        <x:f>IF($AB30,TRUE(),FALSE())</x:f>
        <x:v>0</x:v>
      </x:c>
      <x:c r="AA30" s="267"/>
      <x:c r="AB30" s="266" t="b">
        <x:v>0</x:v>
      </x:c>
      <x:c r="AC30" s="268"/>
      <x:c r="AD30" s="288"/>
      <x:c r="AE30" s="288"/>
      <x:c r="AF30" s="288"/>
      <x:c r="AG30" s="409" t="n">
        <x:f>Scoring!P100</x:f>
        <x:v>1</x:v>
      </x:c>
      <x:c r="AH30" s="330"/>
      <x:c r="AI30"/>
      <x:c r="AJ30"/>
      <x:c r="AK30"/>
      <x:c r="AL30"/>
    </x:row>
    <x:row r="31" ht="88" hidden="0" customHeight="1">
      <x:c r="A31" s="228" t="n">
        <x:f aca="0">Strategy!$E$3+49</x:f>
        <x:v>46370.5</x:v>
      </x:c>
      <x:c r="B31" s="229" t="s">
        <x:v>53</x:v>
      </x:c>
      <x:c r="C31" s="289" t="str">
        <x:f aca="0">SUBSTITUTE(SUBSTITUTE(SUBSTITUTE("10 min skills"&amp;CHAR(10)&amp;Strategy!H28,", B)",CHAR(10)&amp;"B)"),", C)",CHAR(10)&amp;"C)"),", Core:",CHAR(10)&amp;"Core:")</x:f>
        <x:v>10 min skills
A) Easy high pull: 1 x 3
B) Easy low-bar transition: 1 x 3
C) Assisted smooth pistol: 1 x 3/leg, Cal-Intervals: 3 rounds</x:v>
      </x:c>
      <x:c r="D31" s="229" t="str">
        <x:v>Skill A + Cal-Intervals</x:v>
      </x:c>
      <x:c r="E31" s="229" t="n">
        <x:v>33</x:v>
      </x:c>
      <x:c r="F31" s="256"/>
      <x:c r="G31" s="256" t="s">
        <x:v>117</x:v>
      </x:c>
      <x:c r="H31" s="258" t="b">
        <x:f aca="0">IF($AB31,TRUE(),FALSE())</x:f>
        <x:v>0</x:v>
      </x:c>
      <x:c r="I31" s="259" t="n">
        <x:v>3</x:v>
      </x:c>
      <x:c r="J31" s="260"/>
      <x:c r="K31" s="260"/>
      <x:c r="L31" s="260"/>
      <x:c r="M31" s="260"/>
      <x:c r="N31" s="258" t="b">
        <x:f aca="0">IF($AB31,TRUE(),FALSE())</x:f>
        <x:v>0</x:v>
      </x:c>
      <x:c r="O31" s="259" t="n">
        <x:v>3</x:v>
      </x:c>
      <x:c r="P31" s="260"/>
      <x:c r="Q31" s="260"/>
      <x:c r="R31" s="260"/>
      <x:c r="S31" s="260"/>
      <x:c r="T31" s="258" t="b">
        <x:f aca="0">IF($AB31,TRUE(),FALSE())</x:f>
        <x:v>0</x:v>
      </x:c>
      <x:c r="U31" s="259" t="n">
        <x:v>3</x:v>
      </x:c>
      <x:c r="V31" s="260"/>
      <x:c r="W31" s="260"/>
      <x:c r="X31" s="260"/>
      <x:c r="Y31" s="260"/>
      <x:c r="Z31" s="258" t="b">
        <x:f>IF($AB31,TRUE(),FALSE())</x:f>
        <x:v>0</x:v>
      </x:c>
      <x:c r="AA31" s="259" t="n">
        <x:v>3</x:v>
      </x:c>
      <x:c r="AB31" s="382" t="b">
        <x:v>0</x:v>
      </x:c>
      <x:c r="AC31" s="262"/>
      <x:c r="AD31" s="287"/>
      <x:c r="AE31" s="287"/>
      <x:c r="AF31" s="287"/>
      <x:c r="AG31" s="329" t="n">
        <x:f>Scoring!P103</x:f>
        <x:v>4.7</x:v>
      </x:c>
      <x:c r="AH31" s="328"/>
      <x:c r="AI31"/>
      <x:c r="AJ31"/>
      <x:c r="AK31"/>
      <x:c r="AL31"/>
    </x:row>
    <x:row r="32" ht="88" hidden="0" customHeight="1">
      <x:c r="A32" s="223" t="n">
        <x:f aca="0">Strategy!$E$3+50</x:f>
        <x:v>46371.5</x:v>
      </x:c>
      <x:c r="B32" s="224" t="s">
        <x:v>59</x:v>
      </x:c>
      <x:c r="C32" s="224" t="s">
        <x:v>122</x:v>
      </x:c>
      <x:c r="D32" s="224" t="s">
        <x:v>119</x:v>
      </x:c>
      <x:c r="E32" s="224" t="n">
        <x:v>5</x:v>
      </x:c>
      <x:c r="F32" s="257"/>
      <x:c r="G32" s="257" t="s">
        <x:v>117</x:v>
      </x:c>
      <x:c r="H32" s="263" t="b">
        <x:f aca="0">IF($AB32,TRUE(),FALSE())</x:f>
        <x:v>0</x:v>
      </x:c>
      <x:c r="I32" s="264" t="n">
        <x:v>0.0006944444444444445</x:v>
      </x:c>
      <x:c r="J32" s="265"/>
      <x:c r="K32" s="265"/>
      <x:c r="L32" s="265"/>
      <x:c r="M32" s="265"/>
      <x:c r="N32" s="263" t="b">
        <x:f aca="0">IF($AB32,TRUE(),FALSE())</x:f>
        <x:v>0</x:v>
      </x:c>
      <x:c r="O32" s="264" t="n">
        <x:v>0.00011574074074074075</x:v>
      </x:c>
      <x:c r="P32" s="264" t="n">
        <x:v>0.00011574074074074075</x:v>
      </x:c>
      <x:c r="Q32" s="265"/>
      <x:c r="R32" s="265"/>
      <x:c r="S32" s="265"/>
      <x:c r="T32" s="263" t="b">
        <x:f aca="0">IF($AB32,TRUE(),FALSE())</x:f>
        <x:v>0</x:v>
      </x:c>
      <x:c r="U32" s="264" t="n">
        <x:v>0.00011574074074074075</x:v>
      </x:c>
      <x:c r="V32" s="265"/>
      <x:c r="W32" s="265"/>
      <x:c r="X32" s="265"/>
      <x:c r="Y32" s="265"/>
      <x:c r="Z32" s="263" t="b">
        <x:f>IF($AB32,TRUE(),FALSE())</x:f>
        <x:v>0</x:v>
      </x:c>
      <x:c r="AA32" s="267"/>
      <x:c r="AB32" s="266" t="b">
        <x:v>0</x:v>
      </x:c>
      <x:c r="AC32" s="268"/>
      <x:c r="AD32" s="288"/>
      <x:c r="AE32" s="288"/>
      <x:c r="AF32" s="288"/>
      <x:c r="AG32" s="409" t="n">
        <x:f>Scoring!P107</x:f>
        <x:v>1</x:v>
      </x:c>
      <x:c r="AH32" s="330"/>
      <x:c r="AI32"/>
      <x:c r="AJ32"/>
      <x:c r="AK32"/>
      <x:c r="AL32"/>
    </x:row>
    <x:row r="33" ht="88" hidden="0" customHeight="1">
      <x:c r="A33" s="228" t="n">
        <x:f aca="0">Strategy!$E$3+52</x:f>
        <x:v>46373.5</x:v>
      </x:c>
      <x:c r="B33" s="229" t="s">
        <x:v>56</x:v>
      </x:c>
      <x:c r="C33" s="289" t="str">
        <x:f aca="0">SUBSTITUTE(SUBSTITUTE(SUBSTITUTE("10 min skills"&amp;CHAR(10)&amp;Strategy!I28,", B)",CHAR(10)&amp;"B)"),", C)",CHAR(10)&amp;"C)"),", Core:",CHAR(10)&amp;"Core:")</x:f>
        <x:v>10 min skills
A) Easy wall handstand: 1 x 15 sec
B) Easy pike push-up: 1 x 4
C) Assisted smooth pistol: 1 x 3/leg, Cal-Intervals: 3 rounds</x:v>
      </x:c>
      <x:c r="D33" s="229" t="str">
        <x:v>Skill B + Cal-Intervals</x:v>
      </x:c>
      <x:c r="E33" s="229" t="n">
        <x:v>33</x:v>
      </x:c>
      <x:c r="F33" s="256"/>
      <x:c r="G33" s="256" t="s">
        <x:v>117</x:v>
      </x:c>
      <x:c r="H33" s="258" t="b">
        <x:f aca="0">IF($AB33,TRUE(),FALSE())</x:f>
        <x:v>0</x:v>
      </x:c>
      <x:c r="I33" s="269" t="n">
        <x:v>0.00017361111111111112</x:v>
      </x:c>
      <x:c r="J33" s="260"/>
      <x:c r="K33" s="260"/>
      <x:c r="L33" s="260"/>
      <x:c r="M33" s="260"/>
      <x:c r="N33" s="258" t="b">
        <x:f aca="0">IF($AB33,TRUE(),FALSE())</x:f>
        <x:v>0</x:v>
      </x:c>
      <x:c r="O33" s="259" t="n">
        <x:v>4</x:v>
      </x:c>
      <x:c r="P33" s="260"/>
      <x:c r="Q33" s="260"/>
      <x:c r="R33" s="260"/>
      <x:c r="S33" s="260"/>
      <x:c r="T33" s="258" t="b">
        <x:f aca="0">IF($AB33,TRUE(),FALSE())</x:f>
        <x:v>0</x:v>
      </x:c>
      <x:c r="U33" s="259" t="n">
        <x:v>3</x:v>
      </x:c>
      <x:c r="V33" s="260"/>
      <x:c r="W33" s="260"/>
      <x:c r="X33" s="260"/>
      <x:c r="Y33" s="260"/>
      <x:c r="Z33" s="258" t="b">
        <x:f>IF($AB33,TRUE(),FALSE())</x:f>
        <x:v>0</x:v>
      </x:c>
      <x:c r="AA33" s="259" t="n">
        <x:v>3</x:v>
      </x:c>
      <x:c r="AB33" s="382" t="b">
        <x:v>0</x:v>
      </x:c>
      <x:c r="AC33" s="262"/>
      <x:c r="AD33" s="287"/>
      <x:c r="AE33" s="287"/>
      <x:c r="AF33" s="287"/>
      <x:c r="AG33" s="329" t="n">
        <x:f>Scoring!P110</x:f>
        <x:v>4.6</x:v>
      </x:c>
      <x:c r="AH33" s="328"/>
      <x:c r="AI33"/>
      <x:c r="AJ33"/>
      <x:c r="AK33"/>
      <x:c r="AL33"/>
    </x:row>
    <x:row r="34" ht="88" hidden="0" customHeight="1">
      <x:c r="A34" s="223" t="n">
        <x:f aca="0">Strategy!$E$3+54</x:f>
        <x:v>46375.5</x:v>
      </x:c>
      <x:c r="B34" s="224" t="s">
        <x:v>59</x:v>
      </x:c>
      <x:c r="C34" s="224" t="s">
        <x:v>123</x:v>
      </x:c>
      <x:c r="D34" s="224" t="s">
        <x:v>121</x:v>
      </x:c>
      <x:c r="E34" s="224" t="n">
        <x:v>10</x:v>
      </x:c>
      <x:c r="F34" s="257"/>
      <x:c r="G34" s="257" t="s">
        <x:v>117</x:v>
      </x:c>
      <x:c r="H34" s="263" t="b">
        <x:f aca="0">IF($AB34,TRUE(),FALSE())</x:f>
        <x:v>0</x:v>
      </x:c>
      <x:c r="I34" s="264" t="n">
        <x:v>0.0006944444444444445</x:v>
      </x:c>
      <x:c r="J34" s="265"/>
      <x:c r="K34" s="265"/>
      <x:c r="L34" s="265"/>
      <x:c r="M34" s="265"/>
      <x:c r="N34" s="263" t="b">
        <x:f aca="0">IF($AB34,TRUE(),FALSE())</x:f>
        <x:v>0</x:v>
      </x:c>
      <x:c r="O34" s="264" t="n">
        <x:v>0.00011574074074074075</x:v>
      </x:c>
      <x:c r="P34" s="264" t="n">
        <x:v>0.00011574074074074075</x:v>
      </x:c>
      <x:c r="Q34" s="265"/>
      <x:c r="R34" s="265"/>
      <x:c r="S34" s="265"/>
      <x:c r="T34" s="263" t="b">
        <x:f aca="0">IF($AB34,TRUE(),FALSE())</x:f>
        <x:v>0</x:v>
      </x:c>
      <x:c r="U34" s="264" t="n">
        <x:v>0.00011574074074074075</x:v>
      </x:c>
      <x:c r="V34" s="265"/>
      <x:c r="W34" s="265"/>
      <x:c r="X34" s="265"/>
      <x:c r="Y34" s="265"/>
      <x:c r="Z34" s="263" t="b">
        <x:f>IF($AB34,TRUE(),FALSE())</x:f>
        <x:v>0</x:v>
      </x:c>
      <x:c r="AA34" s="267"/>
      <x:c r="AB34" s="266" t="b">
        <x:v>0</x:v>
      </x:c>
      <x:c r="AC34" s="268"/>
      <x:c r="AD34" s="288"/>
      <x:c r="AE34" s="288"/>
      <x:c r="AF34" s="288"/>
      <x:c r="AG34" s="409" t="n">
        <x:f>Scoring!P114</x:f>
        <x:v>1</x:v>
      </x:c>
      <x:c r="AH34" s="330"/>
      <x:c r="AI34"/>
      <x:c r="AJ34"/>
      <x:c r="AK34"/>
      <x:c r="AL34"/>
    </x:row>
    <x:row r="35" ht="88" hidden="0" customHeight="1">
      <x:c r="A35" s="228" t="n">
        <x:f aca="0">Strategy!$E$3+56</x:f>
        <x:v>46377.5</x:v>
      </x:c>
      <x:c r="B35" s="229" t="s">
        <x:v>53</x:v>
      </x:c>
      <x:c r="C35" s="289" t="str">
        <x:f aca="0"/>
        <x:v>35 min strength and skills
A) Pull-up: 3 x 3
B) Dip: 3 x 5
C) Unassisted pistol: 3 x 1/leg
Cal-Intervals: 5 rounds</x:v>
      </x:c>
      <x:c r="D35" s="229" t="str">
        <x:v>Skill A (weighted)</x:v>
      </x:c>
      <x:c r="E35" s="229" t="n">
        <x:v>65</x:v>
      </x:c>
      <x:c r="F35" s="256"/>
      <x:c r="G35" s="256" t="s">
        <x:v>117</x:v>
      </x:c>
      <x:c r="H35" s="258" t="b">
        <x:f aca="0">IF($AB35,TRUE(),FALSE())</x:f>
        <x:v>0</x:v>
      </x:c>
      <x:c r="I35" s="259" t="n">
        <x:v>1</x:v>
      </x:c>
      <x:c r="J35" s="259" t="n">
        <x:v>1</x:v>
      </x:c>
      <x:c r="K35" s="259" t="n">
        <x:v>1</x:v>
      </x:c>
      <x:c r="L35" s="260"/>
      <x:c r="M35" s="260"/>
      <x:c r="N35" s="258" t="b">
        <x:f aca="0">IF($AB35,TRUE(),FALSE())</x:f>
        <x:v>0</x:v>
      </x:c>
      <x:c r="O35" s="259" t="n">
        <x:v>2</x:v>
      </x:c>
      <x:c r="P35" s="259" t="n">
        <x:v>2</x:v>
      </x:c>
      <x:c r="Q35" s="260"/>
      <x:c r="R35" s="260"/>
      <x:c r="S35" s="260"/>
      <x:c r="T35" s="258" t="b">
        <x:f aca="0">IF($AB35,TRUE(),FALSE())</x:f>
        <x:v>0</x:v>
      </x:c>
      <x:c r="U35" s="259" t="n">
        <x:v>1</x:v>
      </x:c>
      <x:c r="V35" s="259" t="n">
        <x:v>1</x:v>
      </x:c>
      <x:c r="W35" s="259" t="n">
        <x:v>1</x:v>
      </x:c>
      <x:c r="X35" s="260"/>
      <x:c r="Y35" s="260"/>
      <x:c r="Z35" s="258" t="b">
        <x:f>IF($AB35,TRUE(),FALSE())</x:f>
        <x:v>0</x:v>
      </x:c>
      <x:c r="AA35" s="259" t="n">
        <x:v>5</x:v>
      </x:c>
      <x:c r="AB35" s="382" t="b">
        <x:v>0</x:v>
      </x:c>
      <x:c r="AC35" s="262" t="str">
        <x:v>6 kg vest for A + B together; remove before Cal-Intervals. Best single sets at 10 kg: 5 pull-ups / 8 dips.</x:v>
      </x:c>
      <x:c r="AD35" s="287"/>
      <x:c r="AE35" s="287"/>
      <x:c r="AF35" s="287"/>
      <x:c r="AG35" s="329" t="n">
        <x:f>Scoring!P117</x:f>
        <x:v>5</x:v>
      </x:c>
      <x:c r="AH35" s="328"/>
      <x:c r="AI35"/>
      <x:c r="AJ35"/>
      <x:c r="AK35"/>
      <x:c r="AL35"/>
    </x:row>
    <x:row r="36" ht="88" hidden="0" customHeight="1">
      <x:c r="A36" s="223" t="n">
        <x:f aca="0">Strategy!$E$3+57</x:f>
        <x:v>46378.5</x:v>
      </x:c>
      <x:c r="B36" s="224" t="s">
        <x:v>59</x:v>
      </x:c>
      <x:c r="C36" s="224" t="s">
        <x:v>118</x:v>
      </x:c>
      <x:c r="D36" s="224" t="s">
        <x:v>119</x:v>
      </x:c>
      <x:c r="E36" s="224" t="n">
        <x:v>10</x:v>
      </x:c>
      <x:c r="F36" s="257"/>
      <x:c r="G36" s="257" t="s">
        <x:v>117</x:v>
      </x:c>
      <x:c r="H36" s="263" t="b">
        <x:f aca="0">IF($AB36,TRUE(),FALSE())</x:f>
        <x:v>0</x:v>
      </x:c>
      <x:c r="I36" s="264" t="n">
        <x:v>0.001388888888888889</x:v>
      </x:c>
      <x:c r="J36" s="265"/>
      <x:c r="K36" s="265"/>
      <x:c r="L36" s="265"/>
      <x:c r="M36" s="265"/>
      <x:c r="N36" s="263" t="b">
        <x:f aca="0">IF($AB36,TRUE(),FALSE())</x:f>
        <x:v>0</x:v>
      </x:c>
      <x:c r="O36" s="264" t="n">
        <x:v>0.00017361111111111112</x:v>
      </x:c>
      <x:c r="P36" s="264" t="n">
        <x:v>0.00017361111111111112</x:v>
      </x:c>
      <x:c r="Q36" s="264" t="n">
        <x:v>0.00017361111111111112</x:v>
      </x:c>
      <x:c r="R36" s="265"/>
      <x:c r="S36" s="265"/>
      <x:c r="T36" s="263" t="b">
        <x:f aca="0">IF($AB36,TRUE(),FALSE())</x:f>
        <x:v>0</x:v>
      </x:c>
      <x:c r="U36" s="264" t="n">
        <x:v>0.00017361111111111112</x:v>
      </x:c>
      <x:c r="V36" s="264" t="n">
        <x:v>0.00017361111111111112</x:v>
      </x:c>
      <x:c r="W36" s="265"/>
      <x:c r="X36" s="265"/>
      <x:c r="Y36" s="265"/>
      <x:c r="Z36" s="263" t="b">
        <x:f>IF($AB36,TRUE(),FALSE())</x:f>
        <x:v>0</x:v>
      </x:c>
      <x:c r="AA36" s="267"/>
      <x:c r="AB36" s="266" t="b">
        <x:v>0</x:v>
      </x:c>
      <x:c r="AC36" s="268"/>
      <x:c r="AD36" s="288"/>
      <x:c r="AE36" s="288"/>
      <x:c r="AF36" s="288"/>
      <x:c r="AG36" s="409" t="n">
        <x:f>Scoring!P121</x:f>
        <x:v>1</x:v>
      </x:c>
      <x:c r="AH36" s="330"/>
      <x:c r="AI36"/>
      <x:c r="AJ36"/>
      <x:c r="AK36"/>
      <x:c r="AL36"/>
    </x:row>
    <x:row r="37" ht="88" hidden="0" customHeight="1">
      <x:c r="A37" s="228" t="n">
        <x:f aca="0">Strategy!$E$3+59</x:f>
        <x:v>46380.5</x:v>
      </x:c>
      <x:c r="B37" s="229" t="s">
        <x:v>56</x:v>
      </x:c>
      <x:c r="C37" s="289" t="str">
        <x:f aca="0">SUBSTITUTE(SUBSTITUTE(SUBSTITUTE("35 min skills"&amp;CHAR(10)&amp;Strategy!I29,", B)",CHAR(10)&amp;"B)"),", C)",CHAR(10)&amp;"C)"),", Core:",CHAR(10)&amp;"Core:")</x:f>
        <x:v>35 min skills
A) Full-ROM wall HSPU negative: 3 x 1
B) Partial wall HSPU: 3 x 3
C) Unassisted pistol: 3 x 1/leg, Cal-Intervals: 5 rounds</x:v>
      </x:c>
      <x:c r="D37" s="229" t="str">
        <x:v>Skill B + Cal-Intervals</x:v>
      </x:c>
      <x:c r="E37" s="229" t="n">
        <x:v>65</x:v>
      </x:c>
      <x:c r="F37" s="256"/>
      <x:c r="G37" s="256" t="s">
        <x:v>117</x:v>
      </x:c>
      <x:c r="H37" s="258" t="b">
        <x:f aca="0">IF($AB37,TRUE(),FALSE())</x:f>
        <x:v>0</x:v>
      </x:c>
      <x:c r="I37" s="259" t="n">
        <x:v>1</x:v>
      </x:c>
      <x:c r="J37" s="259" t="n">
        <x:v>1</x:v>
      </x:c>
      <x:c r="K37" s="259" t="n">
        <x:v>1</x:v>
      </x:c>
      <x:c r="L37" s="260"/>
      <x:c r="M37" s="260"/>
      <x:c r="N37" s="258" t="b">
        <x:f aca="0">IF($AB37,TRUE(),FALSE())</x:f>
        <x:v>0</x:v>
      </x:c>
      <x:c r="O37" s="259" t="n">
        <x:v>3</x:v>
      </x:c>
      <x:c r="P37" s="259" t="n">
        <x:v>3</x:v>
      </x:c>
      <x:c r="Q37" s="259" t="n">
        <x:v>3</x:v>
      </x:c>
      <x:c r="R37" s="260"/>
      <x:c r="S37" s="260"/>
      <x:c r="T37" s="258" t="b">
        <x:f aca="0">IF($AB37,TRUE(),FALSE())</x:f>
        <x:v>0</x:v>
      </x:c>
      <x:c r="U37" s="259" t="n">
        <x:v>1</x:v>
      </x:c>
      <x:c r="V37" s="259" t="n">
        <x:v>1</x:v>
      </x:c>
      <x:c r="W37" s="259" t="n">
        <x:v>1</x:v>
      </x:c>
      <x:c r="X37" s="260"/>
      <x:c r="Y37" s="260"/>
      <x:c r="Z37" s="258" t="b">
        <x:f>IF($AB37,TRUE(),FALSE())</x:f>
        <x:v>0</x:v>
      </x:c>
      <x:c r="AA37" s="259" t="n">
        <x:v>5</x:v>
      </x:c>
      <x:c r="AB37" s="382" t="b">
        <x:v>0</x:v>
      </x:c>
      <x:c r="AC37" s="262"/>
      <x:c r="AD37" s="287"/>
      <x:c r="AE37" s="287"/>
      <x:c r="AF37" s="287"/>
      <x:c r="AG37" s="329" t="n">
        <x:f>Scoring!P124</x:f>
        <x:v>4.9</x:v>
      </x:c>
      <x:c r="AH37" s="328"/>
      <x:c r="AI37"/>
      <x:c r="AJ37"/>
      <x:c r="AK37"/>
      <x:c r="AL37"/>
    </x:row>
    <x:row r="38" ht="88" hidden="0" customHeight="1">
      <x:c r="A38" s="223" t="n">
        <x:f aca="0">Strategy!$E$3+61</x:f>
        <x:v>46382.5</x:v>
      </x:c>
      <x:c r="B38" s="224" t="s">
        <x:v>59</x:v>
      </x:c>
      <x:c r="C38" s="224" t="s">
        <x:v>120</x:v>
      </x:c>
      <x:c r="D38" s="224" t="s">
        <x:v>121</x:v>
      </x:c>
      <x:c r="E38" s="224" t="n">
        <x:v>20</x:v>
      </x:c>
      <x:c r="F38" s="257"/>
      <x:c r="G38" s="257" t="s">
        <x:v>117</x:v>
      </x:c>
      <x:c r="H38" s="263" t="b">
        <x:f aca="0">IF($AB38,TRUE(),FALSE())</x:f>
        <x:v>0</x:v>
      </x:c>
      <x:c r="I38" s="264" t="n">
        <x:v>0.001388888888888889</x:v>
      </x:c>
      <x:c r="J38" s="265"/>
      <x:c r="K38" s="265"/>
      <x:c r="L38" s="265"/>
      <x:c r="M38" s="265"/>
      <x:c r="N38" s="263" t="b">
        <x:f aca="0">IF($AB38,TRUE(),FALSE())</x:f>
        <x:v>0</x:v>
      </x:c>
      <x:c r="O38" s="264" t="n">
        <x:v>0.00017361111111111112</x:v>
      </x:c>
      <x:c r="P38" s="264" t="n">
        <x:v>0.00017361111111111112</x:v>
      </x:c>
      <x:c r="Q38" s="264" t="n">
        <x:v>0.00017361111111111112</x:v>
      </x:c>
      <x:c r="R38" s="265"/>
      <x:c r="S38" s="265"/>
      <x:c r="T38" s="263" t="b">
        <x:f aca="0">IF($AB38,TRUE(),FALSE())</x:f>
        <x:v>0</x:v>
      </x:c>
      <x:c r="U38" s="264" t="n">
        <x:v>0.00017361111111111112</x:v>
      </x:c>
      <x:c r="V38" s="264" t="n">
        <x:v>0.00017361111111111112</x:v>
      </x:c>
      <x:c r="W38" s="264" t="n">
        <x:v>0.00017361111111111112</x:v>
      </x:c>
      <x:c r="X38" s="265"/>
      <x:c r="Y38" s="265"/>
      <x:c r="Z38" s="263" t="b">
        <x:f>IF($AB38,TRUE(),FALSE())</x:f>
        <x:v>0</x:v>
      </x:c>
      <x:c r="AA38" s="267"/>
      <x:c r="AB38" s="266" t="b">
        <x:v>0</x:v>
      </x:c>
      <x:c r="AC38" s="268"/>
      <x:c r="AD38" s="288"/>
      <x:c r="AE38" s="288"/>
      <x:c r="AF38" s="288"/>
      <x:c r="AG38" s="409" t="n">
        <x:f>Scoring!P128</x:f>
        <x:v>1</x:v>
      </x:c>
      <x:c r="AH38" s="330"/>
      <x:c r="AI38"/>
      <x:c r="AJ38"/>
      <x:c r="AK38"/>
      <x:c r="AL38"/>
    </x:row>
    <x:row r="39" ht="88" hidden="0" customHeight="1">
      <x:c r="A39" s="228" t="n">
        <x:f aca="0">Strategy!$E$3+63</x:f>
        <x:v>46384.5</x:v>
      </x:c>
      <x:c r="B39" s="229" t="s">
        <x:v>53</x:v>
      </x:c>
      <x:c r="C39" s="289" t="str">
        <x:f aca="0">SUBSTITUTE(SUBSTITUTE(SUBSTITUTE("35 min skills"&amp;CHAR(10)&amp;Strategy!H30,", B)",CHAR(10)&amp;"B)"),", C)",CHAR(10)&amp;"C)"),", Core:",CHAR(10)&amp;"Core:")</x:f>
        <x:v>35 min skills
A) Quality muscle-up attempts: 3-5 singles
B) Band-assisted muscle-up: 2 x 2
C) Pistol clusters: 3 x (1+1)/leg (20 sec between reps), Cal-Intervals: 5 rounds</x:v>
      </x:c>
      <x:c r="D39" s="229" t="str">
        <x:v>Skill A + Cal-Intervals</x:v>
      </x:c>
      <x:c r="E39" s="229" t="n">
        <x:v>65</x:v>
      </x:c>
      <x:c r="F39" s="256"/>
      <x:c r="G39" s="256" t="s">
        <x:v>117</x:v>
      </x:c>
      <x:c r="H39" s="258" t="b">
        <x:f aca="0">IF($AB39,TRUE(),FALSE())</x:f>
        <x:v>0</x:v>
      </x:c>
      <x:c r="I39" s="259" t="n">
        <x:v>1</x:v>
      </x:c>
      <x:c r="J39" s="259" t="n">
        <x:v>1</x:v>
      </x:c>
      <x:c r="K39" s="259" t="n">
        <x:v>1</x:v>
      </x:c>
      <x:c r="L39" s="260"/>
      <x:c r="M39" s="260"/>
      <x:c r="N39" s="258" t="b">
        <x:f aca="0">IF($AB39,TRUE(),FALSE())</x:f>
        <x:v>0</x:v>
      </x:c>
      <x:c r="O39" s="259" t="n">
        <x:v>2</x:v>
      </x:c>
      <x:c r="P39" s="259" t="n">
        <x:v>2</x:v>
      </x:c>
      <x:c r="Q39" s="260"/>
      <x:c r="R39" s="260"/>
      <x:c r="S39" s="260"/>
      <x:c r="T39" s="258" t="b">
        <x:f aca="0">IF($AB39,TRUE(),FALSE())</x:f>
        <x:v>0</x:v>
      </x:c>
      <x:c r="U39" s="259" t="n">
        <x:v>2</x:v>
      </x:c>
      <x:c r="V39" s="259" t="n">
        <x:v>2</x:v>
      </x:c>
      <x:c r="W39" s="259" t="n">
        <x:v>2</x:v>
      </x:c>
      <x:c r="X39" s="260"/>
      <x:c r="Y39" s="260"/>
      <x:c r="Z39" s="258" t="b">
        <x:f>IF($AB39,TRUE(),FALSE())</x:f>
        <x:v>0</x:v>
      </x:c>
      <x:c r="AA39" s="259" t="n">
        <x:v>5</x:v>
      </x:c>
      <x:c r="AB39" s="382" t="b">
        <x:v>0</x:v>
      </x:c>
      <x:c r="AC39" s="262"/>
      <x:c r="AD39" s="287"/>
      <x:c r="AE39" s="287"/>
      <x:c r="AF39" s="287"/>
      <x:c r="AG39" s="329" t="n">
        <x:f>Scoring!P131</x:f>
        <x:v>5.2</x:v>
      </x:c>
      <x:c r="AH39" s="328"/>
      <x:c r="AI39"/>
      <x:c r="AJ39"/>
      <x:c r="AK39"/>
      <x:c r="AL39"/>
    </x:row>
    <x:row r="40" ht="88" hidden="0" customHeight="1">
      <x:c r="A40" s="223" t="n">
        <x:f aca="0">Strategy!$E$3+64</x:f>
        <x:v>46385.5</x:v>
      </x:c>
      <x:c r="B40" s="224" t="s">
        <x:v>59</x:v>
      </x:c>
      <x:c r="C40" s="224" t="s">
        <x:v>118</x:v>
      </x:c>
      <x:c r="D40" s="224" t="s">
        <x:v>119</x:v>
      </x:c>
      <x:c r="E40" s="224" t="n">
        <x:v>10</x:v>
      </x:c>
      <x:c r="F40" s="257"/>
      <x:c r="G40" s="257" t="s">
        <x:v>117</x:v>
      </x:c>
      <x:c r="H40" s="263" t="b">
        <x:f aca="0">IF($AB40,TRUE(),FALSE())</x:f>
        <x:v>0</x:v>
      </x:c>
      <x:c r="I40" s="264" t="n">
        <x:v>0.001388888888888889</x:v>
      </x:c>
      <x:c r="J40" s="265"/>
      <x:c r="K40" s="265"/>
      <x:c r="L40" s="265"/>
      <x:c r="M40" s="265"/>
      <x:c r="N40" s="263" t="b">
        <x:f aca="0">IF($AB40,TRUE(),FALSE())</x:f>
        <x:v>0</x:v>
      </x:c>
      <x:c r="O40" s="264" t="n">
        <x:v>0.00017361111111111112</x:v>
      </x:c>
      <x:c r="P40" s="264" t="n">
        <x:v>0.00017361111111111112</x:v>
      </x:c>
      <x:c r="Q40" s="264" t="n">
        <x:v>0.00017361111111111112</x:v>
      </x:c>
      <x:c r="R40" s="265"/>
      <x:c r="S40" s="265"/>
      <x:c r="T40" s="263" t="b">
        <x:f aca="0">IF($AB40,TRUE(),FALSE())</x:f>
        <x:v>0</x:v>
      </x:c>
      <x:c r="U40" s="264" t="n">
        <x:v>0.00017361111111111112</x:v>
      </x:c>
      <x:c r="V40" s="264" t="n">
        <x:v>0.00017361111111111112</x:v>
      </x:c>
      <x:c r="W40" s="265"/>
      <x:c r="X40" s="265"/>
      <x:c r="Y40" s="265"/>
      <x:c r="Z40" s="263" t="b">
        <x:f>IF($AB40,TRUE(),FALSE())</x:f>
        <x:v>0</x:v>
      </x:c>
      <x:c r="AA40" s="267"/>
      <x:c r="AB40" s="266" t="b">
        <x:v>0</x:v>
      </x:c>
      <x:c r="AC40" s="268"/>
      <x:c r="AD40" s="288"/>
      <x:c r="AE40" s="288"/>
      <x:c r="AF40" s="288"/>
      <x:c r="AG40" s="409" t="n">
        <x:f>Scoring!P135</x:f>
        <x:v>1</x:v>
      </x:c>
      <x:c r="AH40" s="330"/>
      <x:c r="AI40"/>
      <x:c r="AJ40"/>
      <x:c r="AK40"/>
      <x:c r="AL40"/>
    </x:row>
    <x:row r="41" ht="88" hidden="0" customHeight="1">
      <x:c r="A41" s="228" t="n">
        <x:f aca="0">Strategy!$E$3+66</x:f>
        <x:v>46387.5</x:v>
      </x:c>
      <x:c r="B41" s="229" t="s">
        <x:v>56</x:v>
      </x:c>
      <x:c r="C41" s="289" t="str">
        <x:f aca="0">SUBSTITUTE(SUBSTITUTE(SUBSTITUTE("35 min skills"&amp;CHAR(10)&amp;Strategy!I30,", B)",CHAR(10)&amp;"B)"),", C)",CHAR(10)&amp;"C)"),", Core:",CHAR(10)&amp;"Core:")</x:f>
        <x:v>35 min skills
A) Wall HSPU clusters: 3 x (1+1) (20 sec between reps)
B) Easy wall handstand: 2 x 20 sec
C) Pistol clusters: 3 x (1+1)/leg (20 sec between reps), Cal-Intervals: 5 rounds</x:v>
      </x:c>
      <x:c r="D41" s="229" t="str">
        <x:v>Skill B + Cal-Intervals</x:v>
      </x:c>
      <x:c r="E41" s="229" t="n">
        <x:v>65</x:v>
      </x:c>
      <x:c r="F41" s="256"/>
      <x:c r="G41" s="256" t="s">
        <x:v>117</x:v>
      </x:c>
      <x:c r="H41" s="258" t="b">
        <x:f aca="0">IF($AB41,TRUE(),FALSE())</x:f>
        <x:v>0</x:v>
      </x:c>
      <x:c r="I41" s="259" t="n">
        <x:v>2</x:v>
      </x:c>
      <x:c r="J41" s="259" t="n">
        <x:v>2</x:v>
      </x:c>
      <x:c r="K41" s="259" t="n">
        <x:v>2</x:v>
      </x:c>
      <x:c r="L41" s="260"/>
      <x:c r="M41" s="260"/>
      <x:c r="N41" s="258" t="b">
        <x:f aca="0">IF($AB41,TRUE(),FALSE())</x:f>
        <x:v>0</x:v>
      </x:c>
      <x:c r="O41" s="269" t="n">
        <x:v>0.0002314814814814815</x:v>
      </x:c>
      <x:c r="P41" s="269" t="n">
        <x:v>0.0002314814814814815</x:v>
      </x:c>
      <x:c r="Q41" s="260"/>
      <x:c r="R41" s="260"/>
      <x:c r="S41" s="260"/>
      <x:c r="T41" s="258" t="b">
        <x:f aca="0">IF($AB41,TRUE(),FALSE())</x:f>
        <x:v>0</x:v>
      </x:c>
      <x:c r="U41" s="259" t="n">
        <x:v>2</x:v>
      </x:c>
      <x:c r="V41" s="259" t="n">
        <x:v>2</x:v>
      </x:c>
      <x:c r="W41" s="259" t="n">
        <x:v>2</x:v>
      </x:c>
      <x:c r="X41" s="260"/>
      <x:c r="Y41" s="260"/>
      <x:c r="Z41" s="258" t="b">
        <x:f>IF($AB41,TRUE(),FALSE())</x:f>
        <x:v>0</x:v>
      </x:c>
      <x:c r="AA41" s="259" t="n">
        <x:v>5</x:v>
      </x:c>
      <x:c r="AB41" s="382" t="b">
        <x:v>0</x:v>
      </x:c>
      <x:c r="AC41" s="262"/>
      <x:c r="AD41" s="287"/>
      <x:c r="AE41" s="287"/>
      <x:c r="AF41" s="287"/>
      <x:c r="AG41" s="329" t="n">
        <x:f>Scoring!P138</x:f>
        <x:v>5</x:v>
      </x:c>
      <x:c r="AH41" s="328"/>
      <x:c r="AI41"/>
      <x:c r="AJ41"/>
      <x:c r="AK41"/>
      <x:c r="AL41"/>
    </x:row>
    <x:row r="42" ht="88" hidden="0" customHeight="1">
      <x:c r="A42" s="223" t="n">
        <x:f aca="0">Strategy!$E$3+68</x:f>
        <x:v>46389.5</x:v>
      </x:c>
      <x:c r="B42" s="224" t="s">
        <x:v>59</x:v>
      </x:c>
      <x:c r="C42" s="224" t="s">
        <x:v>120</x:v>
      </x:c>
      <x:c r="D42" s="224" t="s">
        <x:v>121</x:v>
      </x:c>
      <x:c r="E42" s="224" t="n">
        <x:v>20</x:v>
      </x:c>
      <x:c r="F42" s="257"/>
      <x:c r="G42" s="257" t="s">
        <x:v>117</x:v>
      </x:c>
      <x:c r="H42" s="263" t="b">
        <x:f aca="0">IF($AB42,TRUE(),FALSE())</x:f>
        <x:v>0</x:v>
      </x:c>
      <x:c r="I42" s="264" t="n">
        <x:v>0.001388888888888889</x:v>
      </x:c>
      <x:c r="J42" s="265"/>
      <x:c r="K42" s="265"/>
      <x:c r="L42" s="265"/>
      <x:c r="M42" s="265"/>
      <x:c r="N42" s="263" t="b">
        <x:f aca="0">IF($AB42,TRUE(),FALSE())</x:f>
        <x:v>0</x:v>
      </x:c>
      <x:c r="O42" s="264" t="n">
        <x:v>0.00017361111111111112</x:v>
      </x:c>
      <x:c r="P42" s="264" t="n">
        <x:v>0.00017361111111111112</x:v>
      </x:c>
      <x:c r="Q42" s="264" t="n">
        <x:v>0.00017361111111111112</x:v>
      </x:c>
      <x:c r="R42" s="265"/>
      <x:c r="S42" s="265"/>
      <x:c r="T42" s="263" t="b">
        <x:f aca="0">IF($AB42,TRUE(),FALSE())</x:f>
        <x:v>0</x:v>
      </x:c>
      <x:c r="U42" s="264" t="n">
        <x:v>0.00017361111111111112</x:v>
      </x:c>
      <x:c r="V42" s="264" t="n">
        <x:v>0.00017361111111111112</x:v>
      </x:c>
      <x:c r="W42" s="264" t="n">
        <x:v>0.00017361111111111112</x:v>
      </x:c>
      <x:c r="X42" s="265"/>
      <x:c r="Y42" s="265"/>
      <x:c r="Z42" s="263" t="b">
        <x:f>IF($AB42,TRUE(),FALSE())</x:f>
        <x:v>0</x:v>
      </x:c>
      <x:c r="AA42" s="267"/>
      <x:c r="AB42" s="266" t="b">
        <x:v>0</x:v>
      </x:c>
      <x:c r="AC42" s="268"/>
      <x:c r="AD42" s="288"/>
      <x:c r="AE42" s="288"/>
      <x:c r="AF42" s="288"/>
      <x:c r="AG42" s="409" t="n">
        <x:f>Scoring!P142</x:f>
        <x:v>1</x:v>
      </x:c>
      <x:c r="AH42" s="330"/>
      <x:c r="AI42"/>
      <x:c r="AJ42"/>
      <x:c r="AK42"/>
      <x:c r="AL42"/>
    </x:row>
    <x:row r="43" ht="88" hidden="0" customHeight="1">
      <x:c r="A43" s="228" t="n">
        <x:f aca="0">Strategy!$E$3+70</x:f>
        <x:v>46391.5</x:v>
      </x:c>
      <x:c r="B43" s="229" t="s">
        <x:v>53</x:v>
      </x:c>
      <x:c r="C43" s="289" t="str">
        <x:f aca="0">SUBSTITUTE(SUBSTITUTE(SUBSTITUTE("35 min skills"&amp;CHAR(10)&amp;Strategy!H31,", B)",CHAR(10)&amp;"B)"),", C)",CHAR(10)&amp;"C)"),", Core:",CHAR(10)&amp;"Core:")</x:f>
        <x:v>35 min skills
A) Quality muscle-up attempts: 3 singles
B) Crisp high pull: 3 x 2
C) Clean pistol: 3 x 2/leg, Cal-Intervals: 5 rounds</x:v>
      </x:c>
      <x:c r="D43" s="229" t="str">
        <x:v>Skill A + Cal-Intervals</x:v>
      </x:c>
      <x:c r="E43" s="229" t="n">
        <x:v>65</x:v>
      </x:c>
      <x:c r="F43" s="256"/>
      <x:c r="G43" s="256" t="s">
        <x:v>117</x:v>
      </x:c>
      <x:c r="H43" s="258" t="b">
        <x:f aca="0">IF($AB43,TRUE(),FALSE())</x:f>
        <x:v>0</x:v>
      </x:c>
      <x:c r="I43" s="259" t="n">
        <x:v>1</x:v>
      </x:c>
      <x:c r="J43" s="259" t="n">
        <x:v>1</x:v>
      </x:c>
      <x:c r="K43" s="259" t="n">
        <x:v>1</x:v>
      </x:c>
      <x:c r="L43" s="260"/>
      <x:c r="M43" s="260"/>
      <x:c r="N43" s="258" t="b">
        <x:f aca="0">IF($AB43,TRUE(),FALSE())</x:f>
        <x:v>0</x:v>
      </x:c>
      <x:c r="O43" s="259" t="n">
        <x:v>2</x:v>
      </x:c>
      <x:c r="P43" s="259" t="n">
        <x:v>2</x:v>
      </x:c>
      <x:c r="Q43" s="259" t="n">
        <x:v>2</x:v>
      </x:c>
      <x:c r="R43" s="260"/>
      <x:c r="S43" s="260"/>
      <x:c r="T43" s="258" t="b">
        <x:f aca="0">IF($AB43,TRUE(),FALSE())</x:f>
        <x:v>0</x:v>
      </x:c>
      <x:c r="U43" s="259" t="n">
        <x:v>2</x:v>
      </x:c>
      <x:c r="V43" s="259" t="n">
        <x:v>2</x:v>
      </x:c>
      <x:c r="W43" s="259" t="n">
        <x:v>2</x:v>
      </x:c>
      <x:c r="X43" s="260"/>
      <x:c r="Y43" s="260"/>
      <x:c r="Z43" s="258" t="b">
        <x:f>IF($AB43,TRUE(),FALSE())</x:f>
        <x:v>0</x:v>
      </x:c>
      <x:c r="AA43" s="259" t="n">
        <x:v>5</x:v>
      </x:c>
      <x:c r="AB43" s="382" t="b">
        <x:v>0</x:v>
      </x:c>
      <x:c r="AC43" s="262"/>
      <x:c r="AD43" s="287"/>
      <x:c r="AE43" s="287"/>
      <x:c r="AF43" s="287"/>
      <x:c r="AG43" s="329" t="n">
        <x:f>Scoring!P145</x:f>
        <x:v>5.2</x:v>
      </x:c>
      <x:c r="AH43" s="328"/>
      <x:c r="AI43"/>
      <x:c r="AJ43"/>
      <x:c r="AK43"/>
      <x:c r="AL43"/>
    </x:row>
    <x:row r="44" ht="88" hidden="0" customHeight="1">
      <x:c r="A44" s="223" t="n">
        <x:f aca="0">Strategy!$E$3+71</x:f>
        <x:v>46392.5</x:v>
      </x:c>
      <x:c r="B44" s="224" t="s">
        <x:v>59</x:v>
      </x:c>
      <x:c r="C44" s="224" t="s">
        <x:v>118</x:v>
      </x:c>
      <x:c r="D44" s="224" t="s">
        <x:v>119</x:v>
      </x:c>
      <x:c r="E44" s="224" t="n">
        <x:v>10</x:v>
      </x:c>
      <x:c r="F44" s="257"/>
      <x:c r="G44" s="257" t="s">
        <x:v>117</x:v>
      </x:c>
      <x:c r="H44" s="263" t="b">
        <x:f aca="0">IF($AB44,TRUE(),FALSE())</x:f>
        <x:v>0</x:v>
      </x:c>
      <x:c r="I44" s="264" t="n">
        <x:v>0.001388888888888889</x:v>
      </x:c>
      <x:c r="J44" s="265"/>
      <x:c r="K44" s="265"/>
      <x:c r="L44" s="265"/>
      <x:c r="M44" s="265"/>
      <x:c r="N44" s="263" t="b">
        <x:f aca="0">IF($AB44,TRUE(),FALSE())</x:f>
        <x:v>0</x:v>
      </x:c>
      <x:c r="O44" s="264" t="n">
        <x:v>0.00017361111111111112</x:v>
      </x:c>
      <x:c r="P44" s="264" t="n">
        <x:v>0.00017361111111111112</x:v>
      </x:c>
      <x:c r="Q44" s="264" t="n">
        <x:v>0.00017361111111111112</x:v>
      </x:c>
      <x:c r="R44" s="265"/>
      <x:c r="S44" s="265"/>
      <x:c r="T44" s="263" t="b">
        <x:f aca="0">IF($AB44,TRUE(),FALSE())</x:f>
        <x:v>0</x:v>
      </x:c>
      <x:c r="U44" s="264" t="n">
        <x:v>0.00017361111111111112</x:v>
      </x:c>
      <x:c r="V44" s="264" t="n">
        <x:v>0.00017361111111111112</x:v>
      </x:c>
      <x:c r="W44" s="265"/>
      <x:c r="X44" s="265"/>
      <x:c r="Y44" s="265"/>
      <x:c r="Z44" s="263" t="b">
        <x:f>IF($AB44,TRUE(),FALSE())</x:f>
        <x:v>0</x:v>
      </x:c>
      <x:c r="AA44" s="267"/>
      <x:c r="AB44" s="266" t="b">
        <x:v>0</x:v>
      </x:c>
      <x:c r="AC44" s="268"/>
      <x:c r="AD44" s="288"/>
      <x:c r="AE44" s="288"/>
      <x:c r="AF44" s="288"/>
      <x:c r="AG44" s="409" t="n">
        <x:f>Scoring!P149</x:f>
        <x:v>1</x:v>
      </x:c>
      <x:c r="AH44" s="330"/>
      <x:c r="AI44"/>
      <x:c r="AJ44"/>
      <x:c r="AK44"/>
      <x:c r="AL44"/>
    </x:row>
    <x:row r="45" ht="88" hidden="0" customHeight="1">
      <x:c r="A45" s="228" t="n">
        <x:f aca="0">Strategy!$E$3+73</x:f>
        <x:v>46394.5</x:v>
      </x:c>
      <x:c r="B45" s="229" t="s">
        <x:v>56</x:v>
      </x:c>
      <x:c r="C45" s="289" t="str">
        <x:f aca="0">SUBSTITUTE(SUBSTITUTE(SUBSTITUTE("35 min skills"&amp;CHAR(10)&amp;Strategy!I31,", B)",CHAR(10)&amp;"B)"),", C)",CHAR(10)&amp;"C)"),", Core:",CHAR(10)&amp;"Core:")</x:f>
        <x:v>35 min skills
A) Full-ROM wall HSPU: 3 single attempts
B) Pike push-up back-off: 2 x 4
C) Clean pistol: 3 x 2/leg, Cal-Intervals: 5 rounds</x:v>
      </x:c>
      <x:c r="D45" s="229" t="str">
        <x:v>Skill B + Cal-Intervals</x:v>
      </x:c>
      <x:c r="E45" s="229" t="n">
        <x:v>65</x:v>
      </x:c>
      <x:c r="F45" s="256"/>
      <x:c r="G45" s="256" t="s">
        <x:v>117</x:v>
      </x:c>
      <x:c r="H45" s="258" t="b">
        <x:f aca="0">IF($AB45,TRUE(),FALSE())</x:f>
        <x:v>0</x:v>
      </x:c>
      <x:c r="I45" s="259" t="n">
        <x:v>1</x:v>
      </x:c>
      <x:c r="J45" s="259" t="n">
        <x:v>1</x:v>
      </x:c>
      <x:c r="K45" s="259" t="n">
        <x:v>1</x:v>
      </x:c>
      <x:c r="L45" s="260"/>
      <x:c r="M45" s="260"/>
      <x:c r="N45" s="258" t="b">
        <x:f aca="0">IF($AB45,TRUE(),FALSE())</x:f>
        <x:v>0</x:v>
      </x:c>
      <x:c r="O45" s="259" t="n">
        <x:v>4</x:v>
      </x:c>
      <x:c r="P45" s="259" t="n">
        <x:v>4</x:v>
      </x:c>
      <x:c r="Q45" s="260"/>
      <x:c r="R45" s="260"/>
      <x:c r="S45" s="260"/>
      <x:c r="T45" s="258" t="b">
        <x:f aca="0">IF($AB45,TRUE(),FALSE())</x:f>
        <x:v>0</x:v>
      </x:c>
      <x:c r="U45" s="259" t="n">
        <x:v>2</x:v>
      </x:c>
      <x:c r="V45" s="259" t="n">
        <x:v>2</x:v>
      </x:c>
      <x:c r="W45" s="259" t="n">
        <x:v>2</x:v>
      </x:c>
      <x:c r="X45" s="260"/>
      <x:c r="Y45" s="260"/>
      <x:c r="Z45" s="258" t="b">
        <x:f>IF($AB45,TRUE(),FALSE())</x:f>
        <x:v>0</x:v>
      </x:c>
      <x:c r="AA45" s="259" t="n">
        <x:v>5</x:v>
      </x:c>
      <x:c r="AB45" s="382" t="b">
        <x:v>0</x:v>
      </x:c>
      <x:c r="AC45" s="262"/>
      <x:c r="AD45" s="287"/>
      <x:c r="AE45" s="287"/>
      <x:c r="AF45" s="287"/>
      <x:c r="AG45" s="329" t="n">
        <x:f>Scoring!P152</x:f>
        <x:v>5.2</x:v>
      </x:c>
      <x:c r="AH45" s="328"/>
      <x:c r="AI45"/>
      <x:c r="AJ45"/>
      <x:c r="AK45"/>
      <x:c r="AL45"/>
    </x:row>
    <x:row r="46" ht="88" hidden="0" customHeight="1">
      <x:c r="A46" s="223" t="n">
        <x:f aca="0">Strategy!$E$3+75</x:f>
        <x:v>46396.5</x:v>
      </x:c>
      <x:c r="B46" s="224" t="s">
        <x:v>59</x:v>
      </x:c>
      <x:c r="C46" s="224" t="s">
        <x:v>120</x:v>
      </x:c>
      <x:c r="D46" s="224" t="s">
        <x:v>121</x:v>
      </x:c>
      <x:c r="E46" s="224" t="n">
        <x:v>20</x:v>
      </x:c>
      <x:c r="F46" s="257"/>
      <x:c r="G46" s="257" t="s">
        <x:v>117</x:v>
      </x:c>
      <x:c r="H46" s="263" t="b">
        <x:f aca="0">IF($AB46,TRUE(),FALSE())</x:f>
        <x:v>0</x:v>
      </x:c>
      <x:c r="I46" s="264" t="n">
        <x:v>0.001388888888888889</x:v>
      </x:c>
      <x:c r="J46" s="265"/>
      <x:c r="K46" s="265"/>
      <x:c r="L46" s="265"/>
      <x:c r="M46" s="265"/>
      <x:c r="N46" s="263" t="b">
        <x:f aca="0">IF($AB46,TRUE(),FALSE())</x:f>
        <x:v>0</x:v>
      </x:c>
      <x:c r="O46" s="264" t="n">
        <x:v>0.00017361111111111112</x:v>
      </x:c>
      <x:c r="P46" s="264" t="n">
        <x:v>0.00017361111111111112</x:v>
      </x:c>
      <x:c r="Q46" s="264" t="n">
        <x:v>0.00017361111111111112</x:v>
      </x:c>
      <x:c r="R46" s="265"/>
      <x:c r="S46" s="265"/>
      <x:c r="T46" s="263" t="b">
        <x:f aca="0">IF($AB46,TRUE(),FALSE())</x:f>
        <x:v>0</x:v>
      </x:c>
      <x:c r="U46" s="264" t="n">
        <x:v>0.00017361111111111112</x:v>
      </x:c>
      <x:c r="V46" s="264" t="n">
        <x:v>0.00017361111111111112</x:v>
      </x:c>
      <x:c r="W46" s="264" t="n">
        <x:v>0.00017361111111111112</x:v>
      </x:c>
      <x:c r="X46" s="265"/>
      <x:c r="Y46" s="265"/>
      <x:c r="Z46" s="263" t="b">
        <x:f>IF($AB46,TRUE(),FALSE())</x:f>
        <x:v>0</x:v>
      </x:c>
      <x:c r="AA46" s="267"/>
      <x:c r="AB46" s="266" t="b">
        <x:v>0</x:v>
      </x:c>
      <x:c r="AC46" s="268"/>
      <x:c r="AD46" s="288"/>
      <x:c r="AE46" s="288"/>
      <x:c r="AF46" s="288"/>
      <x:c r="AG46" s="409" t="n">
        <x:f>Scoring!P156</x:f>
        <x:v>1</x:v>
      </x:c>
      <x:c r="AH46" s="330"/>
      <x:c r="AI46"/>
      <x:c r="AJ46"/>
      <x:c r="AK46"/>
      <x:c r="AL46"/>
    </x:row>
    <x:row r="47" ht="88" hidden="0" customHeight="1">
      <x:c r="A47" s="228" t="n">
        <x:f aca="0">Strategy!$E$3+77</x:f>
        <x:v>46398.5</x:v>
      </x:c>
      <x:c r="B47" s="229" t="s">
        <x:v>53</x:v>
      </x:c>
      <x:c r="C47" s="289" t="str">
        <x:f aca="0">SUBSTITUTE(SUBSTITUTE(SUBSTITUTE("10 min skills"&amp;CHAR(10)&amp;Strategy!H32,", B)",CHAR(10)&amp;"B)"),", C)",CHAR(10)&amp;"C)"),", Core:",CHAR(10)&amp;"Core:")</x:f>
        <x:v>10 min skills
A) Muscle-up test: up to 3 rested singles
B) Pistol test: 1 clean set/leg (cap at 5)
C) Easy scapular pull-up: 1 x 5 if time remains, Cal-Intervals: 2 rounds</x:v>
      </x:c>
      <x:c r="D47" s="229" t="str">
        <x:v>Skill A + Cal-Intervals</x:v>
      </x:c>
      <x:c r="E47" s="229" t="n">
        <x:v>30</x:v>
      </x:c>
      <x:c r="F47" s="256"/>
      <x:c r="G47" s="256" t="s">
        <x:v>117</x:v>
      </x:c>
      <x:c r="H47" s="258" t="b">
        <x:f aca="0">IF($AB47,TRUE(),FALSE())</x:f>
        <x:v>0</x:v>
      </x:c>
      <x:c r="I47" s="259" t="n">
        <x:v>1</x:v>
      </x:c>
      <x:c r="J47" s="259" t="n">
        <x:v>1</x:v>
      </x:c>
      <x:c r="K47" s="259" t="n">
        <x:v>1</x:v>
      </x:c>
      <x:c r="L47" s="260"/>
      <x:c r="M47" s="260"/>
      <x:c r="N47" s="258" t="b">
        <x:f aca="0">IF($AB47,TRUE(),FALSE())</x:f>
        <x:v>0</x:v>
      </x:c>
      <x:c r="O47" s="259" t="n">
        <x:v>5</x:v>
      </x:c>
      <x:c r="P47" s="260"/>
      <x:c r="Q47" s="260"/>
      <x:c r="R47" s="260"/>
      <x:c r="S47" s="260"/>
      <x:c r="T47" s="258" t="b">
        <x:f aca="0">IF($AB47,TRUE(),FALSE())</x:f>
        <x:v>0</x:v>
      </x:c>
      <x:c r="U47" s="259" t="n">
        <x:v>5</x:v>
      </x:c>
      <x:c r="V47" s="260"/>
      <x:c r="W47" s="260"/>
      <x:c r="X47" s="260"/>
      <x:c r="Y47" s="260"/>
      <x:c r="Z47" s="258" t="b">
        <x:f>IF($AB47,TRUE(),FALSE())</x:f>
        <x:v>0</x:v>
      </x:c>
      <x:c r="AA47" s="259" t="n">
        <x:v>2</x:v>
      </x:c>
      <x:c r="AB47" s="382" t="b">
        <x:v>0</x:v>
      </x:c>
      <x:c r="AC47" s="262"/>
      <x:c r="AD47" s="287"/>
      <x:c r="AE47" s="287"/>
      <x:c r="AF47" s="287"/>
      <x:c r="AG47" s="329" t="n">
        <x:f>Scoring!P159</x:f>
        <x:v>5.2</x:v>
      </x:c>
      <x:c r="AH47" s="328"/>
      <x:c r="AI47"/>
      <x:c r="AJ47"/>
      <x:c r="AK47"/>
      <x:c r="AL47"/>
    </x:row>
    <x:row r="48" ht="88" hidden="0" customHeight="1">
      <x:c r="A48" s="223" t="n">
        <x:f aca="0">Strategy!$E$3+78</x:f>
        <x:v>46399.5</x:v>
      </x:c>
      <x:c r="B48" s="224" t="s">
        <x:v>59</x:v>
      </x:c>
      <x:c r="C48" s="224" t="s">
        <x:v>122</x:v>
      </x:c>
      <x:c r="D48" s="224" t="s">
        <x:v>119</x:v>
      </x:c>
      <x:c r="E48" s="224" t="n">
        <x:v>5</x:v>
      </x:c>
      <x:c r="F48" s="257"/>
      <x:c r="G48" s="257" t="s">
        <x:v>117</x:v>
      </x:c>
      <x:c r="H48" s="263" t="b">
        <x:f aca="0">IF($AB48,TRUE(),FALSE())</x:f>
        <x:v>0</x:v>
      </x:c>
      <x:c r="I48" s="264" t="n">
        <x:v>0.0006944444444444445</x:v>
      </x:c>
      <x:c r="J48" s="265"/>
      <x:c r="K48" s="265"/>
      <x:c r="L48" s="265"/>
      <x:c r="M48" s="265"/>
      <x:c r="N48" s="263" t="b">
        <x:f aca="0">IF($AB48,TRUE(),FALSE())</x:f>
        <x:v>0</x:v>
      </x:c>
      <x:c r="O48" s="264" t="n">
        <x:v>0.00011574074074074075</x:v>
      </x:c>
      <x:c r="P48" s="264" t="n">
        <x:v>0.00011574074074074075</x:v>
      </x:c>
      <x:c r="Q48" s="265"/>
      <x:c r="R48" s="265"/>
      <x:c r="S48" s="265"/>
      <x:c r="T48" s="263" t="b">
        <x:f aca="0">IF($AB48,TRUE(),FALSE())</x:f>
        <x:v>0</x:v>
      </x:c>
      <x:c r="U48" s="264" t="n">
        <x:v>0.00011574074074074075</x:v>
      </x:c>
      <x:c r="V48" s="265"/>
      <x:c r="W48" s="265"/>
      <x:c r="X48" s="265"/>
      <x:c r="Y48" s="265"/>
      <x:c r="Z48" s="263" t="b">
        <x:f>IF($AB48,TRUE(),FALSE())</x:f>
        <x:v>0</x:v>
      </x:c>
      <x:c r="AA48" s="267"/>
      <x:c r="AB48" s="266" t="b">
        <x:v>0</x:v>
      </x:c>
      <x:c r="AC48" s="268"/>
      <x:c r="AD48" s="288"/>
      <x:c r="AE48" s="288"/>
      <x:c r="AF48" s="288"/>
      <x:c r="AG48" s="409" t="n">
        <x:f>Scoring!P163</x:f>
        <x:v>1</x:v>
      </x:c>
      <x:c r="AH48" s="330"/>
      <x:c r="AI48"/>
      <x:c r="AJ48"/>
      <x:c r="AK48"/>
      <x:c r="AL48"/>
    </x:row>
    <x:row r="49" ht="88" hidden="0" customHeight="1">
      <x:c r="A49" s="228" t="n">
        <x:f aca="0">Strategy!$E$3+80</x:f>
        <x:v>46401.5</x:v>
      </x:c>
      <x:c r="B49" s="229" t="s">
        <x:v>56</x:v>
      </x:c>
      <x:c r="C49" s="289" t="str">
        <x:f aca="0">SUBSTITUTE(SUBSTITUTE(SUBSTITUTE("10 min skills"&amp;CHAR(10)&amp;Strategy!I32,", B)",CHAR(10)&amp;"B)"),", C)",CHAR(10)&amp;"C)"),", Core:",CHAR(10)&amp;"Core:")</x:f>
        <x:v>10 min skills
A) Wall HSPU test: 1 clean set (cap at 5)
B) Easy wall handstand: 1 x 15 sec
C) Gentle wrist/shoulder mobility: 2 min, Cal-Intervals: 2 rounds</x:v>
      </x:c>
      <x:c r="D49" s="229" t="str">
        <x:v>Skill B + Cal-Intervals</x:v>
      </x:c>
      <x:c r="E49" s="229" t="n">
        <x:v>30</x:v>
      </x:c>
      <x:c r="F49" s="256"/>
      <x:c r="G49" s="256" t="s">
        <x:v>117</x:v>
      </x:c>
      <x:c r="H49" s="258" t="b">
        <x:f aca="0">IF($AB49,TRUE(),FALSE())</x:f>
        <x:v>0</x:v>
      </x:c>
      <x:c r="I49" s="259" t="n">
        <x:v>5</x:v>
      </x:c>
      <x:c r="J49" s="260"/>
      <x:c r="K49" s="260"/>
      <x:c r="L49" s="260"/>
      <x:c r="M49" s="260"/>
      <x:c r="N49" s="258" t="b">
        <x:f aca="0">IF($AB49,TRUE(),FALSE())</x:f>
        <x:v>0</x:v>
      </x:c>
      <x:c r="O49" s="269" t="n">
        <x:v>0.00017361111111111112</x:v>
      </x:c>
      <x:c r="P49" s="260"/>
      <x:c r="Q49" s="260"/>
      <x:c r="R49" s="260"/>
      <x:c r="S49" s="260"/>
      <x:c r="T49" s="258" t="b">
        <x:f aca="0">IF($AB49,TRUE(),FALSE())</x:f>
        <x:v>0</x:v>
      </x:c>
      <x:c r="U49" s="269" t="n">
        <x:v>0.001388888888888889</x:v>
      </x:c>
      <x:c r="V49" s="260"/>
      <x:c r="W49" s="260"/>
      <x:c r="X49" s="260"/>
      <x:c r="Y49" s="260"/>
      <x:c r="Z49" s="258" t="b">
        <x:f>IF($AB49,TRUE(),FALSE())</x:f>
        <x:v>0</x:v>
      </x:c>
      <x:c r="AA49" s="259" t="n">
        <x:v>2</x:v>
      </x:c>
      <x:c r="AB49" s="382" t="b">
        <x:v>0</x:v>
      </x:c>
      <x:c r="AC49" s="262"/>
      <x:c r="AD49" s="287"/>
      <x:c r="AE49" s="287"/>
      <x:c r="AF49" s="287"/>
      <x:c r="AG49" s="329" t="n">
        <x:f>Scoring!P166</x:f>
        <x:v>3.7</x:v>
      </x:c>
      <x:c r="AH49" s="328"/>
      <x:c r="AI49"/>
      <x:c r="AJ49"/>
      <x:c r="AK49"/>
      <x:c r="AL49"/>
    </x:row>
    <x:row r="50" ht="88" hidden="0" customHeight="1">
      <x:c r="A50" s="223" t="n">
        <x:f aca="0">Strategy!$E$3+82</x:f>
        <x:v>46403.5</x:v>
      </x:c>
      <x:c r="B50" s="224" t="s">
        <x:v>59</x:v>
      </x:c>
      <x:c r="C50" s="224" t="s">
        <x:v>123</x:v>
      </x:c>
      <x:c r="D50" s="224" t="s">
        <x:v>121</x:v>
      </x:c>
      <x:c r="E50" s="224" t="n">
        <x:v>10</x:v>
      </x:c>
      <x:c r="F50" s="257"/>
      <x:c r="G50" s="257" t="s">
        <x:v>117</x:v>
      </x:c>
      <x:c r="H50" s="263" t="b">
        <x:f aca="0">IF($AB50,TRUE(),FALSE())</x:f>
        <x:v>0</x:v>
      </x:c>
      <x:c r="I50" s="264" t="n">
        <x:v>0.0006944444444444445</x:v>
      </x:c>
      <x:c r="J50" s="265"/>
      <x:c r="K50" s="265"/>
      <x:c r="L50" s="265"/>
      <x:c r="M50" s="265"/>
      <x:c r="N50" s="263" t="b">
        <x:f aca="0">IF($AB50,TRUE(),FALSE())</x:f>
        <x:v>0</x:v>
      </x:c>
      <x:c r="O50" s="264" t="n">
        <x:v>0.00011574074074074075</x:v>
      </x:c>
      <x:c r="P50" s="264" t="n">
        <x:v>0.00011574074074074075</x:v>
      </x:c>
      <x:c r="Q50" s="265"/>
      <x:c r="R50" s="265"/>
      <x:c r="S50" s="265"/>
      <x:c r="T50" s="263" t="b">
        <x:f aca="0">IF($AB50,TRUE(),FALSE())</x:f>
        <x:v>0</x:v>
      </x:c>
      <x:c r="U50" s="264" t="n">
        <x:v>0.00011574074074074075</x:v>
      </x:c>
      <x:c r="V50" s="265"/>
      <x:c r="W50" s="265"/>
      <x:c r="X50" s="265"/>
      <x:c r="Y50" s="265"/>
      <x:c r="Z50" s="263" t="b">
        <x:f>IF($AB50,TRUE(),FALSE())</x:f>
        <x:v>0</x:v>
      </x:c>
      <x:c r="AA50" s="267"/>
      <x:c r="AB50" s="266" t="b">
        <x:v>0</x:v>
      </x:c>
      <x:c r="AC50" s="268"/>
      <x:c r="AD50" s="288"/>
      <x:c r="AE50" s="288"/>
      <x:c r="AF50" s="288"/>
      <x:c r="AG50" s="409" t="n">
        <x:f>Scoring!P170</x:f>
        <x:v>1</x:v>
      </x:c>
      <x:c r="AH50" s="330"/>
      <x:c r="AI50"/>
      <x:c r="AJ50"/>
      <x:c r="AK50"/>
      <x:c r="AL50"/>
    </x:row>
  </x:sheetData>
  <x:mergeCells>
    <x:mergeCell ref="H1:M1"/>
    <x:mergeCell ref="N1:S1"/>
    <x:mergeCell ref="T1:Y1"/>
    <x:mergeCell ref="Z1:AA1"/>
    <x:mergeCell ref="A1:G1"/>
    <x:mergeCell ref="AB1:AF1"/>
    <x:mergeCell ref="AG1:AH1"/>
  </x:mergeCells>
  <x:conditionalFormatting sqref="G2:G49">
    <x:cfRule type="containsText" dxfId="4" priority="2" aboveAverage="0" percent="0" bottom="0" operator="containsText" text="completed" rank="0" equalAverage="0">
      <x:formula>NOT(ISERROR(SEARCH("completed",G2)))</x:formula>
    </x:cfRule>
  </x:conditionalFormatting>
  <x:conditionalFormatting sqref="H3:H50">
    <x:cfRule type="expression" dxfId="5" priority="3">
      <x:formula>OR(H3=TRUE,H3="TRUE")</x:formula>
    </x:cfRule>
    <x:cfRule type="expression" dxfId="11" priority="8">
      <x:formula>$AB3=TRUE</x:formula>
    </x:cfRule>
  </x:conditionalFormatting>
  <x:conditionalFormatting sqref="N3:N50">
    <x:cfRule type="expression" dxfId="6" priority="4">
      <x:formula>OR(N3=TRUE,N3="TRUE")</x:formula>
    </x:cfRule>
    <x:cfRule type="expression" dxfId="12" priority="9">
      <x:formula>$AB3=TRUE</x:formula>
    </x:cfRule>
  </x:conditionalFormatting>
  <x:conditionalFormatting sqref="T3:T50">
    <x:cfRule type="expression" dxfId="7" priority="5">
      <x:formula>OR(T3=TRUE,T3="TRUE")</x:formula>
    </x:cfRule>
    <x:cfRule type="expression" dxfId="13" priority="10">
      <x:formula>$AB3=TRUE</x:formula>
    </x:cfRule>
  </x:conditionalFormatting>
  <x:conditionalFormatting sqref="Z3:Z50">
    <x:cfRule type="expression" dxfId="8" priority="6">
      <x:formula>OR(Z3=TRUE,Z3="TRUE")</x:formula>
    </x:cfRule>
    <x:cfRule type="expression" dxfId="14" priority="11">
      <x:formula>$AB3=TRUE</x:formula>
    </x:cfRule>
  </x:conditionalFormatting>
  <x:conditionalFormatting sqref="AB3:AB50">
    <x:cfRule type="expression" dxfId="10" priority="7">
      <x:formula>AB3=TRUE</x:formula>
    </x:cfRule>
  </x:conditionalFormatting>
  <x:dataValidations count="10">
    <x:dataValidation type="list" errorStyle="stop" operator="between" allowBlank="0" showDropDown="0" showInputMessage="0" showErrorMessage="0" sqref="G3:G49">
      <x:formula1>"planned,in-progress,completed,incomplete,skipped,cancelled"</x:formula1>
      <x:formula2>0</x:formula2>
    </x:dataValidation>
    <x:dataValidation type="list" errorStyle="stop" operator="between" allowBlank="0" showDropDown="0" showInputMessage="0" showErrorMessage="0" sqref="B3:B133">
      <x:formula1>"A,B,Technique,Core,Empty"</x:formula1>
      <x:formula2>0</x:formula2>
    </x:dataValidation>
    <x:dataValidation type="list" sqref="H3:H50">
      <x:formula1>"TRUE,FALSE"</x:formula1>
    </x:dataValidation>
    <x:dataValidation type="list" sqref="N3:N50">
      <x:formula1>"TRUE,FALSE"</x:formula1>
    </x:dataValidation>
    <x:dataValidation type="list" sqref="T3:T50">
      <x:formula1>"TRUE,FALSE"</x:formula1>
    </x:dataValidation>
    <x:dataValidation type="list" sqref="Z3:Z50">
      <x:formula1>"TRUE,FALSE"</x:formula1>
    </x:dataValidation>
    <x:dataValidation type="whole" operator="between" sqref="AA3:AA50">
      <x:formula1>0</x:formula1>
      <x:formula2>100</x:formula2>
    </x:dataValidation>
    <x:dataValidation type="decimal" operator="between" sqref="AG3:AG50">
      <x:formula1>0</x:formula1>
      <x:formula2>10</x:formula2>
    </x:dataValidation>
    <x:dataValidation type="list" sqref="AB3:AB50">
      <x:formula1>"TRUE,FALSE"</x:formula1>
    </x:dataValidation>
    <x:dataValidation type="list" sqref="AH3:AH80">
      <x:formula1>"1,2,3,4,5"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96E6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2" max="12" width="15" hidden="0" customWidth="1"/>
    <x:col min="1" max="1" width="15" hidden="0" customWidth="1"/>
    <x:col min="2" max="2" width="34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40" hidden="0" customWidth="1"/>
    <x:col min="21" max="21" width="13" hidden="0" customWidth="1"/>
    <x:col min="22" max="22" width="15" hidden="0" customWidth="1"/>
    <x:col min="23" max="23" width="14" hidden="0" customWidth="1"/>
    <x:col min="24" max="24" width="14" hidden="0" customWidth="1"/>
    <x:col min="25" max="25" width="66" hidden="0" customWidth="1"/>
    <x:col min="26" max="26" width="18" hidden="0" customWidth="1"/>
    <x:col min="27" max="27" width="18" hidden="0" customWidth="1"/>
    <x:col min="28" max="28" width="18" hidden="0" customWidth="1"/>
    <x:col min="11" max="11" width="15" hidden="0" customWidth="1"/>
    <x:col min="13" max="13" width="15" hidden="0" customWidth="1"/>
  </x:cols>
  <x:sheetData>
    <x:row r="1">
      <x:c r="A1" s="412" t="str">
        <x:v>Scoring</x:v>
      </x:c>
      <x:c r="B1" s="412"/>
      <x:c r="C1" s="412"/>
      <x:c r="D1" s="412"/>
      <x:c r="E1" s="390"/>
      <x:c r="F1" s="390"/>
      <x:c r="G1" s="390"/>
      <x:c r="H1" s="390"/>
      <x:c r="I1" s="390"/>
      <x:c r="J1" s="390"/>
      <x:c r="K1" s="390"/>
      <x:c r="L1" s="390"/>
      <x:c r="M1" s="390"/>
      <x:c r="N1" s="390"/>
      <x:c r="O1" s="390"/>
      <x:c r="P1" s="390"/>
      <x:c r="Q1" s="390"/>
      <x:c r="R1" s="390"/>
      <x:c r="S1"/>
      <x:c r="T1"/>
    </x:row>
    <x:row r="2" ht="30" customHeight="1">
      <x:c r="A2" s="390" t="str">
        <x:v>Session summaries appear on the first row. Cal-Intervals exercises and timing are defined once in Library.</x:v>
      </x:c>
      <x:c r="B2" s="390"/>
      <x:c r="C2" s="390"/>
      <x:c r="D2" s="390"/>
      <x:c r="E2" s="390"/>
      <x:c r="F2" s="390"/>
      <x:c r="G2" s="390"/>
      <x:c r="H2" s="390"/>
      <x:c r="I2" s="390"/>
      <x:c r="J2" s="390"/>
      <x:c r="K2" s="390"/>
      <x:c r="L2" s="390"/>
      <x:c r="M2" s="390"/>
      <x:c r="N2" s="390"/>
      <x:c r="O2" s="390"/>
      <x:c r="P2" s="390"/>
      <x:c r="Q2" s="390"/>
      <x:c r="R2" s="390"/>
      <x:c r="S2" s="390"/>
      <x:c r="T2"/>
      <x:c r="U2"/>
      <x:c r="V2"/>
      <x:c r="W2"/>
      <x:c r="X2"/>
    </x:row>
    <x:row r="3">
      <x:c r="A3" s="390"/>
      <x:c r="B3" s="390"/>
      <x:c r="C3" s="390"/>
      <x:c r="D3" s="390"/>
      <x:c r="E3" s="390"/>
      <x:c r="F3" s="390"/>
      <x:c r="G3" s="390"/>
      <x:c r="H3" s="390"/>
      <x:c r="I3" s="390"/>
      <x:c r="J3" s="390"/>
      <x:c r="K3" s="390"/>
      <x:c r="L3" s="390"/>
      <x:c r="M3" s="390"/>
      <x:c r="N3" s="390"/>
      <x:c r="O3" s="390"/>
      <x:c r="P3" s="390"/>
      <x:c r="Q3" s="390"/>
      <x:c r="R3" s="390"/>
      <x:c r="S3" s="390"/>
      <x:c r="T3"/>
    </x:row>
    <x:row r="4" ht="44" customHeight="1">
      <x:c r="A4" s="415" t="str">
        <x:v>Date</x:v>
      </x:c>
      <x:c r="B4" s="415" t="str">
        <x:v>Session</x:v>
      </x:c>
      <x:c r="C4" s="415" t="str">
        <x:v>Exercise</x:v>
      </x:c>
      <x:c r="D4" s="415" t="str">
        <x:v>Unit</x:v>
      </x:c>
      <x:c r="E4" s="415" t="str">
        <x:v>Sets</x:v>
      </x:c>
      <x:c r="F4" s="415" t="str">
        <x:v>Amount per set</x:v>
      </x:c>
      <x:c r="G4" s="415" t="str">
        <x:v>Target</x:v>
      </x:c>
      <x:c r="H4" s="415" t="str">
        <x:v>Result</x:v>
      </x:c>
      <x:c r="I4" s="415" t="str">
        <x:v>Exercise performance (%)</x:v>
      </x:c>
      <x:c r="J4" s="415" t="str">
        <x:v>Base intensity</x:v>
      </x:c>
      <x:c r="K4" s="415" t="str">
        <x:v>Planned kg</x:v>
      </x:c>
      <x:c r="L4" s="415" t="str">
        <x:v>Growth per kg</x:v>
      </x:c>
      <x:c r="M4" s="415" t="str">
        <x:v>Loaded intensity</x:v>
      </x:c>
      <x:c r="N4" s="415" t="str">
        <x:v>Volume weight</x:v>
      </x:c>
      <x:c r="O4" s="415" t="str">
        <x:v>Contribution</x:v>
      </x:c>
      <x:c r="P4" s="415" t="str">
        <x:v>Planned intensity</x:v>
      </x:c>
      <x:c r="Q4" s="415" t="str">
        <x:v>Performance</x:v>
      </x:c>
      <x:c r="R4" s="415" t="str">
        <x:v>Scored metrics</x:v>
      </x:c>
      <x:c r="S4" s="415" t="str">
        <x:v>Planned metrics</x:v>
      </x:c>
      <x:c r="T4"/>
      <x:c r="U4"/>
      <x:c r="V4"/>
      <x:c r="W4"/>
      <x:c r="X4"/>
      <x:c r="Y4"/>
      <x:c r="Z4"/>
      <x:c r="AA4"/>
      <x:c r="AB4"/>
    </x:row>
    <x:row r="5" ht="38" hidden="0" customHeight="1">
      <x:c r="A5" s="402" t="n">
        <x:f>Daily!A3</x:f>
        <x:v>46321.5</x:v>
      </x:c>
      <x:c r="B5" s="391" t="str">
        <x:f>Daily!D3</x:f>
        <x:v>Skill A + Cal-Intervals</x:v>
      </x:c>
      <x:c r="C5" s="400" t="str">
        <x:v>Scapular pull-up</x:v>
      </x:c>
      <x:c r="D5" s="400" t="str">
        <x:v>reps</x:v>
      </x:c>
      <x:c r="E5" s="400" t="n">
        <x:v>3</x:v>
      </x:c>
      <x:c r="F5" s="400" t="n">
        <x:v>5</x:v>
      </x:c>
      <x:c r="G5" s="400" t="n">
        <x:f>E5*F5</x:f>
        <x:v>15</x:v>
      </x:c>
      <x:c r="H5" s="400" t="str">
        <x:f>IF(AND(OR(Daily!H3=TRUE,Daily!AB3=TRUE),COUNT(Daily!I3,Daily!J3,Daily!K3)&gt;0),SUM(Daily!I3,Daily!J3,Daily!K3),"")</x:f>
      </x:c>
      <x:c r="I5" s="432" t="str">
        <x:f>IF(AND(ISNUMBER(H5),ISNUMBER(G5),G5&gt;0),100*H5/G5,"")</x:f>
      </x:c>
      <x:c r="J5" s="432" t="n">
        <x:f>IF(COUNTIF(Library!$B$3:$B$58,C5)&lt;&gt;1,"",INDEX(Library!$C$3:$C$58,MATCH(C5,Library!$B$3:$B$58,0)))</x:f>
        <x:v>2</x:v>
      </x:c>
      <x:c r="K5" s="433" t="n">
        <x:f>IF(COUNTIFS(Loads!$A$3:$A$1000,"&gt;="&amp;INT(A5),Loads!$A$3:$A$1000,"&lt;"&amp;(INT(A5)+1),Loads!$B$3:$B$1000,B5,Loads!$C$3:$C$1000,C5)=0,0,IF(OR(COUNTIFS(Loads!$A$3:$A$1000,"&gt;="&amp;INT(A5),Loads!$A$3:$A$1000,"&lt;"&amp;(INT(A5)+1),Loads!$B$3:$B$1000,B5,Loads!$C$3:$C$1000,C5)&lt;&gt;1,COUNTIFS(Loads!$A$3:$A$1000,"&gt;="&amp;INT(A5),Loads!$A$3:$A$1000,"&lt;"&amp;(INT(A5)+1),Loads!$B$3:$B$1000,B5,Loads!$C$3:$C$1000,C5,Loads!$E$3:$E$1000,"&lt;&gt;")&lt;&gt;1),"",SUMIFS(Loads!$E$3:$E$1000,Loads!$A$3:$A$1000,"&gt;="&amp;INT(A5),Loads!$A$3:$A$1000,"&lt;"&amp;(INT(A5)+1),Loads!$B$3:$B$1000,B5,Loads!$C$3:$C$1000,C5)))</x:f>
        <x:v>0</x:v>
      </x:c>
      <x:c r="L5" s="434" t="n">
        <x:f>IF(COUNTIF(Library!$B$3:$B$58,C5)&lt;&gt;1,"",IF(COUNTIFS(Library!$B$3:$B$58,C5,Library!$E$3:$E$58,"&lt;&gt;")=0,0,INDEX(Library!$E$3:$E$58,MATCH(C5,Library!$B$3:$B$58,0))))</x:f>
        <x:v>0.04</x:v>
      </x:c>
      <x:c r="M5" s="432" t="n">
        <x:f>IF(OR(COUNT(J5:L5)&lt;&gt;3,J5&lt;0,J5&gt;10,K5&lt;0,L5&lt;0,COUNTIFS(Library!$B$3:$B$58,C5,Library!$D$3:$D$58,D5)&lt;&gt;1),"",MIN(10,J5*(1+K5*L5)))</x:f>
        <x:v>2</x:v>
      </x:c>
      <x:c r="N5" s="432" t="n">
        <x:f>IF(D5="seconds",IF(AND(ISNUMBER($B$177),$B$177&gt;0),G5/$B$177,""),IF(D5="reps/leg",G5*2,G5))</x:f>
        <x:v>15</x:v>
      </x:c>
      <x:c r="O5" s="432" t="n">
        <x:f>IF(COUNT(M5:N5)&lt;&gt;2,"",M5*N5)</x:f>
        <x:v>30</x:v>
      </x:c>
      <x:c r="P5" s="432" t="n">
        <x:f>IF(COUNT(O5:O8)&lt;&gt;COUNT(N5:N8),"",IF(SUM(N5:N8)=0,0,ROUND(SUM(O5:O8)/SUM(N5:N8),1)))</x:f>
        <x:v>4.5</x:v>
      </x:c>
      <x:c r="Q5" s="432" t="str">
        <x:f>IF(COUNT(I5:I8)=0,"",MEDIAN(I5:I8))</x:f>
      </x:c>
      <x:c r="R5" s="400" t="n">
        <x:f>COUNT(I5:I8)</x:f>
        <x:v>0</x:v>
      </x:c>
      <x:c r="S5" s="400" t="n">
        <x:v>4</x:v>
      </x:c>
      <x:c r="T5"/>
      <x:c r="U5"/>
      <x:c r="V5"/>
      <x:c r="W5"/>
      <x:c r="X5"/>
      <x:c r="Y5"/>
      <x:c r="Z5"/>
      <x:c r="AA5"/>
      <x:c r="AB5"/>
    </x:row>
    <x:row r="6" ht="38" hidden="0" customHeight="1">
      <x:c r="A6" s="402" t="n">
        <x:f>Daily!A3</x:f>
        <x:v>46321.5</x:v>
      </x:c>
      <x:c r="B6" s="391" t="str">
        <x:f>Daily!D3</x:f>
        <x:v>Skill A + Cal-Intervals</x:v>
      </x:c>
      <x:c r="C6" s="400" t="str">
        <x:v>High pull (chest-to-bar intent)</x:v>
      </x:c>
      <x:c r="D6" s="400" t="str">
        <x:v>reps</x:v>
      </x:c>
      <x:c r="E6" s="400" t="n">
        <x:v>3</x:v>
      </x:c>
      <x:c r="F6" s="400" t="n">
        <x:v>3</x:v>
      </x:c>
      <x:c r="G6" s="400" t="n">
        <x:f>E6*F6</x:f>
        <x:v>9</x:v>
      </x:c>
      <x:c r="H6" s="400" t="str">
        <x:f>IF(AND(OR(Daily!N3=TRUE,Daily!AB3=TRUE),COUNT(Daily!O3,Daily!P3,Daily!Q3)&gt;0),SUM(Daily!O3,Daily!P3,Daily!Q3),"")</x:f>
      </x:c>
      <x:c r="I6" s="432" t="str">
        <x:f>IF(AND(ISNUMBER(H6),ISNUMBER(G6),G6&gt;0),100*H6/G6,"")</x:f>
      </x:c>
      <x:c r="J6" s="432" t="n">
        <x:f>IF(COUNTIF(Library!$B$3:$B$58,C6)&lt;&gt;1,"",INDEX(Library!$C$3:$C$58,MATCH(C6,Library!$B$3:$B$58,0)))</x:f>
        <x:v>6</x:v>
      </x:c>
      <x:c r="K6" s="433" t="n">
        <x:f>IF(COUNTIFS(Loads!$A$3:$A$1000,"&gt;="&amp;INT(A6),Loads!$A$3:$A$1000,"&lt;"&amp;(INT(A6)+1),Loads!$B$3:$B$1000,B6,Loads!$C$3:$C$1000,C6)=0,0,IF(OR(COUNTIFS(Loads!$A$3:$A$1000,"&gt;="&amp;INT(A6),Loads!$A$3:$A$1000,"&lt;"&amp;(INT(A6)+1),Loads!$B$3:$B$1000,B6,Loads!$C$3:$C$1000,C6)&lt;&gt;1,COUNTIFS(Loads!$A$3:$A$1000,"&gt;="&amp;INT(A6),Loads!$A$3:$A$1000,"&lt;"&amp;(INT(A6)+1),Loads!$B$3:$B$1000,B6,Loads!$C$3:$C$1000,C6,Loads!$E$3:$E$1000,"&lt;&gt;")&lt;&gt;1),"",SUMIFS(Loads!$E$3:$E$1000,Loads!$A$3:$A$1000,"&gt;="&amp;INT(A6),Loads!$A$3:$A$1000,"&lt;"&amp;(INT(A6)+1),Loads!$B$3:$B$1000,B6,Loads!$C$3:$C$1000,C6)))</x:f>
        <x:v>0</x:v>
      </x:c>
      <x:c r="L6" s="434" t="n">
        <x:f>IF(COUNTIF(Library!$B$3:$B$58,C6)&lt;&gt;1,"",IF(COUNTIFS(Library!$B$3:$B$58,C6,Library!$E$3:$E$58,"&lt;&gt;")=0,0,INDEX(Library!$E$3:$E$58,MATCH(C6,Library!$B$3:$B$58,0))))</x:f>
        <x:v>0.04</x:v>
      </x:c>
      <x:c r="M6" s="432" t="n">
        <x:f>IF(OR(COUNT(J6:L6)&lt;&gt;3,J6&lt;0,J6&gt;10,K6&lt;0,L6&lt;0,COUNTIFS(Library!$B$3:$B$58,C6,Library!$D$3:$D$58,D6)&lt;&gt;1),"",MIN(10,J6*(1+K6*L6)))</x:f>
        <x:v>6</x:v>
      </x:c>
      <x:c r="N6" s="432" t="n">
        <x:f>IF(D6="seconds",IF(AND(ISNUMBER($B$177),$B$177&gt;0),G6/$B$177,""),IF(D6="reps/leg",G6*2,G6))</x:f>
        <x:v>9</x:v>
      </x:c>
      <x:c r="O6" s="432" t="n">
        <x:f>IF(COUNT(M6:N6)&lt;&gt;2,"",M6*N6)</x:f>
        <x:v>54</x:v>
      </x:c>
      <x:c r="P6" s="432"/>
      <x:c r="Q6" s="432"/>
      <x:c r="R6" s="400"/>
      <x:c r="S6" s="400"/>
      <x:c r="T6"/>
      <x:c r="U6"/>
      <x:c r="V6"/>
      <x:c r="W6"/>
      <x:c r="X6"/>
      <x:c r="Y6"/>
      <x:c r="Z6"/>
      <x:c r="AA6"/>
      <x:c r="AB6"/>
    </x:row>
    <x:row r="7" ht="38" hidden="0" customHeight="1">
      <x:c r="A7" s="402" t="n">
        <x:f>Daily!A3</x:f>
        <x:v>46321.5</x:v>
      </x:c>
      <x:c r="B7" s="391" t="str">
        <x:f>Daily!D3</x:f>
        <x:v>Skill A + Cal-Intervals</x:v>
      </x:c>
      <x:c r="C7" s="400" t="str">
        <x:v>Box pistol</x:v>
      </x:c>
      <x:c r="D7" s="400" t="str">
        <x:v>reps/leg</x:v>
      </x:c>
      <x:c r="E7" s="400" t="n">
        <x:v>3</x:v>
      </x:c>
      <x:c r="F7" s="400" t="n">
        <x:v>5</x:v>
      </x:c>
      <x:c r="G7" s="400" t="n">
        <x:f>E7*F7</x:f>
        <x:v>15</x:v>
      </x:c>
      <x:c r="H7" s="400" t="str">
        <x:f>IF(AND(OR(Daily!T3=TRUE,Daily!AB3=TRUE),COUNT(Daily!U3,Daily!V3,Daily!W3)&gt;0),SUM(Daily!U3,Daily!V3,Daily!W3),"")</x:f>
      </x:c>
      <x:c r="I7" s="432" t="str">
        <x:f>IF(AND(ISNUMBER(H7),ISNUMBER(G7),G7&gt;0),100*H7/G7,"")</x:f>
      </x:c>
      <x:c r="J7" s="432" t="n">
        <x:f>IF(COUNTIF(Library!$B$3:$B$58,C7)&lt;&gt;1,"",INDEX(Library!$C$3:$C$58,MATCH(C7,Library!$B$3:$B$58,0)))</x:f>
        <x:v>2</x:v>
      </x:c>
      <x:c r="K7" s="433" t="n">
        <x:f>IF(COUNTIFS(Loads!$A$3:$A$1000,"&gt;="&amp;INT(A7),Loads!$A$3:$A$1000,"&lt;"&amp;(INT(A7)+1),Loads!$B$3:$B$1000,B7,Loads!$C$3:$C$1000,C7)=0,0,IF(OR(COUNTIFS(Loads!$A$3:$A$1000,"&gt;="&amp;INT(A7),Loads!$A$3:$A$1000,"&lt;"&amp;(INT(A7)+1),Loads!$B$3:$B$1000,B7,Loads!$C$3:$C$1000,C7)&lt;&gt;1,COUNTIFS(Loads!$A$3:$A$1000,"&gt;="&amp;INT(A7),Loads!$A$3:$A$1000,"&lt;"&amp;(INT(A7)+1),Loads!$B$3:$B$1000,B7,Loads!$C$3:$C$1000,C7,Loads!$E$3:$E$1000,"&lt;&gt;")&lt;&gt;1),"",SUMIFS(Loads!$E$3:$E$1000,Loads!$A$3:$A$1000,"&gt;="&amp;INT(A7),Loads!$A$3:$A$1000,"&lt;"&amp;(INT(A7)+1),Loads!$B$3:$B$1000,B7,Loads!$C$3:$C$1000,C7)))</x:f>
        <x:v>0</x:v>
      </x:c>
      <x:c r="L7" s="434" t="n">
        <x:f>IF(COUNTIF(Library!$B$3:$B$58,C7)&lt;&gt;1,"",IF(COUNTIFS(Library!$B$3:$B$58,C7,Library!$E$3:$E$58,"&lt;&gt;")=0,0,INDEX(Library!$E$3:$E$58,MATCH(C7,Library!$B$3:$B$58,0))))</x:f>
        <x:v>0.03</x:v>
      </x:c>
      <x:c r="M7" s="432" t="n">
        <x:f>IF(OR(COUNT(J7:L7)&lt;&gt;3,J7&lt;0,J7&gt;10,K7&lt;0,L7&lt;0,COUNTIFS(Library!$B$3:$B$58,C7,Library!$D$3:$D$58,D7)&lt;&gt;1),"",MIN(10,J7*(1+K7*L7)))</x:f>
        <x:v>2</x:v>
      </x:c>
      <x:c r="N7" s="432" t="n">
        <x:f>IF(D7="seconds",IF(AND(ISNUMBER($B$177),$B$177&gt;0),G7/$B$177,""),IF(D7="reps/leg",G7*2,G7))</x:f>
        <x:v>30</x:v>
      </x:c>
      <x:c r="O7" s="432" t="n">
        <x:f>IF(COUNT(M7:N7)&lt;&gt;2,"",M7*N7)</x:f>
        <x:v>60</x:v>
      </x:c>
      <x:c r="P7" s="432"/>
      <x:c r="Q7" s="432"/>
      <x:c r="R7" s="400"/>
      <x:c r="S7" s="400"/>
      <x:c r="T7"/>
      <x:c r="U7"/>
      <x:c r="V7"/>
      <x:c r="W7"/>
      <x:c r="X7"/>
      <x:c r="Y7"/>
      <x:c r="Z7"/>
      <x:c r="AA7"/>
      <x:c r="AB7"/>
    </x:row>
    <x:row r="8" ht="38" hidden="0" customHeight="1">
      <x:c r="A8" s="402" t="n">
        <x:f>Daily!A3</x:f>
        <x:v>46321.5</x:v>
      </x:c>
      <x:c r="B8" s="391" t="str">
        <x:f>Daily!D3</x:f>
        <x:v>Skill A + Cal-Intervals</x:v>
      </x:c>
      <x:c r="C8" s="400" t="str">
        <x:v>Cal-Intervals</x:v>
      </x:c>
      <x:c r="D8" s="400" t="str">
        <x:v>rounds</x:v>
      </x:c>
      <x:c r="E8" s="400" t="n">
        <x:v>1</x:v>
      </x:c>
      <x:c r="F8" s="400" t="n">
        <x:v>5</x:v>
      </x:c>
      <x:c r="G8" s="400" t="n">
        <x:v>5</x:v>
      </x:c>
      <x:c r="H8" s="400" t="str">
        <x:f>IF(AND(OR(Daily!Z3=TRUE,Daily!AB3=TRUE),ISNUMBER(Daily!AA3)),Daily!AA3,"")</x:f>
      </x:c>
      <x:c r="I8" s="432" t="str">
        <x:f>IF(AND(ISNUMBER(H8),G8&gt;0),100*H8/G8,"")</x:f>
      </x:c>
      <x:c r="J8" s="432" t="n">
        <x:f>IF(OR(COUNT(Library!F67:F70)&lt;&gt;4,COUNT(Library!E67:E70)&lt;&gt;4,SUM(Library!E67:E70)=0),"",SUM(Library!F67:F70)/SUM(Library!E67:E70))</x:f>
        <x:v>5</x:v>
      </x:c>
      <x:c r="K8" s="433"/>
      <x:c r="L8" s="434"/>
      <x:c r="M8" s="432" t="n">
        <x:f>IF(ISNUMBER(J8),J8,"")</x:f>
        <x:v>5</x:v>
      </x:c>
      <x:c r="N8" s="432" t="n">
        <x:f>IF(COUNT(Library!E67:E70)&lt;&gt;4,"",G8*SUM(Library!E67:E70))</x:f>
        <x:v>200</x:v>
      </x:c>
      <x:c r="O8" s="432" t="n">
        <x:f>IF(COUNT(Library!F67:F70)&lt;&gt;4,"",G8*SUM(Library!F67:F70))</x:f>
        <x:v>1000</x:v>
      </x:c>
      <x:c r="P8" s="432"/>
      <x:c r="Q8" s="432"/>
      <x:c r="R8" s="400"/>
      <x:c r="S8" s="400"/>
      <x:c r="T8"/>
      <x:c r="U8"/>
      <x:c r="V8"/>
      <x:c r="W8"/>
      <x:c r="X8"/>
      <x:c r="Y8"/>
      <x:c r="Z8"/>
      <x:c r="AA8"/>
      <x:c r="AB8"/>
    </x:row>
    <x:row r="9" ht="38" hidden="0" customHeight="1">
      <x:c r="A9" s="402" t="n">
        <x:f>Daily!A4</x:f>
        <x:v>46322.5</x:v>
      </x:c>
      <x:c r="B9" s="391" t="str">
        <x:f>Daily!D4</x:f>
        <x:v>Handstand technique</x:v>
      </x:c>
      <x:c r="C9" s="400" t="str">
        <x:v>Wrist/shoulder mobility</x:v>
      </x:c>
      <x:c r="D9" s="400" t="str">
        <x:v>seconds</x:v>
      </x:c>
      <x:c r="E9" s="400" t="n">
        <x:v>1</x:v>
      </x:c>
      <x:c r="F9" s="400" t="n">
        <x:v>120</x:v>
      </x:c>
      <x:c r="G9" s="400" t="n">
        <x:f>E9*F9</x:f>
        <x:v>120</x:v>
      </x:c>
      <x:c r="H9" s="400" t="str">
        <x:f>IF(AND(OR(Daily!H4=TRUE,Daily!AB4=TRUE),COUNT(Daily!I4)&gt;0),SUM(Daily!I4)*86400,"")</x:f>
      </x:c>
      <x:c r="I9" s="432" t="str">
        <x:f>IF(AND(ISNUMBER(H9),ISNUMBER(G9),G9&gt;0),100*H9/G9,"")</x:f>
      </x:c>
      <x:c r="J9" s="432" t="n">
        <x:f>IF(COUNTIF(Library!$B$3:$B$58,C9)&lt;&gt;1,"",INDEX(Library!$C$3:$C$58,MATCH(C9,Library!$B$3:$B$58,0)))</x:f>
        <x:v>1</x:v>
      </x:c>
      <x:c r="K9" s="433" t="n">
        <x:f>IF(COUNTIFS(Loads!$A$3:$A$1000,"&gt;="&amp;INT(A9),Loads!$A$3:$A$1000,"&lt;"&amp;(INT(A9)+1),Loads!$B$3:$B$1000,B9,Loads!$C$3:$C$1000,C9)=0,0,IF(OR(COUNTIFS(Loads!$A$3:$A$1000,"&gt;="&amp;INT(A9),Loads!$A$3:$A$1000,"&lt;"&amp;(INT(A9)+1),Loads!$B$3:$B$1000,B9,Loads!$C$3:$C$1000,C9)&lt;&gt;1,COUNTIFS(Loads!$A$3:$A$1000,"&gt;="&amp;INT(A9),Loads!$A$3:$A$1000,"&lt;"&amp;(INT(A9)+1),Loads!$B$3:$B$1000,B9,Loads!$C$3:$C$1000,C9,Loads!$E$3:$E$1000,"&lt;&gt;")&lt;&gt;1),"",SUMIFS(Loads!$E$3:$E$1000,Loads!$A$3:$A$1000,"&gt;="&amp;INT(A9),Loads!$A$3:$A$1000,"&lt;"&amp;(INT(A9)+1),Loads!$B$3:$B$1000,B9,Loads!$C$3:$C$1000,C9)))</x:f>
        <x:v>0</x:v>
      </x:c>
      <x:c r="L9" s="434" t="n">
        <x:f>IF(COUNTIF(Library!$B$3:$B$58,C9)&lt;&gt;1,"",IF(COUNTIFS(Library!$B$3:$B$58,C9,Library!$E$3:$E$58,"&lt;&gt;")=0,0,INDEX(Library!$E$3:$E$58,MATCH(C9,Library!$B$3:$B$58,0))))</x:f>
        <x:v>0</x:v>
      </x:c>
      <x:c r="M9" s="432" t="n">
        <x:f>IF(OR(COUNT(J9:L9)&lt;&gt;3,J9&lt;0,J9&gt;10,K9&lt;0,L9&lt;0,COUNTIFS(Library!$B$3:$B$58,C9,Library!$D$3:$D$58,D9)&lt;&gt;1),"",MIN(10,J9*(1+K9*L9)))</x:f>
        <x:v>1</x:v>
      </x:c>
      <x:c r="N9" s="432" t="n">
        <x:f>IF(D9="seconds",IF(AND(ISNUMBER($B$177),$B$177&gt;0),G9/$B$177,""),IF(D9="reps/leg",G9*2,G9))</x:f>
        <x:v>40</x:v>
      </x:c>
      <x:c r="O9" s="432" t="n">
        <x:f>IF(COUNT(M9:N9)&lt;&gt;2,"",M9*N9)</x:f>
        <x:v>40</x:v>
      </x:c>
      <x:c r="P9" s="432" t="n">
        <x:f>IF(COUNT(O9:O11)&lt;&gt;COUNT(N9:N11),"",IF(SUM(N9:N11)=0,0,ROUND(SUM(O9:O11)/SUM(N9:N11),1)))</x:f>
        <x:v>1</x:v>
      </x:c>
      <x:c r="Q9" s="432" t="str">
        <x:f>IF(COUNT(I9:I11)=0,"",MEDIAN(I9:I11))</x:f>
      </x:c>
      <x:c r="R9" s="400" t="n">
        <x:f>COUNT(I9:I11)</x:f>
        <x:v>0</x:v>
      </x:c>
      <x:c r="S9" s="400" t="n">
        <x:v>3</x:v>
      </x:c>
      <x:c r="T9"/>
      <x:c r="U9"/>
      <x:c r="V9"/>
      <x:c r="W9"/>
      <x:c r="X9"/>
      <x:c r="Y9"/>
      <x:c r="Z9"/>
      <x:c r="AA9"/>
      <x:c r="AB9"/>
    </x:row>
    <x:row r="10" ht="38" hidden="0" customHeight="1">
      <x:c r="A10" s="402" t="n">
        <x:f>Daily!A4</x:f>
        <x:v>46322.5</x:v>
      </x:c>
      <x:c r="B10" s="391" t="str">
        <x:f>Daily!D4</x:f>
        <x:v>Handstand technique</x:v>
      </x:c>
      <x:c r="C10" s="400" t="str">
        <x:v>Easy chest-to-wall hold</x:v>
      </x:c>
      <x:c r="D10" s="400" t="str">
        <x:v>seconds</x:v>
      </x:c>
      <x:c r="E10" s="400" t="n">
        <x:v>3</x:v>
      </x:c>
      <x:c r="F10" s="400" t="n">
        <x:v>15</x:v>
      </x:c>
      <x:c r="G10" s="400" t="n">
        <x:f>E10*F10</x:f>
        <x:v>45</x:v>
      </x:c>
      <x:c r="H10" s="400" t="str">
        <x:f>IF(AND(OR(Daily!N4=TRUE,Daily!AB4=TRUE),COUNT(Daily!O4,Daily!P4,Daily!Q4)&gt;0),SUM(Daily!O4,Daily!P4,Daily!Q4)*86400,"")</x:f>
      </x:c>
      <x:c r="I10" s="432" t="str">
        <x:f>IF(AND(ISNUMBER(H10),ISNUMBER(G10),G10&gt;0),100*H10/G10,"")</x:f>
      </x:c>
      <x:c r="J10" s="432" t="n">
        <x:f>IF(COUNTIF(Library!$B$3:$B$58,C10)&lt;&gt;1,"",INDEX(Library!$C$3:$C$58,MATCH(C10,Library!$B$3:$B$58,0)))</x:f>
        <x:v>1</x:v>
      </x:c>
      <x:c r="K10" s="433" t="n">
        <x:f>IF(COUNTIFS(Loads!$A$3:$A$1000,"&gt;="&amp;INT(A10),Loads!$A$3:$A$1000,"&lt;"&amp;(INT(A10)+1),Loads!$B$3:$B$1000,B10,Loads!$C$3:$C$1000,C10)=0,0,IF(OR(COUNTIFS(Loads!$A$3:$A$1000,"&gt;="&amp;INT(A10),Loads!$A$3:$A$1000,"&lt;"&amp;(INT(A10)+1),Loads!$B$3:$B$1000,B10,Loads!$C$3:$C$1000,C10)&lt;&gt;1,COUNTIFS(Loads!$A$3:$A$1000,"&gt;="&amp;INT(A10),Loads!$A$3:$A$1000,"&lt;"&amp;(INT(A10)+1),Loads!$B$3:$B$1000,B10,Loads!$C$3:$C$1000,C10,Loads!$E$3:$E$1000,"&lt;&gt;")&lt;&gt;1),"",SUMIFS(Loads!$E$3:$E$1000,Loads!$A$3:$A$1000,"&gt;="&amp;INT(A10),Loads!$A$3:$A$1000,"&lt;"&amp;(INT(A10)+1),Loads!$B$3:$B$1000,B10,Loads!$C$3:$C$1000,C10)))</x:f>
        <x:v>0</x:v>
      </x:c>
      <x:c r="L10" s="434" t="n">
        <x:f>IF(COUNTIF(Library!$B$3:$B$58,C10)&lt;&gt;1,"",IF(COUNTIFS(Library!$B$3:$B$58,C10,Library!$E$3:$E$58,"&lt;&gt;")=0,0,INDEX(Library!$E$3:$E$58,MATCH(C10,Library!$B$3:$B$58,0))))</x:f>
        <x:v>0</x:v>
      </x:c>
      <x:c r="M10" s="432" t="n">
        <x:f>IF(OR(COUNT(J10:L10)&lt;&gt;3,J10&lt;0,J10&gt;10,K10&lt;0,L10&lt;0,COUNTIFS(Library!$B$3:$B$58,C10,Library!$D$3:$D$58,D10)&lt;&gt;1),"",MIN(10,J10*(1+K10*L10)))</x:f>
        <x:v>1</x:v>
      </x:c>
      <x:c r="N10" s="432" t="n">
        <x:f>IF(D10="seconds",IF(AND(ISNUMBER($B$177),$B$177&gt;0),G10/$B$177,""),IF(D10="reps/leg",G10*2,G10))</x:f>
        <x:v>15</x:v>
      </x:c>
      <x:c r="O10" s="432" t="n">
        <x:f>IF(COUNT(M10:N10)&lt;&gt;2,"",M10*N10)</x:f>
        <x:v>15</x:v>
      </x:c>
      <x:c r="P10" s="432"/>
      <x:c r="Q10" s="432"/>
      <x:c r="R10" s="400"/>
      <x:c r="S10" s="400"/>
      <x:c r="T10"/>
      <x:c r="U10"/>
      <x:c r="V10"/>
      <x:c r="W10"/>
      <x:c r="X10"/>
      <x:c r="Y10"/>
      <x:c r="Z10"/>
      <x:c r="AA10"/>
      <x:c r="AB10"/>
    </x:row>
    <x:row r="11" ht="38" hidden="0" customHeight="1">
      <x:c r="A11" s="402" t="n">
        <x:f>Daily!A4</x:f>
        <x:v>46322.5</x:v>
      </x:c>
      <x:c r="B11" s="391" t="str">
        <x:f>Daily!D4</x:f>
        <x:v>Handstand technique</x:v>
      </x:c>
      <x:c r="C11" s="400" t="str">
        <x:v>Wall handstand line drill</x:v>
      </x:c>
      <x:c r="D11" s="400" t="str">
        <x:v>seconds</x:v>
      </x:c>
      <x:c r="E11" s="400" t="n">
        <x:v>2</x:v>
      </x:c>
      <x:c r="F11" s="400" t="n">
        <x:v>15</x:v>
      </x:c>
      <x:c r="G11" s="400" t="n">
        <x:f>E11*F11</x:f>
        <x:v>30</x:v>
      </x:c>
      <x:c r="H11" s="400" t="str">
        <x:f>IF(AND(OR(Daily!T4=TRUE,Daily!AB4=TRUE),COUNT(Daily!U4,Daily!V4)&gt;0),SUM(Daily!U4,Daily!V4)*86400,"")</x:f>
      </x:c>
      <x:c r="I11" s="432" t="str">
        <x:f>IF(AND(ISNUMBER(H11),ISNUMBER(G11),G11&gt;0),100*H11/G11,"")</x:f>
      </x:c>
      <x:c r="J11" s="432" t="n">
        <x:f>IF(COUNTIF(Library!$B$3:$B$58,C11)&lt;&gt;1,"",INDEX(Library!$C$3:$C$58,MATCH(C11,Library!$B$3:$B$58,0)))</x:f>
        <x:v>1</x:v>
      </x:c>
      <x:c r="K11" s="433" t="n">
        <x:f>IF(COUNTIFS(Loads!$A$3:$A$1000,"&gt;="&amp;INT(A11),Loads!$A$3:$A$1000,"&lt;"&amp;(INT(A11)+1),Loads!$B$3:$B$1000,B11,Loads!$C$3:$C$1000,C11)=0,0,IF(OR(COUNTIFS(Loads!$A$3:$A$1000,"&gt;="&amp;INT(A11),Loads!$A$3:$A$1000,"&lt;"&amp;(INT(A11)+1),Loads!$B$3:$B$1000,B11,Loads!$C$3:$C$1000,C11)&lt;&gt;1,COUNTIFS(Loads!$A$3:$A$1000,"&gt;="&amp;INT(A11),Loads!$A$3:$A$1000,"&lt;"&amp;(INT(A11)+1),Loads!$B$3:$B$1000,B11,Loads!$C$3:$C$1000,C11,Loads!$E$3:$E$1000,"&lt;&gt;")&lt;&gt;1),"",SUMIFS(Loads!$E$3:$E$1000,Loads!$A$3:$A$1000,"&gt;="&amp;INT(A11),Loads!$A$3:$A$1000,"&lt;"&amp;(INT(A11)+1),Loads!$B$3:$B$1000,B11,Loads!$C$3:$C$1000,C11)))</x:f>
        <x:v>0</x:v>
      </x:c>
      <x:c r="L11" s="434" t="n">
        <x:f>IF(COUNTIF(Library!$B$3:$B$58,C11)&lt;&gt;1,"",IF(COUNTIFS(Library!$B$3:$B$58,C11,Library!$E$3:$E$58,"&lt;&gt;")=0,0,INDEX(Library!$E$3:$E$58,MATCH(C11,Library!$B$3:$B$58,0))))</x:f>
        <x:v>0</x:v>
      </x:c>
      <x:c r="M11" s="432" t="n">
        <x:f>IF(OR(COUNT(J11:L11)&lt;&gt;3,J11&lt;0,J11&gt;10,K11&lt;0,L11&lt;0,COUNTIFS(Library!$B$3:$B$58,C11,Library!$D$3:$D$58,D11)&lt;&gt;1),"",MIN(10,J11*(1+K11*L11)))</x:f>
        <x:v>1</x:v>
      </x:c>
      <x:c r="N11" s="432" t="n">
        <x:f>IF(D11="seconds",IF(AND(ISNUMBER($B$177),$B$177&gt;0),G11/$B$177,""),IF(D11="reps/leg",G11*2,G11))</x:f>
        <x:v>10</x:v>
      </x:c>
      <x:c r="O11" s="432" t="n">
        <x:f>IF(COUNT(M11:N11)&lt;&gt;2,"",M11*N11)</x:f>
        <x:v>10</x:v>
      </x:c>
      <x:c r="P11" s="432"/>
      <x:c r="Q11" s="432"/>
      <x:c r="R11" s="400"/>
      <x:c r="S11" s="400"/>
      <x:c r="T11"/>
      <x:c r="U11"/>
      <x:c r="V11"/>
      <x:c r="W11"/>
      <x:c r="X11"/>
      <x:c r="Y11"/>
      <x:c r="Z11"/>
      <x:c r="AA11"/>
      <x:c r="AB11"/>
    </x:row>
    <x:row r="12" ht="38" hidden="0" customHeight="1">
      <x:c r="A12" s="402" t="n">
        <x:f>Daily!A5</x:f>
        <x:v>46324.5</x:v>
      </x:c>
      <x:c r="B12" s="391" t="str">
        <x:f>Daily!D5</x:f>
        <x:v>Skill B + Cal-Intervals</x:v>
      </x:c>
      <x:c r="C12" s="400" t="str">
        <x:v>Chest-to-wall handstand</x:v>
      </x:c>
      <x:c r="D12" s="400" t="str">
        <x:v>seconds</x:v>
      </x:c>
      <x:c r="E12" s="400" t="n">
        <x:v>3</x:v>
      </x:c>
      <x:c r="F12" s="400" t="n">
        <x:v>20</x:v>
      </x:c>
      <x:c r="G12" s="400" t="n">
        <x:f>E12*F12</x:f>
        <x:v>60</x:v>
      </x:c>
      <x:c r="H12" s="400" t="str">
        <x:f>IF(AND(OR(Daily!H5=TRUE,Daily!AB5=TRUE),COUNT(Daily!I5,Daily!J5,Daily!K5)&gt;0),SUM(Daily!I5,Daily!J5,Daily!K5)*86400,"")</x:f>
      </x:c>
      <x:c r="I12" s="432" t="str">
        <x:f>IF(AND(ISNUMBER(H12),ISNUMBER(G12),G12&gt;0),100*H12/G12,"")</x:f>
      </x:c>
      <x:c r="J12" s="432" t="n">
        <x:f>IF(COUNTIF(Library!$B$3:$B$58,C12)&lt;&gt;1,"",INDEX(Library!$C$3:$C$58,MATCH(C12,Library!$B$3:$B$58,0)))</x:f>
        <x:v>4</x:v>
      </x:c>
      <x:c r="K12" s="433" t="n">
        <x:f>IF(COUNTIFS(Loads!$A$3:$A$1000,"&gt;="&amp;INT(A12),Loads!$A$3:$A$1000,"&lt;"&amp;(INT(A12)+1),Loads!$B$3:$B$1000,B12,Loads!$C$3:$C$1000,C12)=0,0,IF(OR(COUNTIFS(Loads!$A$3:$A$1000,"&gt;="&amp;INT(A12),Loads!$A$3:$A$1000,"&lt;"&amp;(INT(A12)+1),Loads!$B$3:$B$1000,B12,Loads!$C$3:$C$1000,C12)&lt;&gt;1,COUNTIFS(Loads!$A$3:$A$1000,"&gt;="&amp;INT(A12),Loads!$A$3:$A$1000,"&lt;"&amp;(INT(A12)+1),Loads!$B$3:$B$1000,B12,Loads!$C$3:$C$1000,C12,Loads!$E$3:$E$1000,"&lt;&gt;")&lt;&gt;1),"",SUMIFS(Loads!$E$3:$E$1000,Loads!$A$3:$A$1000,"&gt;="&amp;INT(A12),Loads!$A$3:$A$1000,"&lt;"&amp;(INT(A12)+1),Loads!$B$3:$B$1000,B12,Loads!$C$3:$C$1000,C12)))</x:f>
        <x:v>0</x:v>
      </x:c>
      <x:c r="L12" s="434" t="n">
        <x:f>IF(COUNTIF(Library!$B$3:$B$58,C12)&lt;&gt;1,"",IF(COUNTIFS(Library!$B$3:$B$58,C12,Library!$E$3:$E$58,"&lt;&gt;")=0,0,INDEX(Library!$E$3:$E$58,MATCH(C12,Library!$B$3:$B$58,0))))</x:f>
        <x:v>0</x:v>
      </x:c>
      <x:c r="M12" s="432" t="n">
        <x:f>IF(OR(COUNT(J12:L12)&lt;&gt;3,J12&lt;0,J12&gt;10,K12&lt;0,L12&lt;0,COUNTIFS(Library!$B$3:$B$58,C12,Library!$D$3:$D$58,D12)&lt;&gt;1),"",MIN(10,J12*(1+K12*L12)))</x:f>
        <x:v>4</x:v>
      </x:c>
      <x:c r="N12" s="432" t="n">
        <x:f>IF(D12="seconds",IF(AND(ISNUMBER($B$177),$B$177&gt;0),G12/$B$177,""),IF(D12="reps/leg",G12*2,G12))</x:f>
        <x:v>20</x:v>
      </x:c>
      <x:c r="O12" s="432" t="n">
        <x:f>IF(COUNT(M12:N12)&lt;&gt;2,"",M12*N12)</x:f>
        <x:v>80</x:v>
      </x:c>
      <x:c r="P12" s="432" t="n">
        <x:f>IF(COUNT(O12:O15)&lt;&gt;COUNT(N12:N15),"",IF(SUM(N12:N15)=0,0,ROUND(SUM(O12:O15)/SUM(N12:N15),1)))</x:f>
        <x:v>4.5</x:v>
      </x:c>
      <x:c r="Q12" s="432" t="str">
        <x:f>IF(COUNT(I12:I15)=0,"",MEDIAN(I12:I15))</x:f>
      </x:c>
      <x:c r="R12" s="400" t="n">
        <x:f>COUNT(I12:I15)</x:f>
        <x:v>0</x:v>
      </x:c>
      <x:c r="S12" s="400" t="n">
        <x:v>4</x:v>
      </x:c>
      <x:c r="T12"/>
      <x:c r="U12"/>
      <x:c r="V12"/>
      <x:c r="W12"/>
      <x:c r="X12"/>
      <x:c r="Y12"/>
      <x:c r="Z12"/>
      <x:c r="AA12"/>
      <x:c r="AB12"/>
    </x:row>
    <x:row r="13" ht="38" hidden="0" customHeight="1">
      <x:c r="A13" s="402" t="n">
        <x:f>Daily!A5</x:f>
        <x:v>46324.5</x:v>
      </x:c>
      <x:c r="B13" s="391" t="str">
        <x:f>Daily!D5</x:f>
        <x:v>Skill B + Cal-Intervals</x:v>
      </x:c>
      <x:c r="C13" s="400" t="str">
        <x:v>Pike push-up</x:v>
      </x:c>
      <x:c r="D13" s="400" t="str">
        <x:v>reps</x:v>
      </x:c>
      <x:c r="E13" s="400" t="n">
        <x:v>3</x:v>
      </x:c>
      <x:c r="F13" s="400" t="n">
        <x:v>5</x:v>
      </x:c>
      <x:c r="G13" s="400" t="n">
        <x:f>E13*F13</x:f>
        <x:v>15</x:v>
      </x:c>
      <x:c r="H13" s="400" t="str">
        <x:f>IF(AND(OR(Daily!N5=TRUE,Daily!AB5=TRUE),COUNT(Daily!O5,Daily!P5,Daily!Q5)&gt;0),SUM(Daily!O5,Daily!P5,Daily!Q5),"")</x:f>
      </x:c>
      <x:c r="I13" s="432" t="str">
        <x:f>IF(AND(ISNUMBER(H13),ISNUMBER(G13),G13&gt;0),100*H13/G13,"")</x:f>
      </x:c>
      <x:c r="J13" s="432" t="n">
        <x:f>IF(COUNTIF(Library!$B$3:$B$58,C13)&lt;&gt;1,"",INDEX(Library!$C$3:$C$58,MATCH(C13,Library!$B$3:$B$58,0)))</x:f>
        <x:v>4</x:v>
      </x:c>
      <x:c r="K13" s="433" t="n">
        <x:f>IF(COUNTIFS(Loads!$A$3:$A$1000,"&gt;="&amp;INT(A13),Loads!$A$3:$A$1000,"&lt;"&amp;(INT(A13)+1),Loads!$B$3:$B$1000,B13,Loads!$C$3:$C$1000,C13)=0,0,IF(OR(COUNTIFS(Loads!$A$3:$A$1000,"&gt;="&amp;INT(A13),Loads!$A$3:$A$1000,"&lt;"&amp;(INT(A13)+1),Loads!$B$3:$B$1000,B13,Loads!$C$3:$C$1000,C13)&lt;&gt;1,COUNTIFS(Loads!$A$3:$A$1000,"&gt;="&amp;INT(A13),Loads!$A$3:$A$1000,"&lt;"&amp;(INT(A13)+1),Loads!$B$3:$B$1000,B13,Loads!$C$3:$C$1000,C13,Loads!$E$3:$E$1000,"&lt;&gt;")&lt;&gt;1),"",SUMIFS(Loads!$E$3:$E$1000,Loads!$A$3:$A$1000,"&gt;="&amp;INT(A13),Loads!$A$3:$A$1000,"&lt;"&amp;(INT(A13)+1),Loads!$B$3:$B$1000,B13,Loads!$C$3:$C$1000,C13)))</x:f>
        <x:v>0</x:v>
      </x:c>
      <x:c r="L13" s="434" t="n">
        <x:f>IF(COUNTIF(Library!$B$3:$B$58,C13)&lt;&gt;1,"",IF(COUNTIFS(Library!$B$3:$B$58,C13,Library!$E$3:$E$58,"&lt;&gt;")=0,0,INDEX(Library!$E$3:$E$58,MATCH(C13,Library!$B$3:$B$58,0))))</x:f>
        <x:v>0</x:v>
      </x:c>
      <x:c r="M13" s="432" t="n">
        <x:f>IF(OR(COUNT(J13:L13)&lt;&gt;3,J13&lt;0,J13&gt;10,K13&lt;0,L13&lt;0,COUNTIFS(Library!$B$3:$B$58,C13,Library!$D$3:$D$58,D13)&lt;&gt;1),"",MIN(10,J13*(1+K13*L13)))</x:f>
        <x:v>4</x:v>
      </x:c>
      <x:c r="N13" s="432" t="n">
        <x:f>IF(D13="seconds",IF(AND(ISNUMBER($B$177),$B$177&gt;0),G13/$B$177,""),IF(D13="reps/leg",G13*2,G13))</x:f>
        <x:v>15</x:v>
      </x:c>
      <x:c r="O13" s="432" t="n">
        <x:f>IF(COUNT(M13:N13)&lt;&gt;2,"",M13*N13)</x:f>
        <x:v>60</x:v>
      </x:c>
      <x:c r="P13" s="432"/>
      <x:c r="Q13" s="432"/>
      <x:c r="R13" s="400"/>
      <x:c r="S13" s="400"/>
      <x:c r="T13"/>
      <x:c r="U13"/>
      <x:c r="V13"/>
      <x:c r="W13"/>
      <x:c r="X13"/>
      <x:c r="Y13"/>
      <x:c r="Z13"/>
      <x:c r="AA13"/>
      <x:c r="AB13"/>
    </x:row>
    <x:row r="14" ht="38" hidden="0" customHeight="1">
      <x:c r="A14" s="402" t="n">
        <x:f>Daily!A5</x:f>
        <x:v>46324.5</x:v>
      </x:c>
      <x:c r="B14" s="391" t="str">
        <x:f>Daily!D5</x:f>
        <x:v>Skill B + Cal-Intervals</x:v>
      </x:c>
      <x:c r="C14" s="400" t="str">
        <x:v>Box pistol</x:v>
      </x:c>
      <x:c r="D14" s="400" t="str">
        <x:v>reps/leg</x:v>
      </x:c>
      <x:c r="E14" s="400" t="n">
        <x:v>3</x:v>
      </x:c>
      <x:c r="F14" s="400" t="n">
        <x:v>5</x:v>
      </x:c>
      <x:c r="G14" s="400" t="n">
        <x:f>E14*F14</x:f>
        <x:v>15</x:v>
      </x:c>
      <x:c r="H14" s="400" t="str">
        <x:f>IF(AND(OR(Daily!T5=TRUE,Daily!AB5=TRUE),COUNT(Daily!U5,Daily!V5,Daily!W5)&gt;0),SUM(Daily!U5,Daily!V5,Daily!W5),"")</x:f>
      </x:c>
      <x:c r="I14" s="432" t="str">
        <x:f>IF(AND(ISNUMBER(H14),ISNUMBER(G14),G14&gt;0),100*H14/G14,"")</x:f>
      </x:c>
      <x:c r="J14" s="432" t="n">
        <x:f>IF(COUNTIF(Library!$B$3:$B$58,C14)&lt;&gt;1,"",INDEX(Library!$C$3:$C$58,MATCH(C14,Library!$B$3:$B$58,0)))</x:f>
        <x:v>2</x:v>
      </x:c>
      <x:c r="K14" s="433" t="n">
        <x:f>IF(COUNTIFS(Loads!$A$3:$A$1000,"&gt;="&amp;INT(A14),Loads!$A$3:$A$1000,"&lt;"&amp;(INT(A14)+1),Loads!$B$3:$B$1000,B14,Loads!$C$3:$C$1000,C14)=0,0,IF(OR(COUNTIFS(Loads!$A$3:$A$1000,"&gt;="&amp;INT(A14),Loads!$A$3:$A$1000,"&lt;"&amp;(INT(A14)+1),Loads!$B$3:$B$1000,B14,Loads!$C$3:$C$1000,C14)&lt;&gt;1,COUNTIFS(Loads!$A$3:$A$1000,"&gt;="&amp;INT(A14),Loads!$A$3:$A$1000,"&lt;"&amp;(INT(A14)+1),Loads!$B$3:$B$1000,B14,Loads!$C$3:$C$1000,C14,Loads!$E$3:$E$1000,"&lt;&gt;")&lt;&gt;1),"",SUMIFS(Loads!$E$3:$E$1000,Loads!$A$3:$A$1000,"&gt;="&amp;INT(A14),Loads!$A$3:$A$1000,"&lt;"&amp;(INT(A14)+1),Loads!$B$3:$B$1000,B14,Loads!$C$3:$C$1000,C14)))</x:f>
        <x:v>0</x:v>
      </x:c>
      <x:c r="L14" s="434" t="n">
        <x:f>IF(COUNTIF(Library!$B$3:$B$58,C14)&lt;&gt;1,"",IF(COUNTIFS(Library!$B$3:$B$58,C14,Library!$E$3:$E$58,"&lt;&gt;")=0,0,INDEX(Library!$E$3:$E$58,MATCH(C14,Library!$B$3:$B$58,0))))</x:f>
        <x:v>0.03</x:v>
      </x:c>
      <x:c r="M14" s="432" t="n">
        <x:f>IF(OR(COUNT(J14:L14)&lt;&gt;3,J14&lt;0,J14&gt;10,K14&lt;0,L14&lt;0,COUNTIFS(Library!$B$3:$B$58,C14,Library!$D$3:$D$58,D14)&lt;&gt;1),"",MIN(10,J14*(1+K14*L14)))</x:f>
        <x:v>2</x:v>
      </x:c>
      <x:c r="N14" s="432" t="n">
        <x:f>IF(D14="seconds",IF(AND(ISNUMBER($B$177),$B$177&gt;0),G14/$B$177,""),IF(D14="reps/leg",G14*2,G14))</x:f>
        <x:v>30</x:v>
      </x:c>
      <x:c r="O14" s="432" t="n">
        <x:f>IF(COUNT(M14:N14)&lt;&gt;2,"",M14*N14)</x:f>
        <x:v>60</x:v>
      </x:c>
      <x:c r="P14" s="432"/>
      <x:c r="Q14" s="432"/>
      <x:c r="R14" s="400"/>
      <x:c r="S14" s="400"/>
      <x:c r="T14"/>
      <x:c r="U14"/>
      <x:c r="V14"/>
      <x:c r="W14"/>
      <x:c r="X14"/>
      <x:c r="Y14"/>
      <x:c r="Z14"/>
      <x:c r="AA14"/>
      <x:c r="AB14"/>
    </x:row>
    <x:row r="15" ht="38" hidden="0" customHeight="1">
      <x:c r="A15" s="402" t="n">
        <x:f>Daily!A5</x:f>
        <x:v>46324.5</x:v>
      </x:c>
      <x:c r="B15" s="391" t="str">
        <x:f>Daily!D5</x:f>
        <x:v>Skill B + Cal-Intervals</x:v>
      </x:c>
      <x:c r="C15" s="400" t="str">
        <x:v>Cal-Intervals</x:v>
      </x:c>
      <x:c r="D15" s="400" t="str">
        <x:v>rounds</x:v>
      </x:c>
      <x:c r="E15" s="400" t="n">
        <x:v>1</x:v>
      </x:c>
      <x:c r="F15" s="400" t="n">
        <x:v>5</x:v>
      </x:c>
      <x:c r="G15" s="400" t="n">
        <x:v>5</x:v>
      </x:c>
      <x:c r="H15" s="400" t="str">
        <x:f>IF(AND(OR(Daily!Z5=TRUE,Daily!AB5=TRUE),ISNUMBER(Daily!AA5)),Daily!AA5,"")</x:f>
      </x:c>
      <x:c r="I15" s="432" t="str">
        <x:f>IF(AND(ISNUMBER(H15),G15&gt;0),100*H15/G15,"")</x:f>
      </x:c>
      <x:c r="J15" s="432" t="n">
        <x:f>IF(OR(COUNT(Library!F67:F70)&lt;&gt;4,COUNT(Library!E67:E70)&lt;&gt;4,SUM(Library!E67:E70)=0),"",SUM(Library!F67:F70)/SUM(Library!E67:E70))</x:f>
        <x:v>5</x:v>
      </x:c>
      <x:c r="K15" s="433"/>
      <x:c r="L15" s="434"/>
      <x:c r="M15" s="432" t="n">
        <x:f>IF(ISNUMBER(J15),J15,"")</x:f>
        <x:v>5</x:v>
      </x:c>
      <x:c r="N15" s="432" t="n">
        <x:f>IF(COUNT(Library!E67:E70)&lt;&gt;4,"",G15*SUM(Library!E67:E70))</x:f>
        <x:v>200</x:v>
      </x:c>
      <x:c r="O15" s="432" t="n">
        <x:f>IF(COUNT(Library!F67:F70)&lt;&gt;4,"",G15*SUM(Library!F67:F70))</x:f>
        <x:v>1000</x:v>
      </x:c>
      <x:c r="P15" s="432"/>
      <x:c r="Q15" s="432"/>
      <x:c r="R15" s="400"/>
      <x:c r="S15" s="400"/>
      <x:c r="T15"/>
      <x:c r="U15"/>
      <x:c r="V15"/>
      <x:c r="W15"/>
      <x:c r="X15"/>
      <x:c r="Y15"/>
      <x:c r="Z15"/>
      <x:c r="AA15"/>
      <x:c r="AB15"/>
    </x:row>
    <x:row r="16" ht="38" hidden="0" customHeight="1">
      <x:c r="A16" s="402" t="n">
        <x:f>Daily!A6</x:f>
        <x:v>46326.5</x:v>
      </x:c>
      <x:c r="B16" s="391" t="str">
        <x:f>Daily!D6</x:f>
        <x:v>Skill micro-session</x:v>
      </x:c>
      <x:c r="C16" s="400" t="str">
        <x:v>Wrist/shoulder mobility</x:v>
      </x:c>
      <x:c r="D16" s="400" t="str">
        <x:v>seconds</x:v>
      </x:c>
      <x:c r="E16" s="400" t="n">
        <x:v>1</x:v>
      </x:c>
      <x:c r="F16" s="400" t="n">
        <x:v>120</x:v>
      </x:c>
      <x:c r="G16" s="400" t="n">
        <x:f>E16*F16</x:f>
        <x:v>120</x:v>
      </x:c>
      <x:c r="H16" s="400" t="str">
        <x:f>IF(AND(OR(Daily!H6=TRUE,Daily!AB6=TRUE),COUNT(Daily!I6)&gt;0),SUM(Daily!I6)*86400,"")</x:f>
      </x:c>
      <x:c r="I16" s="432" t="str">
        <x:f>IF(AND(ISNUMBER(H16),ISNUMBER(G16),G16&gt;0),100*H16/G16,"")</x:f>
      </x:c>
      <x:c r="J16" s="432" t="n">
        <x:f>IF(COUNTIF(Library!$B$3:$B$58,C16)&lt;&gt;1,"",INDEX(Library!$C$3:$C$58,MATCH(C16,Library!$B$3:$B$58,0)))</x:f>
        <x:v>1</x:v>
      </x:c>
      <x:c r="K16" s="433" t="n">
        <x:f>IF(COUNTIFS(Loads!$A$3:$A$1000,"&gt;="&amp;INT(A16),Loads!$A$3:$A$1000,"&lt;"&amp;(INT(A16)+1),Loads!$B$3:$B$1000,B16,Loads!$C$3:$C$1000,C16)=0,0,IF(OR(COUNTIFS(Loads!$A$3:$A$1000,"&gt;="&amp;INT(A16),Loads!$A$3:$A$1000,"&lt;"&amp;(INT(A16)+1),Loads!$B$3:$B$1000,B16,Loads!$C$3:$C$1000,C16)&lt;&gt;1,COUNTIFS(Loads!$A$3:$A$1000,"&gt;="&amp;INT(A16),Loads!$A$3:$A$1000,"&lt;"&amp;(INT(A16)+1),Loads!$B$3:$B$1000,B16,Loads!$C$3:$C$1000,C16,Loads!$E$3:$E$1000,"&lt;&gt;")&lt;&gt;1),"",SUMIFS(Loads!$E$3:$E$1000,Loads!$A$3:$A$1000,"&gt;="&amp;INT(A16),Loads!$A$3:$A$1000,"&lt;"&amp;(INT(A16)+1),Loads!$B$3:$B$1000,B16,Loads!$C$3:$C$1000,C16)))</x:f>
        <x:v>0</x:v>
      </x:c>
      <x:c r="L16" s="434" t="n">
        <x:f>IF(COUNTIF(Library!$B$3:$B$58,C16)&lt;&gt;1,"",IF(COUNTIFS(Library!$B$3:$B$58,C16,Library!$E$3:$E$58,"&lt;&gt;")=0,0,INDEX(Library!$E$3:$E$58,MATCH(C16,Library!$B$3:$B$58,0))))</x:f>
        <x:v>0</x:v>
      </x:c>
      <x:c r="M16" s="432" t="n">
        <x:f>IF(OR(COUNT(J16:L16)&lt;&gt;3,J16&lt;0,J16&gt;10,K16&lt;0,L16&lt;0,COUNTIFS(Library!$B$3:$B$58,C16,Library!$D$3:$D$58,D16)&lt;&gt;1),"",MIN(10,J16*(1+K16*L16)))</x:f>
        <x:v>1</x:v>
      </x:c>
      <x:c r="N16" s="432" t="n">
        <x:f>IF(D16="seconds",IF(AND(ISNUMBER($B$177),$B$177&gt;0),G16/$B$177,""),IF(D16="reps/leg",G16*2,G16))</x:f>
        <x:v>40</x:v>
      </x:c>
      <x:c r="O16" s="432" t="n">
        <x:f>IF(COUNT(M16:N16)&lt;&gt;2,"",M16*N16)</x:f>
        <x:v>40</x:v>
      </x:c>
      <x:c r="P16" s="432" t="n">
        <x:f>IF(COUNT(O16:O18)&lt;&gt;COUNT(N16:N18),"",IF(SUM(N16:N18)=0,0,ROUND(SUM(O16:O18)/SUM(N16:N18),1)))</x:f>
        <x:v>1</x:v>
      </x:c>
      <x:c r="Q16" s="432" t="str">
        <x:f>IF(COUNT(I16:I18)=0,"",MEDIAN(I16:I18))</x:f>
      </x:c>
      <x:c r="R16" s="400" t="n">
        <x:f>COUNT(I16:I18)</x:f>
        <x:v>0</x:v>
      </x:c>
      <x:c r="S16" s="400" t="n">
        <x:v>3</x:v>
      </x:c>
      <x:c r="T16"/>
      <x:c r="U16"/>
      <x:c r="V16"/>
      <x:c r="W16"/>
      <x:c r="X16"/>
      <x:c r="Y16"/>
      <x:c r="Z16"/>
      <x:c r="AA16"/>
      <x:c r="AB16"/>
    </x:row>
    <x:row r="17" ht="38" hidden="0" customHeight="1">
      <x:c r="A17" s="402" t="n">
        <x:f>Daily!A6</x:f>
        <x:v>46326.5</x:v>
      </x:c>
      <x:c r="B17" s="391" t="str">
        <x:f>Daily!D6</x:f>
        <x:v>Skill micro-session</x:v>
      </x:c>
      <x:c r="C17" s="400" t="str">
        <x:v>Easy chest-to-wall hold</x:v>
      </x:c>
      <x:c r="D17" s="400" t="str">
        <x:v>seconds</x:v>
      </x:c>
      <x:c r="E17" s="400" t="n">
        <x:v>3</x:v>
      </x:c>
      <x:c r="F17" s="400" t="n">
        <x:v>15</x:v>
      </x:c>
      <x:c r="G17" s="400" t="n">
        <x:f>E17*F17</x:f>
        <x:v>45</x:v>
      </x:c>
      <x:c r="H17" s="400" t="str">
        <x:f>IF(AND(OR(Daily!N6=TRUE,Daily!AB6=TRUE),COUNT(Daily!O6,Daily!P6,Daily!Q6)&gt;0),SUM(Daily!O6,Daily!P6,Daily!Q6)*86400,"")</x:f>
      </x:c>
      <x:c r="I17" s="432" t="str">
        <x:f>IF(AND(ISNUMBER(H17),ISNUMBER(G17),G17&gt;0),100*H17/G17,"")</x:f>
      </x:c>
      <x:c r="J17" s="432" t="n">
        <x:f>IF(COUNTIF(Library!$B$3:$B$58,C17)&lt;&gt;1,"",INDEX(Library!$C$3:$C$58,MATCH(C17,Library!$B$3:$B$58,0)))</x:f>
        <x:v>1</x:v>
      </x:c>
      <x:c r="K17" s="433" t="n">
        <x:f>IF(COUNTIFS(Loads!$A$3:$A$1000,"&gt;="&amp;INT(A17),Loads!$A$3:$A$1000,"&lt;"&amp;(INT(A17)+1),Loads!$B$3:$B$1000,B17,Loads!$C$3:$C$1000,C17)=0,0,IF(OR(COUNTIFS(Loads!$A$3:$A$1000,"&gt;="&amp;INT(A17),Loads!$A$3:$A$1000,"&lt;"&amp;(INT(A17)+1),Loads!$B$3:$B$1000,B17,Loads!$C$3:$C$1000,C17)&lt;&gt;1,COUNTIFS(Loads!$A$3:$A$1000,"&gt;="&amp;INT(A17),Loads!$A$3:$A$1000,"&lt;"&amp;(INT(A17)+1),Loads!$B$3:$B$1000,B17,Loads!$C$3:$C$1000,C17,Loads!$E$3:$E$1000,"&lt;&gt;")&lt;&gt;1),"",SUMIFS(Loads!$E$3:$E$1000,Loads!$A$3:$A$1000,"&gt;="&amp;INT(A17),Loads!$A$3:$A$1000,"&lt;"&amp;(INT(A17)+1),Loads!$B$3:$B$1000,B17,Loads!$C$3:$C$1000,C17)))</x:f>
        <x:v>0</x:v>
      </x:c>
      <x:c r="L17" s="434" t="n">
        <x:f>IF(COUNTIF(Library!$B$3:$B$58,C17)&lt;&gt;1,"",IF(COUNTIFS(Library!$B$3:$B$58,C17,Library!$E$3:$E$58,"&lt;&gt;")=0,0,INDEX(Library!$E$3:$E$58,MATCH(C17,Library!$B$3:$B$58,0))))</x:f>
        <x:v>0</x:v>
      </x:c>
      <x:c r="M17" s="432" t="n">
        <x:f>IF(OR(COUNT(J17:L17)&lt;&gt;3,J17&lt;0,J17&gt;10,K17&lt;0,L17&lt;0,COUNTIFS(Library!$B$3:$B$58,C17,Library!$D$3:$D$58,D17)&lt;&gt;1),"",MIN(10,J17*(1+K17*L17)))</x:f>
        <x:v>1</x:v>
      </x:c>
      <x:c r="N17" s="432" t="n">
        <x:f>IF(D17="seconds",IF(AND(ISNUMBER($B$177),$B$177&gt;0),G17/$B$177,""),IF(D17="reps/leg",G17*2,G17))</x:f>
        <x:v>15</x:v>
      </x:c>
      <x:c r="O17" s="432" t="n">
        <x:f>IF(COUNT(M17:N17)&lt;&gt;2,"",M17*N17)</x:f>
        <x:v>15</x:v>
      </x:c>
      <x:c r="P17" s="432"/>
      <x:c r="Q17" s="432"/>
      <x:c r="R17" s="400"/>
      <x:c r="S17" s="400"/>
      <x:c r="T17"/>
      <x:c r="U17"/>
      <x:c r="V17"/>
      <x:c r="W17"/>
      <x:c r="X17"/>
      <x:c r="Y17"/>
      <x:c r="Z17"/>
      <x:c r="AA17"/>
      <x:c r="AB17"/>
    </x:row>
    <x:row r="18" ht="38" hidden="0" customHeight="1">
      <x:c r="A18" s="402" t="n">
        <x:f>Daily!A6</x:f>
        <x:v>46326.5</x:v>
      </x:c>
      <x:c r="B18" s="391" t="str">
        <x:f>Daily!D6</x:f>
        <x:v>Skill micro-session</x:v>
      </x:c>
      <x:c r="C18" s="400" t="str">
        <x:v>Wall handstand line drill</x:v>
      </x:c>
      <x:c r="D18" s="400" t="str">
        <x:v>seconds</x:v>
      </x:c>
      <x:c r="E18" s="400" t="n">
        <x:v>3</x:v>
      </x:c>
      <x:c r="F18" s="400" t="n">
        <x:v>15</x:v>
      </x:c>
      <x:c r="G18" s="400" t="n">
        <x:f>E18*F18</x:f>
        <x:v>45</x:v>
      </x:c>
      <x:c r="H18" s="400" t="str">
        <x:f>IF(AND(OR(Daily!T6=TRUE,Daily!AB6=TRUE),COUNT(Daily!U6,Daily!V6,Daily!W6)&gt;0),SUM(Daily!U6,Daily!V6,Daily!W6)*86400,"")</x:f>
      </x:c>
      <x:c r="I18" s="432" t="str">
        <x:f>IF(AND(ISNUMBER(H18),ISNUMBER(G18),G18&gt;0),100*H18/G18,"")</x:f>
      </x:c>
      <x:c r="J18" s="432" t="n">
        <x:f>IF(COUNTIF(Library!$B$3:$B$58,C18)&lt;&gt;1,"",INDEX(Library!$C$3:$C$58,MATCH(C18,Library!$B$3:$B$58,0)))</x:f>
        <x:v>1</x:v>
      </x:c>
      <x:c r="K18" s="433" t="n">
        <x:f>IF(COUNTIFS(Loads!$A$3:$A$1000,"&gt;="&amp;INT(A18),Loads!$A$3:$A$1000,"&lt;"&amp;(INT(A18)+1),Loads!$B$3:$B$1000,B18,Loads!$C$3:$C$1000,C18)=0,0,IF(OR(COUNTIFS(Loads!$A$3:$A$1000,"&gt;="&amp;INT(A18),Loads!$A$3:$A$1000,"&lt;"&amp;(INT(A18)+1),Loads!$B$3:$B$1000,B18,Loads!$C$3:$C$1000,C18)&lt;&gt;1,COUNTIFS(Loads!$A$3:$A$1000,"&gt;="&amp;INT(A18),Loads!$A$3:$A$1000,"&lt;"&amp;(INT(A18)+1),Loads!$B$3:$B$1000,B18,Loads!$C$3:$C$1000,C18,Loads!$E$3:$E$1000,"&lt;&gt;")&lt;&gt;1),"",SUMIFS(Loads!$E$3:$E$1000,Loads!$A$3:$A$1000,"&gt;="&amp;INT(A18),Loads!$A$3:$A$1000,"&lt;"&amp;(INT(A18)+1),Loads!$B$3:$B$1000,B18,Loads!$C$3:$C$1000,C18)))</x:f>
        <x:v>0</x:v>
      </x:c>
      <x:c r="L18" s="434" t="n">
        <x:f>IF(COUNTIF(Library!$B$3:$B$58,C18)&lt;&gt;1,"",IF(COUNTIFS(Library!$B$3:$B$58,C18,Library!$E$3:$E$58,"&lt;&gt;")=0,0,INDEX(Library!$E$3:$E$58,MATCH(C18,Library!$B$3:$B$58,0))))</x:f>
        <x:v>0</x:v>
      </x:c>
      <x:c r="M18" s="432" t="n">
        <x:f>IF(OR(COUNT(J18:L18)&lt;&gt;3,J18&lt;0,J18&gt;10,K18&lt;0,L18&lt;0,COUNTIFS(Library!$B$3:$B$58,C18,Library!$D$3:$D$58,D18)&lt;&gt;1),"",MIN(10,J18*(1+K18*L18)))</x:f>
        <x:v>1</x:v>
      </x:c>
      <x:c r="N18" s="432" t="n">
        <x:f>IF(D18="seconds",IF(AND(ISNUMBER($B$177),$B$177&gt;0),G18/$B$177,""),IF(D18="reps/leg",G18*2,G18))</x:f>
        <x:v>15</x:v>
      </x:c>
      <x:c r="O18" s="432" t="n">
        <x:f>IF(COUNT(M18:N18)&lt;&gt;2,"",M18*N18)</x:f>
        <x:v>15</x:v>
      </x:c>
      <x:c r="P18" s="432"/>
      <x:c r="Q18" s="432"/>
      <x:c r="R18" s="400"/>
      <x:c r="S18" s="400"/>
      <x:c r="T18"/>
      <x:c r="U18"/>
      <x:c r="V18"/>
      <x:c r="W18"/>
      <x:c r="X18"/>
      <x:c r="Y18"/>
      <x:c r="Z18"/>
      <x:c r="AA18"/>
      <x:c r="AB18"/>
    </x:row>
    <x:row r="19" ht="38" hidden="0" customHeight="1">
      <x:c r="A19" s="402" t="n">
        <x:f>Daily!A7</x:f>
        <x:v>46328.5</x:v>
      </x:c>
      <x:c r="B19" s="391" t="str">
        <x:f>Daily!D7</x:f>
        <x:v>Skill A + Cal-Intervals</x:v>
      </x:c>
      <x:c r="C19" s="400" t="str">
        <x:v>Band transition drill</x:v>
      </x:c>
      <x:c r="D19" s="400" t="str">
        <x:v>reps</x:v>
      </x:c>
      <x:c r="E19" s="400" t="n">
        <x:v>3</x:v>
      </x:c>
      <x:c r="F19" s="400" t="n">
        <x:v>3</x:v>
      </x:c>
      <x:c r="G19" s="400" t="n">
        <x:f>E19*F19</x:f>
        <x:v>9</x:v>
      </x:c>
      <x:c r="H19" s="400" t="str">
        <x:f>IF(AND(OR(Daily!H7=TRUE,Daily!AB7=TRUE),COUNT(Daily!I7,Daily!J7,Daily!K7)&gt;0),SUM(Daily!I7,Daily!J7,Daily!K7),"")</x:f>
      </x:c>
      <x:c r="I19" s="432" t="str">
        <x:f>IF(AND(ISNUMBER(H19),ISNUMBER(G19),G19&gt;0),100*H19/G19,"")</x:f>
      </x:c>
      <x:c r="J19" s="432" t="n">
        <x:f>IF(COUNTIF(Library!$B$3:$B$58,C19)&lt;&gt;1,"",INDEX(Library!$C$3:$C$58,MATCH(C19,Library!$B$3:$B$58,0)))</x:f>
        <x:v>4</x:v>
      </x:c>
      <x:c r="K19" s="433" t="n">
        <x:f>IF(COUNTIFS(Loads!$A$3:$A$1000,"&gt;="&amp;INT(A19),Loads!$A$3:$A$1000,"&lt;"&amp;(INT(A19)+1),Loads!$B$3:$B$1000,B19,Loads!$C$3:$C$1000,C19)=0,0,IF(OR(COUNTIFS(Loads!$A$3:$A$1000,"&gt;="&amp;INT(A19),Loads!$A$3:$A$1000,"&lt;"&amp;(INT(A19)+1),Loads!$B$3:$B$1000,B19,Loads!$C$3:$C$1000,C19)&lt;&gt;1,COUNTIFS(Loads!$A$3:$A$1000,"&gt;="&amp;INT(A19),Loads!$A$3:$A$1000,"&lt;"&amp;(INT(A19)+1),Loads!$B$3:$B$1000,B19,Loads!$C$3:$C$1000,C19,Loads!$E$3:$E$1000,"&lt;&gt;")&lt;&gt;1),"",SUMIFS(Loads!$E$3:$E$1000,Loads!$A$3:$A$1000,"&gt;="&amp;INT(A19),Loads!$A$3:$A$1000,"&lt;"&amp;(INT(A19)+1),Loads!$B$3:$B$1000,B19,Loads!$C$3:$C$1000,C19)))</x:f>
        <x:v>0</x:v>
      </x:c>
      <x:c r="L19" s="434" t="n">
        <x:f>IF(COUNTIF(Library!$B$3:$B$58,C19)&lt;&gt;1,"",IF(COUNTIFS(Library!$B$3:$B$58,C19,Library!$E$3:$E$58,"&lt;&gt;")=0,0,INDEX(Library!$E$3:$E$58,MATCH(C19,Library!$B$3:$B$58,0))))</x:f>
        <x:v>0.03</x:v>
      </x:c>
      <x:c r="M19" s="432" t="n">
        <x:f>IF(OR(COUNT(J19:L19)&lt;&gt;3,J19&lt;0,J19&gt;10,K19&lt;0,L19&lt;0,COUNTIFS(Library!$B$3:$B$58,C19,Library!$D$3:$D$58,D19)&lt;&gt;1),"",MIN(10,J19*(1+K19*L19)))</x:f>
        <x:v>4</x:v>
      </x:c>
      <x:c r="N19" s="432" t="n">
        <x:f>IF(D19="seconds",IF(AND(ISNUMBER($B$177),$B$177&gt;0),G19/$B$177,""),IF(D19="reps/leg",G19*2,G19))</x:f>
        <x:v>9</x:v>
      </x:c>
      <x:c r="O19" s="432" t="n">
        <x:f>IF(COUNT(M19:N19)&lt;&gt;2,"",M19*N19)</x:f>
        <x:v>36</x:v>
      </x:c>
      <x:c r="P19" s="432" t="n">
        <x:f>IF(COUNT(O19:O22)&lt;&gt;COUNT(N19:N22),"",IF(SUM(N19:N22)=0,0,ROUND(SUM(O19:O22)/SUM(N19:N22),1)))</x:f>
        <x:v>4.6</x:v>
      </x:c>
      <x:c r="Q19" s="432" t="str">
        <x:f>IF(COUNT(I19:I22)=0,"",MEDIAN(I19:I22))</x:f>
      </x:c>
      <x:c r="R19" s="400" t="n">
        <x:f>COUNT(I19:I22)</x:f>
        <x:v>0</x:v>
      </x:c>
      <x:c r="S19" s="400" t="n">
        <x:v>4</x:v>
      </x:c>
      <x:c r="T19"/>
      <x:c r="U19"/>
      <x:c r="V19"/>
      <x:c r="W19"/>
      <x:c r="X19"/>
      <x:c r="Y19"/>
      <x:c r="Z19"/>
      <x:c r="AA19"/>
      <x:c r="AB19"/>
    </x:row>
    <x:row r="20" ht="38" hidden="0" customHeight="1">
      <x:c r="A20" s="402" t="n">
        <x:f>Daily!A7</x:f>
        <x:v>46328.5</x:v>
      </x:c>
      <x:c r="B20" s="391" t="str">
        <x:f>Daily!D7</x:f>
        <x:v>Skill A + Cal-Intervals</x:v>
      </x:c>
      <x:c r="C20" s="400" t="str">
        <x:v>High pull</x:v>
      </x:c>
      <x:c r="D20" s="400" t="str">
        <x:v>reps</x:v>
      </x:c>
      <x:c r="E20" s="400" t="n">
        <x:v>3</x:v>
      </x:c>
      <x:c r="F20" s="400" t="n">
        <x:v>3</x:v>
      </x:c>
      <x:c r="G20" s="400" t="n">
        <x:f>E20*F20</x:f>
        <x:v>9</x:v>
      </x:c>
      <x:c r="H20" s="400" t="str">
        <x:f>IF(AND(OR(Daily!N7=TRUE,Daily!AB7=TRUE),COUNT(Daily!O7,Daily!P7,Daily!Q7)&gt;0),SUM(Daily!O7,Daily!P7,Daily!Q7),"")</x:f>
      </x:c>
      <x:c r="I20" s="432" t="str">
        <x:f>IF(AND(ISNUMBER(H20),ISNUMBER(G20),G20&gt;0),100*H20/G20,"")</x:f>
      </x:c>
      <x:c r="J20" s="432" t="n">
        <x:f>IF(COUNTIF(Library!$B$3:$B$58,C20)&lt;&gt;1,"",INDEX(Library!$C$3:$C$58,MATCH(C20,Library!$B$3:$B$58,0)))</x:f>
        <x:v>4</x:v>
      </x:c>
      <x:c r="K20" s="433" t="n">
        <x:f>IF(COUNTIFS(Loads!$A$3:$A$1000,"&gt;="&amp;INT(A20),Loads!$A$3:$A$1000,"&lt;"&amp;(INT(A20)+1),Loads!$B$3:$B$1000,B20,Loads!$C$3:$C$1000,C20)=0,0,IF(OR(COUNTIFS(Loads!$A$3:$A$1000,"&gt;="&amp;INT(A20),Loads!$A$3:$A$1000,"&lt;"&amp;(INT(A20)+1),Loads!$B$3:$B$1000,B20,Loads!$C$3:$C$1000,C20)&lt;&gt;1,COUNTIFS(Loads!$A$3:$A$1000,"&gt;="&amp;INT(A20),Loads!$A$3:$A$1000,"&lt;"&amp;(INT(A20)+1),Loads!$B$3:$B$1000,B20,Loads!$C$3:$C$1000,C20,Loads!$E$3:$E$1000,"&lt;&gt;")&lt;&gt;1),"",SUMIFS(Loads!$E$3:$E$1000,Loads!$A$3:$A$1000,"&gt;="&amp;INT(A20),Loads!$A$3:$A$1000,"&lt;"&amp;(INT(A20)+1),Loads!$B$3:$B$1000,B20,Loads!$C$3:$C$1000,C20)))</x:f>
        <x:v>0</x:v>
      </x:c>
      <x:c r="L20" s="434" t="n">
        <x:f>IF(COUNTIF(Library!$B$3:$B$58,C20)&lt;&gt;1,"",IF(COUNTIFS(Library!$B$3:$B$58,C20,Library!$E$3:$E$58,"&lt;&gt;")=0,0,INDEX(Library!$E$3:$E$58,MATCH(C20,Library!$B$3:$B$58,0))))</x:f>
        <x:v>0.04</x:v>
      </x:c>
      <x:c r="M20" s="432" t="n">
        <x:f>IF(OR(COUNT(J20:L20)&lt;&gt;3,J20&lt;0,J20&gt;10,K20&lt;0,L20&lt;0,COUNTIFS(Library!$B$3:$B$58,C20,Library!$D$3:$D$58,D20)&lt;&gt;1),"",MIN(10,J20*(1+K20*L20)))</x:f>
        <x:v>4</x:v>
      </x:c>
      <x:c r="N20" s="432" t="n">
        <x:f>IF(D20="seconds",IF(AND(ISNUMBER($B$177),$B$177&gt;0),G20/$B$177,""),IF(D20="reps/leg",G20*2,G20))</x:f>
        <x:v>9</x:v>
      </x:c>
      <x:c r="O20" s="432" t="n">
        <x:f>IF(COUNT(M20:N20)&lt;&gt;2,"",M20*N20)</x:f>
        <x:v>36</x:v>
      </x:c>
      <x:c r="P20" s="432"/>
      <x:c r="Q20" s="432"/>
      <x:c r="R20" s="400"/>
      <x:c r="S20" s="400"/>
      <x:c r="T20"/>
      <x:c r="U20"/>
      <x:c r="V20"/>
      <x:c r="W20"/>
      <x:c r="X20"/>
      <x:c r="Y20"/>
      <x:c r="Z20"/>
      <x:c r="AA20"/>
      <x:c r="AB20"/>
    </x:row>
    <x:row r="21" ht="38" hidden="0" customHeight="1">
      <x:c r="A21" s="402" t="n">
        <x:f>Daily!A7</x:f>
        <x:v>46328.5</x:v>
      </x:c>
      <x:c r="B21" s="391" t="str">
        <x:f>Daily!D7</x:f>
        <x:v>Skill A + Cal-Intervals</x:v>
      </x:c>
      <x:c r="C21" s="400" t="str">
        <x:v>Lower-box pistol with counterweight</x:v>
      </x:c>
      <x:c r="D21" s="400" t="str">
        <x:v>reps/leg</x:v>
      </x:c>
      <x:c r="E21" s="400" t="n">
        <x:v>3</x:v>
      </x:c>
      <x:c r="F21" s="400" t="n">
        <x:v>4</x:v>
      </x:c>
      <x:c r="G21" s="400" t="n">
        <x:f>E21*F21</x:f>
        <x:v>12</x:v>
      </x:c>
      <x:c r="H21" s="400" t="str">
        <x:f>IF(AND(OR(Daily!T7=TRUE,Daily!AB7=TRUE),COUNT(Daily!U7,Daily!V7,Daily!W7)&gt;0),SUM(Daily!U7,Daily!V7,Daily!W7),"")</x:f>
      </x:c>
      <x:c r="I21" s="432" t="str">
        <x:f>IF(AND(ISNUMBER(H21),ISNUMBER(G21),G21&gt;0),100*H21/G21,"")</x:f>
      </x:c>
      <x:c r="J21" s="432" t="n">
        <x:f>IF(COUNTIF(Library!$B$3:$B$58,C21)&lt;&gt;1,"",INDEX(Library!$C$3:$C$58,MATCH(C21,Library!$B$3:$B$58,0)))</x:f>
        <x:v>2</x:v>
      </x:c>
      <x:c r="K21" s="433" t="n">
        <x:f>IF(COUNTIFS(Loads!$A$3:$A$1000,"&gt;="&amp;INT(A21),Loads!$A$3:$A$1000,"&lt;"&amp;(INT(A21)+1),Loads!$B$3:$B$1000,B21,Loads!$C$3:$C$1000,C21)=0,0,IF(OR(COUNTIFS(Loads!$A$3:$A$1000,"&gt;="&amp;INT(A21),Loads!$A$3:$A$1000,"&lt;"&amp;(INT(A21)+1),Loads!$B$3:$B$1000,B21,Loads!$C$3:$C$1000,C21)&lt;&gt;1,COUNTIFS(Loads!$A$3:$A$1000,"&gt;="&amp;INT(A21),Loads!$A$3:$A$1000,"&lt;"&amp;(INT(A21)+1),Loads!$B$3:$B$1000,B21,Loads!$C$3:$C$1000,C21,Loads!$E$3:$E$1000,"&lt;&gt;")&lt;&gt;1),"",SUMIFS(Loads!$E$3:$E$1000,Loads!$A$3:$A$1000,"&gt;="&amp;INT(A21),Loads!$A$3:$A$1000,"&lt;"&amp;(INT(A21)+1),Loads!$B$3:$B$1000,B21,Loads!$C$3:$C$1000,C21)))</x:f>
        <x:v>0</x:v>
      </x:c>
      <x:c r="L21" s="434" t="n">
        <x:f>IF(COUNTIF(Library!$B$3:$B$58,C21)&lt;&gt;1,"",IF(COUNTIFS(Library!$B$3:$B$58,C21,Library!$E$3:$E$58,"&lt;&gt;")=0,0,INDEX(Library!$E$3:$E$58,MATCH(C21,Library!$B$3:$B$58,0))))</x:f>
        <x:v>0.03</x:v>
      </x:c>
      <x:c r="M21" s="432" t="n">
        <x:f>IF(OR(COUNT(J21:L21)&lt;&gt;3,J21&lt;0,J21&gt;10,K21&lt;0,L21&lt;0,COUNTIFS(Library!$B$3:$B$58,C21,Library!$D$3:$D$58,D21)&lt;&gt;1),"",MIN(10,J21*(1+K21*L21)))</x:f>
        <x:v>2</x:v>
      </x:c>
      <x:c r="N21" s="432" t="n">
        <x:f>IF(D21="seconds",IF(AND(ISNUMBER($B$177),$B$177&gt;0),G21/$B$177,""),IF(D21="reps/leg",G21*2,G21))</x:f>
        <x:v>24</x:v>
      </x:c>
      <x:c r="O21" s="432" t="n">
        <x:f>IF(COUNT(M21:N21)&lt;&gt;2,"",M21*N21)</x:f>
        <x:v>48</x:v>
      </x:c>
      <x:c r="P21" s="432"/>
      <x:c r="Q21" s="432"/>
      <x:c r="R21" s="400"/>
      <x:c r="S21" s="400"/>
      <x:c r="T21"/>
      <x:c r="U21"/>
      <x:c r="V21"/>
      <x:c r="W21"/>
      <x:c r="X21"/>
      <x:c r="Y21"/>
      <x:c r="Z21"/>
      <x:c r="AA21"/>
      <x:c r="AB21"/>
    </x:row>
    <x:row r="22" ht="38" hidden="0" customHeight="1">
      <x:c r="A22" s="402" t="n">
        <x:f>Daily!A7</x:f>
        <x:v>46328.5</x:v>
      </x:c>
      <x:c r="B22" s="391" t="str">
        <x:f>Daily!D7</x:f>
        <x:v>Skill A + Cal-Intervals</x:v>
      </x:c>
      <x:c r="C22" s="400" t="str">
        <x:v>Cal-Intervals</x:v>
      </x:c>
      <x:c r="D22" s="400" t="str">
        <x:v>rounds</x:v>
      </x:c>
      <x:c r="E22" s="400" t="n">
        <x:v>1</x:v>
      </x:c>
      <x:c r="F22" s="400" t="n">
        <x:v>5</x:v>
      </x:c>
      <x:c r="G22" s="400" t="n">
        <x:v>5</x:v>
      </x:c>
      <x:c r="H22" s="400" t="str">
        <x:f>IF(AND(OR(Daily!Z7=TRUE,Daily!AB7=TRUE),ISNUMBER(Daily!AA7)),Daily!AA7,"")</x:f>
      </x:c>
      <x:c r="I22" s="432" t="str">
        <x:f>IF(AND(ISNUMBER(H22),G22&gt;0),100*H22/G22,"")</x:f>
      </x:c>
      <x:c r="J22" s="432" t="n">
        <x:f>IF(OR(COUNT(Library!F67:F70)&lt;&gt;4,COUNT(Library!E67:E70)&lt;&gt;4,SUM(Library!E67:E70)=0),"",SUM(Library!F67:F70)/SUM(Library!E67:E70))</x:f>
        <x:v>5</x:v>
      </x:c>
      <x:c r="K22" s="433"/>
      <x:c r="L22" s="434"/>
      <x:c r="M22" s="432" t="n">
        <x:f>IF(ISNUMBER(J22),J22,"")</x:f>
        <x:v>5</x:v>
      </x:c>
      <x:c r="N22" s="432" t="n">
        <x:f>IF(COUNT(Library!E67:E70)&lt;&gt;4,"",G22*SUM(Library!E67:E70))</x:f>
        <x:v>200</x:v>
      </x:c>
      <x:c r="O22" s="432" t="n">
        <x:f>IF(COUNT(Library!F67:F70)&lt;&gt;4,"",G22*SUM(Library!F67:F70))</x:f>
        <x:v>1000</x:v>
      </x:c>
      <x:c r="P22" s="432"/>
      <x:c r="Q22" s="432"/>
      <x:c r="R22" s="400"/>
      <x:c r="S22" s="400"/>
      <x:c r="T22"/>
      <x:c r="U22"/>
      <x:c r="V22"/>
      <x:c r="W22"/>
      <x:c r="X22"/>
      <x:c r="Y22"/>
      <x:c r="Z22"/>
      <x:c r="AA22"/>
      <x:c r="AB22"/>
    </x:row>
    <x:row r="23" ht="38" hidden="0" customHeight="1">
      <x:c r="A23" s="402" t="n">
        <x:f>Daily!A8</x:f>
        <x:v>46329.5</x:v>
      </x:c>
      <x:c r="B23" s="391" t="str">
        <x:f>Daily!D8</x:f>
        <x:v>Handstand technique</x:v>
      </x:c>
      <x:c r="C23" s="400" t="str">
        <x:v>Wrist/shoulder mobility</x:v>
      </x:c>
      <x:c r="D23" s="400" t="str">
        <x:v>seconds</x:v>
      </x:c>
      <x:c r="E23" s="400" t="n">
        <x:v>1</x:v>
      </x:c>
      <x:c r="F23" s="400" t="n">
        <x:v>120</x:v>
      </x:c>
      <x:c r="G23" s="400" t="n">
        <x:f>E23*F23</x:f>
        <x:v>120</x:v>
      </x:c>
      <x:c r="H23" s="400" t="str">
        <x:f>IF(AND(OR(Daily!H8=TRUE,Daily!AB8=TRUE),COUNT(Daily!I8)&gt;0),SUM(Daily!I8)*86400,"")</x:f>
      </x:c>
      <x:c r="I23" s="432" t="str">
        <x:f>IF(AND(ISNUMBER(H23),ISNUMBER(G23),G23&gt;0),100*H23/G23,"")</x:f>
      </x:c>
      <x:c r="J23" s="432" t="n">
        <x:f>IF(COUNTIF(Library!$B$3:$B$58,C23)&lt;&gt;1,"",INDEX(Library!$C$3:$C$58,MATCH(C23,Library!$B$3:$B$58,0)))</x:f>
        <x:v>1</x:v>
      </x:c>
      <x:c r="K23" s="433" t="n">
        <x:f>IF(COUNTIFS(Loads!$A$3:$A$1000,"&gt;="&amp;INT(A23),Loads!$A$3:$A$1000,"&lt;"&amp;(INT(A23)+1),Loads!$B$3:$B$1000,B23,Loads!$C$3:$C$1000,C23)=0,0,IF(OR(COUNTIFS(Loads!$A$3:$A$1000,"&gt;="&amp;INT(A23),Loads!$A$3:$A$1000,"&lt;"&amp;(INT(A23)+1),Loads!$B$3:$B$1000,B23,Loads!$C$3:$C$1000,C23)&lt;&gt;1,COUNTIFS(Loads!$A$3:$A$1000,"&gt;="&amp;INT(A23),Loads!$A$3:$A$1000,"&lt;"&amp;(INT(A23)+1),Loads!$B$3:$B$1000,B23,Loads!$C$3:$C$1000,C23,Loads!$E$3:$E$1000,"&lt;&gt;")&lt;&gt;1),"",SUMIFS(Loads!$E$3:$E$1000,Loads!$A$3:$A$1000,"&gt;="&amp;INT(A23),Loads!$A$3:$A$1000,"&lt;"&amp;(INT(A23)+1),Loads!$B$3:$B$1000,B23,Loads!$C$3:$C$1000,C23)))</x:f>
        <x:v>0</x:v>
      </x:c>
      <x:c r="L23" s="434" t="n">
        <x:f>IF(COUNTIF(Library!$B$3:$B$58,C23)&lt;&gt;1,"",IF(COUNTIFS(Library!$B$3:$B$58,C23,Library!$E$3:$E$58,"&lt;&gt;")=0,0,INDEX(Library!$E$3:$E$58,MATCH(C23,Library!$B$3:$B$58,0))))</x:f>
        <x:v>0</x:v>
      </x:c>
      <x:c r="M23" s="432" t="n">
        <x:f>IF(OR(COUNT(J23:L23)&lt;&gt;3,J23&lt;0,J23&gt;10,K23&lt;0,L23&lt;0,COUNTIFS(Library!$B$3:$B$58,C23,Library!$D$3:$D$58,D23)&lt;&gt;1),"",MIN(10,J23*(1+K23*L23)))</x:f>
        <x:v>1</x:v>
      </x:c>
      <x:c r="N23" s="432" t="n">
        <x:f>IF(D23="seconds",IF(AND(ISNUMBER($B$177),$B$177&gt;0),G23/$B$177,""),IF(D23="reps/leg",G23*2,G23))</x:f>
        <x:v>40</x:v>
      </x:c>
      <x:c r="O23" s="432" t="n">
        <x:f>IF(COUNT(M23:N23)&lt;&gt;2,"",M23*N23)</x:f>
        <x:v>40</x:v>
      </x:c>
      <x:c r="P23" s="432" t="n">
        <x:f>IF(COUNT(O23:O25)&lt;&gt;COUNT(N23:N25),"",IF(SUM(N23:N25)=0,0,ROUND(SUM(O23:O25)/SUM(N23:N25),1)))</x:f>
        <x:v>1</x:v>
      </x:c>
      <x:c r="Q23" s="432" t="str">
        <x:f>IF(COUNT(I23:I25)=0,"",MEDIAN(I23:I25))</x:f>
      </x:c>
      <x:c r="R23" s="400" t="n">
        <x:f>COUNT(I23:I25)</x:f>
        <x:v>0</x:v>
      </x:c>
      <x:c r="S23" s="400" t="n">
        <x:v>3</x:v>
      </x:c>
      <x:c r="T23"/>
      <x:c r="U23"/>
      <x:c r="V23"/>
      <x:c r="W23"/>
      <x:c r="X23"/>
      <x:c r="Y23"/>
      <x:c r="Z23"/>
      <x:c r="AA23"/>
      <x:c r="AB23"/>
    </x:row>
    <x:row r="24" ht="38" hidden="0" customHeight="1">
      <x:c r="A24" s="402" t="n">
        <x:f>Daily!A8</x:f>
        <x:v>46329.5</x:v>
      </x:c>
      <x:c r="B24" s="391" t="str">
        <x:f>Daily!D8</x:f>
        <x:v>Handstand technique</x:v>
      </x:c>
      <x:c r="C24" s="400" t="str">
        <x:v>Easy chest-to-wall hold</x:v>
      </x:c>
      <x:c r="D24" s="400" t="str">
        <x:v>seconds</x:v>
      </x:c>
      <x:c r="E24" s="400" t="n">
        <x:v>3</x:v>
      </x:c>
      <x:c r="F24" s="400" t="n">
        <x:v>15</x:v>
      </x:c>
      <x:c r="G24" s="400" t="n">
        <x:f>E24*F24</x:f>
        <x:v>45</x:v>
      </x:c>
      <x:c r="H24" s="400" t="str">
        <x:f>IF(AND(OR(Daily!N8=TRUE,Daily!AB8=TRUE),COUNT(Daily!O8,Daily!P8,Daily!Q8)&gt;0),SUM(Daily!O8,Daily!P8,Daily!Q8)*86400,"")</x:f>
      </x:c>
      <x:c r="I24" s="432" t="str">
        <x:f>IF(AND(ISNUMBER(H24),ISNUMBER(G24),G24&gt;0),100*H24/G24,"")</x:f>
      </x:c>
      <x:c r="J24" s="432" t="n">
        <x:f>IF(COUNTIF(Library!$B$3:$B$58,C24)&lt;&gt;1,"",INDEX(Library!$C$3:$C$58,MATCH(C24,Library!$B$3:$B$58,0)))</x:f>
        <x:v>1</x:v>
      </x:c>
      <x:c r="K24" s="433" t="n">
        <x:f>IF(COUNTIFS(Loads!$A$3:$A$1000,"&gt;="&amp;INT(A24),Loads!$A$3:$A$1000,"&lt;"&amp;(INT(A24)+1),Loads!$B$3:$B$1000,B24,Loads!$C$3:$C$1000,C24)=0,0,IF(OR(COUNTIFS(Loads!$A$3:$A$1000,"&gt;="&amp;INT(A24),Loads!$A$3:$A$1000,"&lt;"&amp;(INT(A24)+1),Loads!$B$3:$B$1000,B24,Loads!$C$3:$C$1000,C24)&lt;&gt;1,COUNTIFS(Loads!$A$3:$A$1000,"&gt;="&amp;INT(A24),Loads!$A$3:$A$1000,"&lt;"&amp;(INT(A24)+1),Loads!$B$3:$B$1000,B24,Loads!$C$3:$C$1000,C24,Loads!$E$3:$E$1000,"&lt;&gt;")&lt;&gt;1),"",SUMIFS(Loads!$E$3:$E$1000,Loads!$A$3:$A$1000,"&gt;="&amp;INT(A24),Loads!$A$3:$A$1000,"&lt;"&amp;(INT(A24)+1),Loads!$B$3:$B$1000,B24,Loads!$C$3:$C$1000,C24)))</x:f>
        <x:v>0</x:v>
      </x:c>
      <x:c r="L24" s="434" t="n">
        <x:f>IF(COUNTIF(Library!$B$3:$B$58,C24)&lt;&gt;1,"",IF(COUNTIFS(Library!$B$3:$B$58,C24,Library!$E$3:$E$58,"&lt;&gt;")=0,0,INDEX(Library!$E$3:$E$58,MATCH(C24,Library!$B$3:$B$58,0))))</x:f>
        <x:v>0</x:v>
      </x:c>
      <x:c r="M24" s="432" t="n">
        <x:f>IF(OR(COUNT(J24:L24)&lt;&gt;3,J24&lt;0,J24&gt;10,K24&lt;0,L24&lt;0,COUNTIFS(Library!$B$3:$B$58,C24,Library!$D$3:$D$58,D24)&lt;&gt;1),"",MIN(10,J24*(1+K24*L24)))</x:f>
        <x:v>1</x:v>
      </x:c>
      <x:c r="N24" s="432" t="n">
        <x:f>IF(D24="seconds",IF(AND(ISNUMBER($B$177),$B$177&gt;0),G24/$B$177,""),IF(D24="reps/leg",G24*2,G24))</x:f>
        <x:v>15</x:v>
      </x:c>
      <x:c r="O24" s="432" t="n">
        <x:f>IF(COUNT(M24:N24)&lt;&gt;2,"",M24*N24)</x:f>
        <x:v>15</x:v>
      </x:c>
      <x:c r="P24" s="432"/>
      <x:c r="Q24" s="432"/>
      <x:c r="R24" s="400"/>
      <x:c r="S24" s="400"/>
      <x:c r="T24"/>
      <x:c r="U24"/>
      <x:c r="V24"/>
      <x:c r="W24"/>
      <x:c r="X24"/>
      <x:c r="Y24"/>
      <x:c r="Z24"/>
      <x:c r="AA24"/>
      <x:c r="AB24"/>
    </x:row>
    <x:row r="25" ht="38" hidden="0" customHeight="1">
      <x:c r="A25" s="402" t="n">
        <x:f>Daily!A8</x:f>
        <x:v>46329.5</x:v>
      </x:c>
      <x:c r="B25" s="391" t="str">
        <x:f>Daily!D8</x:f>
        <x:v>Handstand technique</x:v>
      </x:c>
      <x:c r="C25" s="400" t="str">
        <x:v>Wall handstand line drill</x:v>
      </x:c>
      <x:c r="D25" s="400" t="str">
        <x:v>seconds</x:v>
      </x:c>
      <x:c r="E25" s="400" t="n">
        <x:v>2</x:v>
      </x:c>
      <x:c r="F25" s="400" t="n">
        <x:v>15</x:v>
      </x:c>
      <x:c r="G25" s="400" t="n">
        <x:f>E25*F25</x:f>
        <x:v>30</x:v>
      </x:c>
      <x:c r="H25" s="400" t="str">
        <x:f>IF(AND(OR(Daily!T8=TRUE,Daily!AB8=TRUE),COUNT(Daily!U8,Daily!V8)&gt;0),SUM(Daily!U8,Daily!V8)*86400,"")</x:f>
      </x:c>
      <x:c r="I25" s="432" t="str">
        <x:f>IF(AND(ISNUMBER(H25),ISNUMBER(G25),G25&gt;0),100*H25/G25,"")</x:f>
      </x:c>
      <x:c r="J25" s="432" t="n">
        <x:f>IF(COUNTIF(Library!$B$3:$B$58,C25)&lt;&gt;1,"",INDEX(Library!$C$3:$C$58,MATCH(C25,Library!$B$3:$B$58,0)))</x:f>
        <x:v>1</x:v>
      </x:c>
      <x:c r="K25" s="433" t="n">
        <x:f>IF(COUNTIFS(Loads!$A$3:$A$1000,"&gt;="&amp;INT(A25),Loads!$A$3:$A$1000,"&lt;"&amp;(INT(A25)+1),Loads!$B$3:$B$1000,B25,Loads!$C$3:$C$1000,C25)=0,0,IF(OR(COUNTIFS(Loads!$A$3:$A$1000,"&gt;="&amp;INT(A25),Loads!$A$3:$A$1000,"&lt;"&amp;(INT(A25)+1),Loads!$B$3:$B$1000,B25,Loads!$C$3:$C$1000,C25)&lt;&gt;1,COUNTIFS(Loads!$A$3:$A$1000,"&gt;="&amp;INT(A25),Loads!$A$3:$A$1000,"&lt;"&amp;(INT(A25)+1),Loads!$B$3:$B$1000,B25,Loads!$C$3:$C$1000,C25,Loads!$E$3:$E$1000,"&lt;&gt;")&lt;&gt;1),"",SUMIFS(Loads!$E$3:$E$1000,Loads!$A$3:$A$1000,"&gt;="&amp;INT(A25),Loads!$A$3:$A$1000,"&lt;"&amp;(INT(A25)+1),Loads!$B$3:$B$1000,B25,Loads!$C$3:$C$1000,C25)))</x:f>
        <x:v>0</x:v>
      </x:c>
      <x:c r="L25" s="434" t="n">
        <x:f>IF(COUNTIF(Library!$B$3:$B$58,C25)&lt;&gt;1,"",IF(COUNTIFS(Library!$B$3:$B$58,C25,Library!$E$3:$E$58,"&lt;&gt;")=0,0,INDEX(Library!$E$3:$E$58,MATCH(C25,Library!$B$3:$B$58,0))))</x:f>
        <x:v>0</x:v>
      </x:c>
      <x:c r="M25" s="432" t="n">
        <x:f>IF(OR(COUNT(J25:L25)&lt;&gt;3,J25&lt;0,J25&gt;10,K25&lt;0,L25&lt;0,COUNTIFS(Library!$B$3:$B$58,C25,Library!$D$3:$D$58,D25)&lt;&gt;1),"",MIN(10,J25*(1+K25*L25)))</x:f>
        <x:v>1</x:v>
      </x:c>
      <x:c r="N25" s="432" t="n">
        <x:f>IF(D25="seconds",IF(AND(ISNUMBER($B$177),$B$177&gt;0),G25/$B$177,""),IF(D25="reps/leg",G25*2,G25))</x:f>
        <x:v>10</x:v>
      </x:c>
      <x:c r="O25" s="432" t="n">
        <x:f>IF(COUNT(M25:N25)&lt;&gt;2,"",M25*N25)</x:f>
        <x:v>10</x:v>
      </x:c>
      <x:c r="P25" s="432"/>
      <x:c r="Q25" s="432"/>
      <x:c r="R25" s="400"/>
      <x:c r="S25" s="400"/>
      <x:c r="T25"/>
      <x:c r="U25"/>
      <x:c r="V25"/>
      <x:c r="W25"/>
      <x:c r="X25"/>
      <x:c r="Y25"/>
      <x:c r="Z25"/>
      <x:c r="AA25"/>
      <x:c r="AB25"/>
    </x:row>
    <x:row r="26" ht="38" hidden="0" customHeight="1">
      <x:c r="A26" s="402" t="n">
        <x:f>Daily!A9</x:f>
        <x:v>46331.5</x:v>
      </x:c>
      <x:c r="B26" s="391" t="str">
        <x:f>Daily!D9</x:f>
        <x:v>Skill B + Cal-Intervals</x:v>
      </x:c>
      <x:c r="C26" s="400" t="str">
        <x:v>Wall handstand</x:v>
      </x:c>
      <x:c r="D26" s="400" t="str">
        <x:v>seconds</x:v>
      </x:c>
      <x:c r="E26" s="400" t="n">
        <x:v>3</x:v>
      </x:c>
      <x:c r="F26" s="400" t="n">
        <x:v>25</x:v>
      </x:c>
      <x:c r="G26" s="400" t="n">
        <x:f>E26*F26</x:f>
        <x:v>75</x:v>
      </x:c>
      <x:c r="H26" s="400" t="str">
        <x:f>IF(AND(OR(Daily!H9=TRUE,Daily!AB9=TRUE),COUNT(Daily!I9,Daily!J9,Daily!K9)&gt;0),SUM(Daily!I9,Daily!J9,Daily!K9)*86400,"")</x:f>
      </x:c>
      <x:c r="I26" s="432" t="str">
        <x:f>IF(AND(ISNUMBER(H26),ISNUMBER(G26),G26&gt;0),100*H26/G26,"")</x:f>
      </x:c>
      <x:c r="J26" s="432" t="n">
        <x:f>IF(COUNTIF(Library!$B$3:$B$58,C26)&lt;&gt;1,"",INDEX(Library!$C$3:$C$58,MATCH(C26,Library!$B$3:$B$58,0)))</x:f>
        <x:v>4</x:v>
      </x:c>
      <x:c r="K26" s="433" t="n">
        <x:f>IF(COUNTIFS(Loads!$A$3:$A$1000,"&gt;="&amp;INT(A26),Loads!$A$3:$A$1000,"&lt;"&amp;(INT(A26)+1),Loads!$B$3:$B$1000,B26,Loads!$C$3:$C$1000,C26)=0,0,IF(OR(COUNTIFS(Loads!$A$3:$A$1000,"&gt;="&amp;INT(A26),Loads!$A$3:$A$1000,"&lt;"&amp;(INT(A26)+1),Loads!$B$3:$B$1000,B26,Loads!$C$3:$C$1000,C26)&lt;&gt;1,COUNTIFS(Loads!$A$3:$A$1000,"&gt;="&amp;INT(A26),Loads!$A$3:$A$1000,"&lt;"&amp;(INT(A26)+1),Loads!$B$3:$B$1000,B26,Loads!$C$3:$C$1000,C26,Loads!$E$3:$E$1000,"&lt;&gt;")&lt;&gt;1),"",SUMIFS(Loads!$E$3:$E$1000,Loads!$A$3:$A$1000,"&gt;="&amp;INT(A26),Loads!$A$3:$A$1000,"&lt;"&amp;(INT(A26)+1),Loads!$B$3:$B$1000,B26,Loads!$C$3:$C$1000,C26)))</x:f>
        <x:v>0</x:v>
      </x:c>
      <x:c r="L26" s="434" t="n">
        <x:f>IF(COUNTIF(Library!$B$3:$B$58,C26)&lt;&gt;1,"",IF(COUNTIFS(Library!$B$3:$B$58,C26,Library!$E$3:$E$58,"&lt;&gt;")=0,0,INDEX(Library!$E$3:$E$58,MATCH(C26,Library!$B$3:$B$58,0))))</x:f>
        <x:v>0</x:v>
      </x:c>
      <x:c r="M26" s="432" t="n">
        <x:f>IF(OR(COUNT(J26:L26)&lt;&gt;3,J26&lt;0,J26&gt;10,K26&lt;0,L26&lt;0,COUNTIFS(Library!$B$3:$B$58,C26,Library!$D$3:$D$58,D26)&lt;&gt;1),"",MIN(10,J26*(1+K26*L26)))</x:f>
        <x:v>4</x:v>
      </x:c>
      <x:c r="N26" s="432" t="n">
        <x:f>IF(D26="seconds",IF(AND(ISNUMBER($B$177),$B$177&gt;0),G26/$B$177,""),IF(D26="reps/leg",G26*2,G26))</x:f>
        <x:v>25</x:v>
      </x:c>
      <x:c r="O26" s="432" t="n">
        <x:f>IF(COUNT(M26:N26)&lt;&gt;2,"",M26*N26)</x:f>
        <x:v>100</x:v>
      </x:c>
      <x:c r="P26" s="432" t="n">
        <x:f>IF(COUNT(O26:O29)&lt;&gt;COUNT(N26:N29),"",IF(SUM(N26:N29)=0,0,ROUND(SUM(O26:O29)/SUM(N26:N29),1)))</x:f>
        <x:v>4.6</x:v>
      </x:c>
      <x:c r="Q26" s="432" t="str">
        <x:f>IF(COUNT(I26:I29)=0,"",MEDIAN(I26:I29))</x:f>
      </x:c>
      <x:c r="R26" s="400" t="n">
        <x:f>COUNT(I26:I29)</x:f>
        <x:v>0</x:v>
      </x:c>
      <x:c r="S26" s="400" t="n">
        <x:v>4</x:v>
      </x:c>
      <x:c r="T26"/>
      <x:c r="U26"/>
      <x:c r="V26"/>
      <x:c r="W26"/>
      <x:c r="X26"/>
      <x:c r="Y26"/>
      <x:c r="Z26"/>
      <x:c r="AA26"/>
      <x:c r="AB26"/>
    </x:row>
    <x:row r="27" ht="38" hidden="0" customHeight="1">
      <x:c r="A27" s="402" t="n">
        <x:f>Daily!A9</x:f>
        <x:v>46331.5</x:v>
      </x:c>
      <x:c r="B27" s="391" t="str">
        <x:f>Daily!D9</x:f>
        <x:v>Skill B + Cal-Intervals</x:v>
      </x:c>
      <x:c r="C27" s="400" t="str">
        <x:v>Elevated pike push-up</x:v>
      </x:c>
      <x:c r="D27" s="400" t="str">
        <x:v>reps</x:v>
      </x:c>
      <x:c r="E27" s="400" t="n">
        <x:v>3</x:v>
      </x:c>
      <x:c r="F27" s="400" t="n">
        <x:v>4</x:v>
      </x:c>
      <x:c r="G27" s="400" t="n">
        <x:f>E27*F27</x:f>
        <x:v>12</x:v>
      </x:c>
      <x:c r="H27" s="400" t="str">
        <x:f>IF(AND(OR(Daily!N9=TRUE,Daily!AB9=TRUE),COUNT(Daily!O9,Daily!P9,Daily!Q9)&gt;0),SUM(Daily!O9,Daily!P9,Daily!Q9),"")</x:f>
      </x:c>
      <x:c r="I27" s="432" t="str">
        <x:f>IF(AND(ISNUMBER(H27),ISNUMBER(G27),G27&gt;0),100*H27/G27,"")</x:f>
      </x:c>
      <x:c r="J27" s="432" t="n">
        <x:f>IF(COUNTIF(Library!$B$3:$B$58,C27)&lt;&gt;1,"",INDEX(Library!$C$3:$C$58,MATCH(C27,Library!$B$3:$B$58,0)))</x:f>
        <x:v>4</x:v>
      </x:c>
      <x:c r="K27" s="433" t="n">
        <x:f>IF(COUNTIFS(Loads!$A$3:$A$1000,"&gt;="&amp;INT(A27),Loads!$A$3:$A$1000,"&lt;"&amp;(INT(A27)+1),Loads!$B$3:$B$1000,B27,Loads!$C$3:$C$1000,C27)=0,0,IF(OR(COUNTIFS(Loads!$A$3:$A$1000,"&gt;="&amp;INT(A27),Loads!$A$3:$A$1000,"&lt;"&amp;(INT(A27)+1),Loads!$B$3:$B$1000,B27,Loads!$C$3:$C$1000,C27)&lt;&gt;1,COUNTIFS(Loads!$A$3:$A$1000,"&gt;="&amp;INT(A27),Loads!$A$3:$A$1000,"&lt;"&amp;(INT(A27)+1),Loads!$B$3:$B$1000,B27,Loads!$C$3:$C$1000,C27,Loads!$E$3:$E$1000,"&lt;&gt;")&lt;&gt;1),"",SUMIFS(Loads!$E$3:$E$1000,Loads!$A$3:$A$1000,"&gt;="&amp;INT(A27),Loads!$A$3:$A$1000,"&lt;"&amp;(INT(A27)+1),Loads!$B$3:$B$1000,B27,Loads!$C$3:$C$1000,C27)))</x:f>
        <x:v>0</x:v>
      </x:c>
      <x:c r="L27" s="434" t="n">
        <x:f>IF(COUNTIF(Library!$B$3:$B$58,C27)&lt;&gt;1,"",IF(COUNTIFS(Library!$B$3:$B$58,C27,Library!$E$3:$E$58,"&lt;&gt;")=0,0,INDEX(Library!$E$3:$E$58,MATCH(C27,Library!$B$3:$B$58,0))))</x:f>
        <x:v>0</x:v>
      </x:c>
      <x:c r="M27" s="432" t="n">
        <x:f>IF(OR(COUNT(J27:L27)&lt;&gt;3,J27&lt;0,J27&gt;10,K27&lt;0,L27&lt;0,COUNTIFS(Library!$B$3:$B$58,C27,Library!$D$3:$D$58,D27)&lt;&gt;1),"",MIN(10,J27*(1+K27*L27)))</x:f>
        <x:v>4</x:v>
      </x:c>
      <x:c r="N27" s="432" t="n">
        <x:f>IF(D27="seconds",IF(AND(ISNUMBER($B$177),$B$177&gt;0),G27/$B$177,""),IF(D27="reps/leg",G27*2,G27))</x:f>
        <x:v>12</x:v>
      </x:c>
      <x:c r="O27" s="432" t="n">
        <x:f>IF(COUNT(M27:N27)&lt;&gt;2,"",M27*N27)</x:f>
        <x:v>48</x:v>
      </x:c>
      <x:c r="P27" s="432"/>
      <x:c r="Q27" s="432"/>
      <x:c r="R27" s="400"/>
      <x:c r="S27" s="400"/>
      <x:c r="T27"/>
      <x:c r="U27"/>
      <x:c r="V27"/>
      <x:c r="W27"/>
      <x:c r="X27"/>
      <x:c r="Y27"/>
      <x:c r="Z27"/>
      <x:c r="AA27"/>
      <x:c r="AB27"/>
    </x:row>
    <x:row r="28" ht="38" hidden="0" customHeight="1">
      <x:c r="A28" s="402" t="n">
        <x:f>Daily!A9</x:f>
        <x:v>46331.5</x:v>
      </x:c>
      <x:c r="B28" s="391" t="str">
        <x:f>Daily!D9</x:f>
        <x:v>Skill B + Cal-Intervals</x:v>
      </x:c>
      <x:c r="C28" s="400" t="str">
        <x:v>Lower-box pistol with counterweight</x:v>
      </x:c>
      <x:c r="D28" s="400" t="str">
        <x:v>reps/leg</x:v>
      </x:c>
      <x:c r="E28" s="400" t="n">
        <x:v>3</x:v>
      </x:c>
      <x:c r="F28" s="400" t="n">
        <x:v>4</x:v>
      </x:c>
      <x:c r="G28" s="400" t="n">
        <x:f>E28*F28</x:f>
        <x:v>12</x:v>
      </x:c>
      <x:c r="H28" s="400" t="str">
        <x:f>IF(AND(OR(Daily!T9=TRUE,Daily!AB9=TRUE),COUNT(Daily!U9,Daily!V9,Daily!W9)&gt;0),SUM(Daily!U9,Daily!V9,Daily!W9),"")</x:f>
      </x:c>
      <x:c r="I28" s="432" t="str">
        <x:f>IF(AND(ISNUMBER(H28),ISNUMBER(G28),G28&gt;0),100*H28/G28,"")</x:f>
      </x:c>
      <x:c r="J28" s="432" t="n">
        <x:f>IF(COUNTIF(Library!$B$3:$B$58,C28)&lt;&gt;1,"",INDEX(Library!$C$3:$C$58,MATCH(C28,Library!$B$3:$B$58,0)))</x:f>
        <x:v>2</x:v>
      </x:c>
      <x:c r="K28" s="433" t="n">
        <x:f>IF(COUNTIFS(Loads!$A$3:$A$1000,"&gt;="&amp;INT(A28),Loads!$A$3:$A$1000,"&lt;"&amp;(INT(A28)+1),Loads!$B$3:$B$1000,B28,Loads!$C$3:$C$1000,C28)=0,0,IF(OR(COUNTIFS(Loads!$A$3:$A$1000,"&gt;="&amp;INT(A28),Loads!$A$3:$A$1000,"&lt;"&amp;(INT(A28)+1),Loads!$B$3:$B$1000,B28,Loads!$C$3:$C$1000,C28)&lt;&gt;1,COUNTIFS(Loads!$A$3:$A$1000,"&gt;="&amp;INT(A28),Loads!$A$3:$A$1000,"&lt;"&amp;(INT(A28)+1),Loads!$B$3:$B$1000,B28,Loads!$C$3:$C$1000,C28,Loads!$E$3:$E$1000,"&lt;&gt;")&lt;&gt;1),"",SUMIFS(Loads!$E$3:$E$1000,Loads!$A$3:$A$1000,"&gt;="&amp;INT(A28),Loads!$A$3:$A$1000,"&lt;"&amp;(INT(A28)+1),Loads!$B$3:$B$1000,B28,Loads!$C$3:$C$1000,C28)))</x:f>
        <x:v>0</x:v>
      </x:c>
      <x:c r="L28" s="434" t="n">
        <x:f>IF(COUNTIF(Library!$B$3:$B$58,C28)&lt;&gt;1,"",IF(COUNTIFS(Library!$B$3:$B$58,C28,Library!$E$3:$E$58,"&lt;&gt;")=0,0,INDEX(Library!$E$3:$E$58,MATCH(C28,Library!$B$3:$B$58,0))))</x:f>
        <x:v>0.03</x:v>
      </x:c>
      <x:c r="M28" s="432" t="n">
        <x:f>IF(OR(COUNT(J28:L28)&lt;&gt;3,J28&lt;0,J28&gt;10,K28&lt;0,L28&lt;0,COUNTIFS(Library!$B$3:$B$58,C28,Library!$D$3:$D$58,D28)&lt;&gt;1),"",MIN(10,J28*(1+K28*L28)))</x:f>
        <x:v>2</x:v>
      </x:c>
      <x:c r="N28" s="432" t="n">
        <x:f>IF(D28="seconds",IF(AND(ISNUMBER($B$177),$B$177&gt;0),G28/$B$177,""),IF(D28="reps/leg",G28*2,G28))</x:f>
        <x:v>24</x:v>
      </x:c>
      <x:c r="O28" s="432" t="n">
        <x:f>IF(COUNT(M28:N28)&lt;&gt;2,"",M28*N28)</x:f>
        <x:v>48</x:v>
      </x:c>
      <x:c r="P28" s="432"/>
      <x:c r="Q28" s="432"/>
      <x:c r="R28" s="400"/>
      <x:c r="S28" s="400"/>
      <x:c r="T28"/>
      <x:c r="U28"/>
      <x:c r="V28"/>
      <x:c r="W28"/>
      <x:c r="X28"/>
      <x:c r="Y28"/>
      <x:c r="Z28"/>
      <x:c r="AA28"/>
      <x:c r="AB28"/>
    </x:row>
    <x:row r="29" ht="38" hidden="0" customHeight="1">
      <x:c r="A29" s="402" t="n">
        <x:f>Daily!A9</x:f>
        <x:v>46331.5</x:v>
      </x:c>
      <x:c r="B29" s="391" t="str">
        <x:f>Daily!D9</x:f>
        <x:v>Skill B + Cal-Intervals</x:v>
      </x:c>
      <x:c r="C29" s="400" t="str">
        <x:v>Cal-Intervals</x:v>
      </x:c>
      <x:c r="D29" s="400" t="str">
        <x:v>rounds</x:v>
      </x:c>
      <x:c r="E29" s="400" t="n">
        <x:v>1</x:v>
      </x:c>
      <x:c r="F29" s="400" t="n">
        <x:v>5</x:v>
      </x:c>
      <x:c r="G29" s="400" t="n">
        <x:v>5</x:v>
      </x:c>
      <x:c r="H29" s="400" t="str">
        <x:f>IF(AND(OR(Daily!Z9=TRUE,Daily!AB9=TRUE),ISNUMBER(Daily!AA9)),Daily!AA9,"")</x:f>
      </x:c>
      <x:c r="I29" s="432" t="str">
        <x:f>IF(AND(ISNUMBER(H29),G29&gt;0),100*H29/G29,"")</x:f>
      </x:c>
      <x:c r="J29" s="432" t="n">
        <x:f>IF(OR(COUNT(Library!F67:F70)&lt;&gt;4,COUNT(Library!E67:E70)&lt;&gt;4,SUM(Library!E67:E70)=0),"",SUM(Library!F67:F70)/SUM(Library!E67:E70))</x:f>
        <x:v>5</x:v>
      </x:c>
      <x:c r="K29" s="433"/>
      <x:c r="L29" s="434"/>
      <x:c r="M29" s="432" t="n">
        <x:f>IF(ISNUMBER(J29),J29,"")</x:f>
        <x:v>5</x:v>
      </x:c>
      <x:c r="N29" s="432" t="n">
        <x:f>IF(COUNT(Library!E67:E70)&lt;&gt;4,"",G29*SUM(Library!E67:E70))</x:f>
        <x:v>200</x:v>
      </x:c>
      <x:c r="O29" s="432" t="n">
        <x:f>IF(COUNT(Library!F67:F70)&lt;&gt;4,"",G29*SUM(Library!F67:F70))</x:f>
        <x:v>1000</x:v>
      </x:c>
      <x:c r="P29" s="432"/>
      <x:c r="Q29" s="432"/>
      <x:c r="R29" s="400"/>
      <x:c r="S29" s="400"/>
      <x:c r="T29"/>
      <x:c r="U29"/>
      <x:c r="V29"/>
      <x:c r="W29"/>
      <x:c r="X29"/>
      <x:c r="Y29"/>
      <x:c r="Z29"/>
      <x:c r="AA29"/>
      <x:c r="AB29"/>
    </x:row>
    <x:row r="30" ht="38" hidden="0" customHeight="1">
      <x:c r="A30" s="402" t="n">
        <x:f>Daily!A10</x:f>
        <x:v>46333.5</x:v>
      </x:c>
      <x:c r="B30" s="391" t="str">
        <x:f>Daily!D10</x:f>
        <x:v>Skill micro-session</x:v>
      </x:c>
      <x:c r="C30" s="400" t="str">
        <x:v>Wrist/shoulder mobility</x:v>
      </x:c>
      <x:c r="D30" s="400" t="str">
        <x:v>seconds</x:v>
      </x:c>
      <x:c r="E30" s="400" t="n">
        <x:v>1</x:v>
      </x:c>
      <x:c r="F30" s="400" t="n">
        <x:v>120</x:v>
      </x:c>
      <x:c r="G30" s="400" t="n">
        <x:f>E30*F30</x:f>
        <x:v>120</x:v>
      </x:c>
      <x:c r="H30" s="400" t="str">
        <x:f>IF(AND(OR(Daily!H10=TRUE,Daily!AB10=TRUE),COUNT(Daily!I10)&gt;0),SUM(Daily!I10)*86400,"")</x:f>
      </x:c>
      <x:c r="I30" s="432" t="str">
        <x:f>IF(AND(ISNUMBER(H30),ISNUMBER(G30),G30&gt;0),100*H30/G30,"")</x:f>
      </x:c>
      <x:c r="J30" s="432" t="n">
        <x:f>IF(COUNTIF(Library!$B$3:$B$58,C30)&lt;&gt;1,"",INDEX(Library!$C$3:$C$58,MATCH(C30,Library!$B$3:$B$58,0)))</x:f>
        <x:v>1</x:v>
      </x:c>
      <x:c r="K30" s="433" t="n">
        <x:f>IF(COUNTIFS(Loads!$A$3:$A$1000,"&gt;="&amp;INT(A30),Loads!$A$3:$A$1000,"&lt;"&amp;(INT(A30)+1),Loads!$B$3:$B$1000,B30,Loads!$C$3:$C$1000,C30)=0,0,IF(OR(COUNTIFS(Loads!$A$3:$A$1000,"&gt;="&amp;INT(A30),Loads!$A$3:$A$1000,"&lt;"&amp;(INT(A30)+1),Loads!$B$3:$B$1000,B30,Loads!$C$3:$C$1000,C30)&lt;&gt;1,COUNTIFS(Loads!$A$3:$A$1000,"&gt;="&amp;INT(A30),Loads!$A$3:$A$1000,"&lt;"&amp;(INT(A30)+1),Loads!$B$3:$B$1000,B30,Loads!$C$3:$C$1000,C30,Loads!$E$3:$E$1000,"&lt;&gt;")&lt;&gt;1),"",SUMIFS(Loads!$E$3:$E$1000,Loads!$A$3:$A$1000,"&gt;="&amp;INT(A30),Loads!$A$3:$A$1000,"&lt;"&amp;(INT(A30)+1),Loads!$B$3:$B$1000,B30,Loads!$C$3:$C$1000,C30)))</x:f>
        <x:v>0</x:v>
      </x:c>
      <x:c r="L30" s="434" t="n">
        <x:f>IF(COUNTIF(Library!$B$3:$B$58,C30)&lt;&gt;1,"",IF(COUNTIFS(Library!$B$3:$B$58,C30,Library!$E$3:$E$58,"&lt;&gt;")=0,0,INDEX(Library!$E$3:$E$58,MATCH(C30,Library!$B$3:$B$58,0))))</x:f>
        <x:v>0</x:v>
      </x:c>
      <x:c r="M30" s="432" t="n">
        <x:f>IF(OR(COUNT(J30:L30)&lt;&gt;3,J30&lt;0,J30&gt;10,K30&lt;0,L30&lt;0,COUNTIFS(Library!$B$3:$B$58,C30,Library!$D$3:$D$58,D30)&lt;&gt;1),"",MIN(10,J30*(1+K30*L30)))</x:f>
        <x:v>1</x:v>
      </x:c>
      <x:c r="N30" s="432" t="n">
        <x:f>IF(D30="seconds",IF(AND(ISNUMBER($B$177),$B$177&gt;0),G30/$B$177,""),IF(D30="reps/leg",G30*2,G30))</x:f>
        <x:v>40</x:v>
      </x:c>
      <x:c r="O30" s="432" t="n">
        <x:f>IF(COUNT(M30:N30)&lt;&gt;2,"",M30*N30)</x:f>
        <x:v>40</x:v>
      </x:c>
      <x:c r="P30" s="432" t="n">
        <x:f>IF(COUNT(O30:O32)&lt;&gt;COUNT(N30:N32),"",IF(SUM(N30:N32)=0,0,ROUND(SUM(O30:O32)/SUM(N30:N32),1)))</x:f>
        <x:v>1</x:v>
      </x:c>
      <x:c r="Q30" s="432" t="str">
        <x:f>IF(COUNT(I30:I32)=0,"",MEDIAN(I30:I32))</x:f>
      </x:c>
      <x:c r="R30" s="400" t="n">
        <x:f>COUNT(I30:I32)</x:f>
        <x:v>0</x:v>
      </x:c>
      <x:c r="S30" s="400" t="n">
        <x:v>3</x:v>
      </x:c>
      <x:c r="T30"/>
      <x:c r="U30"/>
      <x:c r="V30"/>
      <x:c r="W30"/>
      <x:c r="X30"/>
      <x:c r="Y30"/>
      <x:c r="Z30"/>
      <x:c r="AA30"/>
      <x:c r="AB30"/>
    </x:row>
    <x:row r="31" ht="38" hidden="0" customHeight="1">
      <x:c r="A31" s="402" t="n">
        <x:f>Daily!A10</x:f>
        <x:v>46333.5</x:v>
      </x:c>
      <x:c r="B31" s="391" t="str">
        <x:f>Daily!D10</x:f>
        <x:v>Skill micro-session</x:v>
      </x:c>
      <x:c r="C31" s="400" t="str">
        <x:v>Easy chest-to-wall hold</x:v>
      </x:c>
      <x:c r="D31" s="400" t="str">
        <x:v>seconds</x:v>
      </x:c>
      <x:c r="E31" s="400" t="n">
        <x:v>3</x:v>
      </x:c>
      <x:c r="F31" s="400" t="n">
        <x:v>15</x:v>
      </x:c>
      <x:c r="G31" s="400" t="n">
        <x:f>E31*F31</x:f>
        <x:v>45</x:v>
      </x:c>
      <x:c r="H31" s="400" t="str">
        <x:f>IF(AND(OR(Daily!N10=TRUE,Daily!AB10=TRUE),COUNT(Daily!O10,Daily!P10,Daily!Q10)&gt;0),SUM(Daily!O10,Daily!P10,Daily!Q10)*86400,"")</x:f>
      </x:c>
      <x:c r="I31" s="432" t="str">
        <x:f>IF(AND(ISNUMBER(H31),ISNUMBER(G31),G31&gt;0),100*H31/G31,"")</x:f>
      </x:c>
      <x:c r="J31" s="432" t="n">
        <x:f>IF(COUNTIF(Library!$B$3:$B$58,C31)&lt;&gt;1,"",INDEX(Library!$C$3:$C$58,MATCH(C31,Library!$B$3:$B$58,0)))</x:f>
        <x:v>1</x:v>
      </x:c>
      <x:c r="K31" s="433" t="n">
        <x:f>IF(COUNTIFS(Loads!$A$3:$A$1000,"&gt;="&amp;INT(A31),Loads!$A$3:$A$1000,"&lt;"&amp;(INT(A31)+1),Loads!$B$3:$B$1000,B31,Loads!$C$3:$C$1000,C31)=0,0,IF(OR(COUNTIFS(Loads!$A$3:$A$1000,"&gt;="&amp;INT(A31),Loads!$A$3:$A$1000,"&lt;"&amp;(INT(A31)+1),Loads!$B$3:$B$1000,B31,Loads!$C$3:$C$1000,C31)&lt;&gt;1,COUNTIFS(Loads!$A$3:$A$1000,"&gt;="&amp;INT(A31),Loads!$A$3:$A$1000,"&lt;"&amp;(INT(A31)+1),Loads!$B$3:$B$1000,B31,Loads!$C$3:$C$1000,C31,Loads!$E$3:$E$1000,"&lt;&gt;")&lt;&gt;1),"",SUMIFS(Loads!$E$3:$E$1000,Loads!$A$3:$A$1000,"&gt;="&amp;INT(A31),Loads!$A$3:$A$1000,"&lt;"&amp;(INT(A31)+1),Loads!$B$3:$B$1000,B31,Loads!$C$3:$C$1000,C31)))</x:f>
        <x:v>0</x:v>
      </x:c>
      <x:c r="L31" s="434" t="n">
        <x:f>IF(COUNTIF(Library!$B$3:$B$58,C31)&lt;&gt;1,"",IF(COUNTIFS(Library!$B$3:$B$58,C31,Library!$E$3:$E$58,"&lt;&gt;")=0,0,INDEX(Library!$E$3:$E$58,MATCH(C31,Library!$B$3:$B$58,0))))</x:f>
        <x:v>0</x:v>
      </x:c>
      <x:c r="M31" s="432" t="n">
        <x:f>IF(OR(COUNT(J31:L31)&lt;&gt;3,J31&lt;0,J31&gt;10,K31&lt;0,L31&lt;0,COUNTIFS(Library!$B$3:$B$58,C31,Library!$D$3:$D$58,D31)&lt;&gt;1),"",MIN(10,J31*(1+K31*L31)))</x:f>
        <x:v>1</x:v>
      </x:c>
      <x:c r="N31" s="432" t="n">
        <x:f>IF(D31="seconds",IF(AND(ISNUMBER($B$177),$B$177&gt;0),G31/$B$177,""),IF(D31="reps/leg",G31*2,G31))</x:f>
        <x:v>15</x:v>
      </x:c>
      <x:c r="O31" s="432" t="n">
        <x:f>IF(COUNT(M31:N31)&lt;&gt;2,"",M31*N31)</x:f>
        <x:v>15</x:v>
      </x:c>
      <x:c r="P31" s="432"/>
      <x:c r="Q31" s="432"/>
      <x:c r="R31" s="400"/>
      <x:c r="S31" s="400"/>
      <x:c r="T31"/>
      <x:c r="U31"/>
      <x:c r="V31"/>
      <x:c r="W31"/>
      <x:c r="X31"/>
      <x:c r="Y31"/>
      <x:c r="Z31"/>
      <x:c r="AA31"/>
      <x:c r="AB31"/>
    </x:row>
    <x:row r="32" ht="38" hidden="0" customHeight="1">
      <x:c r="A32" s="402" t="n">
        <x:f>Daily!A10</x:f>
        <x:v>46333.5</x:v>
      </x:c>
      <x:c r="B32" s="391" t="str">
        <x:f>Daily!D10</x:f>
        <x:v>Skill micro-session</x:v>
      </x:c>
      <x:c r="C32" s="400" t="str">
        <x:v>Wall handstand line drill</x:v>
      </x:c>
      <x:c r="D32" s="400" t="str">
        <x:v>seconds</x:v>
      </x:c>
      <x:c r="E32" s="400" t="n">
        <x:v>3</x:v>
      </x:c>
      <x:c r="F32" s="400" t="n">
        <x:v>15</x:v>
      </x:c>
      <x:c r="G32" s="400" t="n">
        <x:f>E32*F32</x:f>
        <x:v>45</x:v>
      </x:c>
      <x:c r="H32" s="400" t="str">
        <x:f>IF(AND(OR(Daily!T10=TRUE,Daily!AB10=TRUE),COUNT(Daily!U10,Daily!V10,Daily!W10)&gt;0),SUM(Daily!U10,Daily!V10,Daily!W10)*86400,"")</x:f>
      </x:c>
      <x:c r="I32" s="432" t="str">
        <x:f>IF(AND(ISNUMBER(H32),ISNUMBER(G32),G32&gt;0),100*H32/G32,"")</x:f>
      </x:c>
      <x:c r="J32" s="432" t="n">
        <x:f>IF(COUNTIF(Library!$B$3:$B$58,C32)&lt;&gt;1,"",INDEX(Library!$C$3:$C$58,MATCH(C32,Library!$B$3:$B$58,0)))</x:f>
        <x:v>1</x:v>
      </x:c>
      <x:c r="K32" s="433" t="n">
        <x:f>IF(COUNTIFS(Loads!$A$3:$A$1000,"&gt;="&amp;INT(A32),Loads!$A$3:$A$1000,"&lt;"&amp;(INT(A32)+1),Loads!$B$3:$B$1000,B32,Loads!$C$3:$C$1000,C32)=0,0,IF(OR(COUNTIFS(Loads!$A$3:$A$1000,"&gt;="&amp;INT(A32),Loads!$A$3:$A$1000,"&lt;"&amp;(INT(A32)+1),Loads!$B$3:$B$1000,B32,Loads!$C$3:$C$1000,C32)&lt;&gt;1,COUNTIFS(Loads!$A$3:$A$1000,"&gt;="&amp;INT(A32),Loads!$A$3:$A$1000,"&lt;"&amp;(INT(A32)+1),Loads!$B$3:$B$1000,B32,Loads!$C$3:$C$1000,C32,Loads!$E$3:$E$1000,"&lt;&gt;")&lt;&gt;1),"",SUMIFS(Loads!$E$3:$E$1000,Loads!$A$3:$A$1000,"&gt;="&amp;INT(A32),Loads!$A$3:$A$1000,"&lt;"&amp;(INT(A32)+1),Loads!$B$3:$B$1000,B32,Loads!$C$3:$C$1000,C32)))</x:f>
        <x:v>0</x:v>
      </x:c>
      <x:c r="L32" s="434" t="n">
        <x:f>IF(COUNTIF(Library!$B$3:$B$58,C32)&lt;&gt;1,"",IF(COUNTIFS(Library!$B$3:$B$58,C32,Library!$E$3:$E$58,"&lt;&gt;")=0,0,INDEX(Library!$E$3:$E$58,MATCH(C32,Library!$B$3:$B$58,0))))</x:f>
        <x:v>0</x:v>
      </x:c>
      <x:c r="M32" s="432" t="n">
        <x:f>IF(OR(COUNT(J32:L32)&lt;&gt;3,J32&lt;0,J32&gt;10,K32&lt;0,L32&lt;0,COUNTIFS(Library!$B$3:$B$58,C32,Library!$D$3:$D$58,D32)&lt;&gt;1),"",MIN(10,J32*(1+K32*L32)))</x:f>
        <x:v>1</x:v>
      </x:c>
      <x:c r="N32" s="432" t="n">
        <x:f>IF(D32="seconds",IF(AND(ISNUMBER($B$177),$B$177&gt;0),G32/$B$177,""),IF(D32="reps/leg",G32*2,G32))</x:f>
        <x:v>15</x:v>
      </x:c>
      <x:c r="O32" s="432" t="n">
        <x:f>IF(COUNT(M32:N32)&lt;&gt;2,"",M32*N32)</x:f>
        <x:v>15</x:v>
      </x:c>
      <x:c r="P32" s="432"/>
      <x:c r="Q32" s="432"/>
      <x:c r="R32" s="400"/>
      <x:c r="S32" s="400"/>
      <x:c r="T32"/>
      <x:c r="U32"/>
      <x:c r="V32"/>
      <x:c r="W32"/>
      <x:c r="X32"/>
      <x:c r="Y32"/>
      <x:c r="Z32"/>
      <x:c r="AA32"/>
      <x:c r="AB32"/>
    </x:row>
    <x:row r="33" ht="38" hidden="0" customHeight="1">
      <x:c r="A33" s="402" t="n">
        <x:f>Daily!A11</x:f>
        <x:v>46335.5</x:v>
      </x:c>
      <x:c r="B33" s="391" t="str">
        <x:f>Daily!D11</x:f>
        <x:v>Skill A + Cal-Intervals</x:v>
      </x:c>
      <x:c r="C33" s="400" t="str">
        <x:v>Explosive pull-up</x:v>
      </x:c>
      <x:c r="D33" s="400" t="str">
        <x:v>reps</x:v>
      </x:c>
      <x:c r="E33" s="400" t="n">
        <x:v>4</x:v>
      </x:c>
      <x:c r="F33" s="400" t="n">
        <x:v>2</x:v>
      </x:c>
      <x:c r="G33" s="400" t="n">
        <x:f>E33*F33</x:f>
        <x:v>8</x:v>
      </x:c>
      <x:c r="H33" s="400" t="str">
        <x:f>IF(AND(OR(Daily!H11=TRUE,Daily!AB11=TRUE),COUNT(Daily!I11,Daily!J11,Daily!K11,Daily!L11)&gt;0),SUM(Daily!I11,Daily!J11,Daily!K11,Daily!L11),"")</x:f>
      </x:c>
      <x:c r="I33" s="432" t="str">
        <x:f>IF(AND(ISNUMBER(H33),ISNUMBER(G33),G33&gt;0),100*H33/G33,"")</x:f>
      </x:c>
      <x:c r="J33" s="432" t="n">
        <x:f>IF(COUNTIF(Library!$B$3:$B$58,C33)&lt;&gt;1,"",INDEX(Library!$C$3:$C$58,MATCH(C33,Library!$B$3:$B$58,0)))</x:f>
        <x:v>4</x:v>
      </x:c>
      <x:c r="K33" s="433" t="n">
        <x:f>IF(COUNTIFS(Loads!$A$3:$A$1000,"&gt;="&amp;INT(A33),Loads!$A$3:$A$1000,"&lt;"&amp;(INT(A33)+1),Loads!$B$3:$B$1000,B33,Loads!$C$3:$C$1000,C33)=0,0,IF(OR(COUNTIFS(Loads!$A$3:$A$1000,"&gt;="&amp;INT(A33),Loads!$A$3:$A$1000,"&lt;"&amp;(INT(A33)+1),Loads!$B$3:$B$1000,B33,Loads!$C$3:$C$1000,C33)&lt;&gt;1,COUNTIFS(Loads!$A$3:$A$1000,"&gt;="&amp;INT(A33),Loads!$A$3:$A$1000,"&lt;"&amp;(INT(A33)+1),Loads!$B$3:$B$1000,B33,Loads!$C$3:$C$1000,C33,Loads!$E$3:$E$1000,"&lt;&gt;")&lt;&gt;1),"",SUMIFS(Loads!$E$3:$E$1000,Loads!$A$3:$A$1000,"&gt;="&amp;INT(A33),Loads!$A$3:$A$1000,"&lt;"&amp;(INT(A33)+1),Loads!$B$3:$B$1000,B33,Loads!$C$3:$C$1000,C33)))</x:f>
        <x:v>0</x:v>
      </x:c>
      <x:c r="L33" s="434" t="n">
        <x:f>IF(COUNTIF(Library!$B$3:$B$58,C33)&lt;&gt;1,"",IF(COUNTIFS(Library!$B$3:$B$58,C33,Library!$E$3:$E$58,"&lt;&gt;")=0,0,INDEX(Library!$E$3:$E$58,MATCH(C33,Library!$B$3:$B$58,0))))</x:f>
        <x:v>0.04</x:v>
      </x:c>
      <x:c r="M33" s="432" t="n">
        <x:f>IF(OR(COUNT(J33:L33)&lt;&gt;3,J33&lt;0,J33&gt;10,K33&lt;0,L33&lt;0,COUNTIFS(Library!$B$3:$B$58,C33,Library!$D$3:$D$58,D33)&lt;&gt;1),"",MIN(10,J33*(1+K33*L33)))</x:f>
        <x:v>4</x:v>
      </x:c>
      <x:c r="N33" s="432" t="n">
        <x:f>IF(D33="seconds",IF(AND(ISNUMBER($B$177),$B$177&gt;0),G33/$B$177,""),IF(D33="reps/leg",G33*2,G33))</x:f>
        <x:v>8</x:v>
      </x:c>
      <x:c r="O33" s="432" t="n">
        <x:f>IF(COUNT(M33:N33)&lt;&gt;2,"",M33*N33)</x:f>
        <x:v>32</x:v>
      </x:c>
      <x:c r="P33" s="432" t="n">
        <x:f>IF(COUNT(O33:O36)&lt;&gt;COUNT(N33:N36),"",IF(SUM(N33:N36)=0,0,ROUND(SUM(O33:O36)/SUM(N33:N36),1)))</x:f>
        <x:v>4.8</x:v>
      </x:c>
      <x:c r="Q33" s="432" t="str">
        <x:f>IF(COUNT(I33:I36)=0,"",MEDIAN(I33:I36))</x:f>
      </x:c>
      <x:c r="R33" s="400" t="n">
        <x:f>COUNT(I33:I36)</x:f>
        <x:v>0</x:v>
      </x:c>
      <x:c r="S33" s="400" t="n">
        <x:v>4</x:v>
      </x:c>
      <x:c r="T33"/>
      <x:c r="U33"/>
      <x:c r="V33"/>
      <x:c r="W33"/>
      <x:c r="X33"/>
      <x:c r="Y33"/>
      <x:c r="Z33"/>
      <x:c r="AA33"/>
      <x:c r="AB33"/>
    </x:row>
    <x:row r="34" ht="38" hidden="0" customHeight="1">
      <x:c r="A34" s="402" t="n">
        <x:f>Daily!A11</x:f>
        <x:v>46335.5</x:v>
      </x:c>
      <x:c r="B34" s="391" t="str">
        <x:f>Daily!D11</x:f>
        <x:v>Skill A + Cal-Intervals</x:v>
      </x:c>
      <x:c r="C34" s="400" t="str">
        <x:v>Low-bar transition</x:v>
      </x:c>
      <x:c r="D34" s="400" t="str">
        <x:v>reps</x:v>
      </x:c>
      <x:c r="E34" s="400" t="n">
        <x:v>3</x:v>
      </x:c>
      <x:c r="F34" s="400" t="n">
        <x:v>3</x:v>
      </x:c>
      <x:c r="G34" s="400" t="n">
        <x:f>E34*F34</x:f>
        <x:v>9</x:v>
      </x:c>
      <x:c r="H34" s="400" t="str">
        <x:f>IF(AND(OR(Daily!N11=TRUE,Daily!AB11=TRUE),COUNT(Daily!O11,Daily!P11,Daily!Q11)&gt;0),SUM(Daily!O11,Daily!P11,Daily!Q11),"")</x:f>
      </x:c>
      <x:c r="I34" s="432" t="str">
        <x:f>IF(AND(ISNUMBER(H34),ISNUMBER(G34),G34&gt;0),100*H34/G34,"")</x:f>
      </x:c>
      <x:c r="J34" s="432" t="n">
        <x:f>IF(COUNTIF(Library!$B$3:$B$58,C34)&lt;&gt;1,"",INDEX(Library!$C$3:$C$58,MATCH(C34,Library!$B$3:$B$58,0)))</x:f>
        <x:v>4</x:v>
      </x:c>
      <x:c r="K34" s="433" t="n">
        <x:f>IF(COUNTIFS(Loads!$A$3:$A$1000,"&gt;="&amp;INT(A34),Loads!$A$3:$A$1000,"&lt;"&amp;(INT(A34)+1),Loads!$B$3:$B$1000,B34,Loads!$C$3:$C$1000,C34)=0,0,IF(OR(COUNTIFS(Loads!$A$3:$A$1000,"&gt;="&amp;INT(A34),Loads!$A$3:$A$1000,"&lt;"&amp;(INT(A34)+1),Loads!$B$3:$B$1000,B34,Loads!$C$3:$C$1000,C34)&lt;&gt;1,COUNTIFS(Loads!$A$3:$A$1000,"&gt;="&amp;INT(A34),Loads!$A$3:$A$1000,"&lt;"&amp;(INT(A34)+1),Loads!$B$3:$B$1000,B34,Loads!$C$3:$C$1000,C34,Loads!$E$3:$E$1000,"&lt;&gt;")&lt;&gt;1),"",SUMIFS(Loads!$E$3:$E$1000,Loads!$A$3:$A$1000,"&gt;="&amp;INT(A34),Loads!$A$3:$A$1000,"&lt;"&amp;(INT(A34)+1),Loads!$B$3:$B$1000,B34,Loads!$C$3:$C$1000,C34)))</x:f>
        <x:v>0</x:v>
      </x:c>
      <x:c r="L34" s="434" t="n">
        <x:f>IF(COUNTIF(Library!$B$3:$B$58,C34)&lt;&gt;1,"",IF(COUNTIFS(Library!$B$3:$B$58,C34,Library!$E$3:$E$58,"&lt;&gt;")=0,0,INDEX(Library!$E$3:$E$58,MATCH(C34,Library!$B$3:$B$58,0))))</x:f>
        <x:v>0</x:v>
      </x:c>
      <x:c r="M34" s="432" t="n">
        <x:f>IF(OR(COUNT(J34:L34)&lt;&gt;3,J34&lt;0,J34&gt;10,K34&lt;0,L34&lt;0,COUNTIFS(Library!$B$3:$B$58,C34,Library!$D$3:$D$58,D34)&lt;&gt;1),"",MIN(10,J34*(1+K34*L34)))</x:f>
        <x:v>4</x:v>
      </x:c>
      <x:c r="N34" s="432" t="n">
        <x:f>IF(D34="seconds",IF(AND(ISNUMBER($B$177),$B$177&gt;0),G34/$B$177,""),IF(D34="reps/leg",G34*2,G34))</x:f>
        <x:v>9</x:v>
      </x:c>
      <x:c r="O34" s="432" t="n">
        <x:f>IF(COUNT(M34:N34)&lt;&gt;2,"",M34*N34)</x:f>
        <x:v>36</x:v>
      </x:c>
      <x:c r="P34" s="432"/>
      <x:c r="Q34" s="432"/>
      <x:c r="R34" s="400"/>
      <x:c r="S34" s="400"/>
      <x:c r="T34"/>
      <x:c r="U34"/>
      <x:c r="V34"/>
      <x:c r="W34"/>
      <x:c r="X34"/>
      <x:c r="Y34"/>
      <x:c r="Z34"/>
      <x:c r="AA34"/>
      <x:c r="AB34"/>
    </x:row>
    <x:row r="35" ht="38" hidden="0" customHeight="1">
      <x:c r="A35" s="402" t="n">
        <x:f>Daily!A11</x:f>
        <x:v>46335.5</x:v>
      </x:c>
      <x:c r="B35" s="391" t="str">
        <x:f>Daily!D11</x:f>
        <x:v>Skill A + Cal-Intervals</x:v>
      </x:c>
      <x:c r="C35" s="400" t="str">
        <x:v>Assisted full-depth pistol</x:v>
      </x:c>
      <x:c r="D35" s="400" t="str">
        <x:v>reps/leg</x:v>
      </x:c>
      <x:c r="E35" s="400" t="n">
        <x:v>3</x:v>
      </x:c>
      <x:c r="F35" s="400" t="n">
        <x:v>4</x:v>
      </x:c>
      <x:c r="G35" s="400" t="n">
        <x:f>E35*F35</x:f>
        <x:v>12</x:v>
      </x:c>
      <x:c r="H35" s="400" t="str">
        <x:f>IF(AND(OR(Daily!T11=TRUE,Daily!AB11=TRUE),COUNT(Daily!U11,Daily!V11,Daily!W11)&gt;0),SUM(Daily!U11,Daily!V11,Daily!W11),"")</x:f>
      </x:c>
      <x:c r="I35" s="432" t="str">
        <x:f>IF(AND(ISNUMBER(H35),ISNUMBER(G35),G35&gt;0),100*H35/G35,"")</x:f>
      </x:c>
      <x:c r="J35" s="432" t="n">
        <x:f>IF(COUNTIF(Library!$B$3:$B$58,C35)&lt;&gt;1,"",INDEX(Library!$C$3:$C$58,MATCH(C35,Library!$B$3:$B$58,0)))</x:f>
        <x:v>4</x:v>
      </x:c>
      <x:c r="K35" s="433" t="n">
        <x:f>IF(COUNTIFS(Loads!$A$3:$A$1000,"&gt;="&amp;INT(A35),Loads!$A$3:$A$1000,"&lt;"&amp;(INT(A35)+1),Loads!$B$3:$B$1000,B35,Loads!$C$3:$C$1000,C35)=0,0,IF(OR(COUNTIFS(Loads!$A$3:$A$1000,"&gt;="&amp;INT(A35),Loads!$A$3:$A$1000,"&lt;"&amp;(INT(A35)+1),Loads!$B$3:$B$1000,B35,Loads!$C$3:$C$1000,C35)&lt;&gt;1,COUNTIFS(Loads!$A$3:$A$1000,"&gt;="&amp;INT(A35),Loads!$A$3:$A$1000,"&lt;"&amp;(INT(A35)+1),Loads!$B$3:$B$1000,B35,Loads!$C$3:$C$1000,C35,Loads!$E$3:$E$1000,"&lt;&gt;")&lt;&gt;1),"",SUMIFS(Loads!$E$3:$E$1000,Loads!$A$3:$A$1000,"&gt;="&amp;INT(A35),Loads!$A$3:$A$1000,"&lt;"&amp;(INT(A35)+1),Loads!$B$3:$B$1000,B35,Loads!$C$3:$C$1000,C35)))</x:f>
        <x:v>0</x:v>
      </x:c>
      <x:c r="L35" s="434" t="n">
        <x:f>IF(COUNTIF(Library!$B$3:$B$58,C35)&lt;&gt;1,"",IF(COUNTIFS(Library!$B$3:$B$58,C35,Library!$E$3:$E$58,"&lt;&gt;")=0,0,INDEX(Library!$E$3:$E$58,MATCH(C35,Library!$B$3:$B$58,0))))</x:f>
        <x:v>0.03</x:v>
      </x:c>
      <x:c r="M35" s="432" t="n">
        <x:f>IF(OR(COUNT(J35:L35)&lt;&gt;3,J35&lt;0,J35&gt;10,K35&lt;0,L35&lt;0,COUNTIFS(Library!$B$3:$B$58,C35,Library!$D$3:$D$58,D35)&lt;&gt;1),"",MIN(10,J35*(1+K35*L35)))</x:f>
        <x:v>4</x:v>
      </x:c>
      <x:c r="N35" s="432" t="n">
        <x:f>IF(D35="seconds",IF(AND(ISNUMBER($B$177),$B$177&gt;0),G35/$B$177,""),IF(D35="reps/leg",G35*2,G35))</x:f>
        <x:v>24</x:v>
      </x:c>
      <x:c r="O35" s="432" t="n">
        <x:f>IF(COUNT(M35:N35)&lt;&gt;2,"",M35*N35)</x:f>
        <x:v>96</x:v>
      </x:c>
      <x:c r="P35" s="432"/>
      <x:c r="Q35" s="432"/>
      <x:c r="R35" s="400"/>
      <x:c r="S35" s="400"/>
      <x:c r="T35"/>
      <x:c r="U35"/>
      <x:c r="V35"/>
      <x:c r="W35"/>
      <x:c r="X35"/>
      <x:c r="Y35"/>
      <x:c r="Z35"/>
      <x:c r="AA35"/>
      <x:c r="AB35"/>
    </x:row>
    <x:row r="36" ht="38" hidden="0" customHeight="1">
      <x:c r="A36" s="402" t="n">
        <x:f>Daily!A11</x:f>
        <x:v>46335.5</x:v>
      </x:c>
      <x:c r="B36" s="391" t="str">
        <x:f>Daily!D11</x:f>
        <x:v>Skill A + Cal-Intervals</x:v>
      </x:c>
      <x:c r="C36" s="400" t="str">
        <x:v>Cal-Intervals</x:v>
      </x:c>
      <x:c r="D36" s="400" t="str">
        <x:v>rounds</x:v>
      </x:c>
      <x:c r="E36" s="400" t="n">
        <x:v>1</x:v>
      </x:c>
      <x:c r="F36" s="400" t="n">
        <x:v>5</x:v>
      </x:c>
      <x:c r="G36" s="400" t="n">
        <x:v>5</x:v>
      </x:c>
      <x:c r="H36" s="400" t="str">
        <x:f>IF(AND(OR(Daily!Z11=TRUE,Daily!AB11=TRUE),ISNUMBER(Daily!AA11)),Daily!AA11,"")</x:f>
      </x:c>
      <x:c r="I36" s="432" t="str">
        <x:f>IF(AND(ISNUMBER(H36),G36&gt;0),100*H36/G36,"")</x:f>
      </x:c>
      <x:c r="J36" s="432" t="n">
        <x:f>IF(OR(COUNT(Library!F67:F70)&lt;&gt;4,COUNT(Library!E67:E70)&lt;&gt;4,SUM(Library!E67:E70)=0),"",SUM(Library!F67:F70)/SUM(Library!E67:E70))</x:f>
        <x:v>5</x:v>
      </x:c>
      <x:c r="K36" s="433"/>
      <x:c r="L36" s="434"/>
      <x:c r="M36" s="432" t="n">
        <x:f>IF(ISNUMBER(J36),J36,"")</x:f>
        <x:v>5</x:v>
      </x:c>
      <x:c r="N36" s="432" t="n">
        <x:f>IF(COUNT(Library!E67:E70)&lt;&gt;4,"",G36*SUM(Library!E67:E70))</x:f>
        <x:v>200</x:v>
      </x:c>
      <x:c r="O36" s="432" t="n">
        <x:f>IF(COUNT(Library!F67:F70)&lt;&gt;4,"",G36*SUM(Library!F67:F70))</x:f>
        <x:v>1000</x:v>
      </x:c>
      <x:c r="P36" s="432"/>
      <x:c r="Q36" s="432"/>
      <x:c r="R36" s="400"/>
      <x:c r="S36" s="400"/>
      <x:c r="T36"/>
      <x:c r="U36"/>
      <x:c r="V36"/>
      <x:c r="W36"/>
      <x:c r="X36"/>
      <x:c r="Y36"/>
      <x:c r="Z36"/>
      <x:c r="AA36"/>
      <x:c r="AB36"/>
    </x:row>
    <x:row r="37" ht="38" hidden="0" customHeight="1">
      <x:c r="A37" s="402" t="n">
        <x:f>Daily!A12</x:f>
        <x:v>46336.5</x:v>
      </x:c>
      <x:c r="B37" s="391" t="str">
        <x:f>Daily!D12</x:f>
        <x:v>Handstand technique</x:v>
      </x:c>
      <x:c r="C37" s="400" t="str">
        <x:v>Wrist/shoulder mobility</x:v>
      </x:c>
      <x:c r="D37" s="400" t="str">
        <x:v>seconds</x:v>
      </x:c>
      <x:c r="E37" s="400" t="n">
        <x:v>1</x:v>
      </x:c>
      <x:c r="F37" s="400" t="n">
        <x:v>120</x:v>
      </x:c>
      <x:c r="G37" s="400" t="n">
        <x:f>E37*F37</x:f>
        <x:v>120</x:v>
      </x:c>
      <x:c r="H37" s="400" t="str">
        <x:f>IF(AND(OR(Daily!H12=TRUE,Daily!AB12=TRUE),COUNT(Daily!I12)&gt;0),SUM(Daily!I12)*86400,"")</x:f>
      </x:c>
      <x:c r="I37" s="432" t="str">
        <x:f>IF(AND(ISNUMBER(H37),ISNUMBER(G37),G37&gt;0),100*H37/G37,"")</x:f>
      </x:c>
      <x:c r="J37" s="432" t="n">
        <x:f>IF(COUNTIF(Library!$B$3:$B$58,C37)&lt;&gt;1,"",INDEX(Library!$C$3:$C$58,MATCH(C37,Library!$B$3:$B$58,0)))</x:f>
        <x:v>1</x:v>
      </x:c>
      <x:c r="K37" s="433" t="n">
        <x:f>IF(COUNTIFS(Loads!$A$3:$A$1000,"&gt;="&amp;INT(A37),Loads!$A$3:$A$1000,"&lt;"&amp;(INT(A37)+1),Loads!$B$3:$B$1000,B37,Loads!$C$3:$C$1000,C37)=0,0,IF(OR(COUNTIFS(Loads!$A$3:$A$1000,"&gt;="&amp;INT(A37),Loads!$A$3:$A$1000,"&lt;"&amp;(INT(A37)+1),Loads!$B$3:$B$1000,B37,Loads!$C$3:$C$1000,C37)&lt;&gt;1,COUNTIFS(Loads!$A$3:$A$1000,"&gt;="&amp;INT(A37),Loads!$A$3:$A$1000,"&lt;"&amp;(INT(A37)+1),Loads!$B$3:$B$1000,B37,Loads!$C$3:$C$1000,C37,Loads!$E$3:$E$1000,"&lt;&gt;")&lt;&gt;1),"",SUMIFS(Loads!$E$3:$E$1000,Loads!$A$3:$A$1000,"&gt;="&amp;INT(A37),Loads!$A$3:$A$1000,"&lt;"&amp;(INT(A37)+1),Loads!$B$3:$B$1000,B37,Loads!$C$3:$C$1000,C37)))</x:f>
        <x:v>0</x:v>
      </x:c>
      <x:c r="L37" s="434" t="n">
        <x:f>IF(COUNTIF(Library!$B$3:$B$58,C37)&lt;&gt;1,"",IF(COUNTIFS(Library!$B$3:$B$58,C37,Library!$E$3:$E$58,"&lt;&gt;")=0,0,INDEX(Library!$E$3:$E$58,MATCH(C37,Library!$B$3:$B$58,0))))</x:f>
        <x:v>0</x:v>
      </x:c>
      <x:c r="M37" s="432" t="n">
        <x:f>IF(OR(COUNT(J37:L37)&lt;&gt;3,J37&lt;0,J37&gt;10,K37&lt;0,L37&lt;0,COUNTIFS(Library!$B$3:$B$58,C37,Library!$D$3:$D$58,D37)&lt;&gt;1),"",MIN(10,J37*(1+K37*L37)))</x:f>
        <x:v>1</x:v>
      </x:c>
      <x:c r="N37" s="432" t="n">
        <x:f>IF(D37="seconds",IF(AND(ISNUMBER($B$177),$B$177&gt;0),G37/$B$177,""),IF(D37="reps/leg",G37*2,G37))</x:f>
        <x:v>40</x:v>
      </x:c>
      <x:c r="O37" s="432" t="n">
        <x:f>IF(COUNT(M37:N37)&lt;&gt;2,"",M37*N37)</x:f>
        <x:v>40</x:v>
      </x:c>
      <x:c r="P37" s="432" t="n">
        <x:f>IF(COUNT(O37:O39)&lt;&gt;COUNT(N37:N39),"",IF(SUM(N37:N39)=0,0,ROUND(SUM(O37:O39)/SUM(N37:N39),1)))</x:f>
        <x:v>1</x:v>
      </x:c>
      <x:c r="Q37" s="432" t="str">
        <x:f>IF(COUNT(I37:I39)=0,"",MEDIAN(I37:I39))</x:f>
      </x:c>
      <x:c r="R37" s="400" t="n">
        <x:f>COUNT(I37:I39)</x:f>
        <x:v>0</x:v>
      </x:c>
      <x:c r="S37" s="400" t="n">
        <x:v>3</x:v>
      </x:c>
      <x:c r="T37"/>
      <x:c r="U37"/>
      <x:c r="V37"/>
      <x:c r="W37"/>
      <x:c r="X37"/>
      <x:c r="Y37"/>
      <x:c r="Z37"/>
      <x:c r="AA37"/>
      <x:c r="AB37"/>
    </x:row>
    <x:row r="38" ht="38" hidden="0" customHeight="1">
      <x:c r="A38" s="402" t="n">
        <x:f>Daily!A12</x:f>
        <x:v>46336.5</x:v>
      </x:c>
      <x:c r="B38" s="391" t="str">
        <x:f>Daily!D12</x:f>
        <x:v>Handstand technique</x:v>
      </x:c>
      <x:c r="C38" s="400" t="str">
        <x:v>Easy chest-to-wall hold</x:v>
      </x:c>
      <x:c r="D38" s="400" t="str">
        <x:v>seconds</x:v>
      </x:c>
      <x:c r="E38" s="400" t="n">
        <x:v>3</x:v>
      </x:c>
      <x:c r="F38" s="400" t="n">
        <x:v>15</x:v>
      </x:c>
      <x:c r="G38" s="400" t="n">
        <x:f>E38*F38</x:f>
        <x:v>45</x:v>
      </x:c>
      <x:c r="H38" s="400" t="str">
        <x:f>IF(AND(OR(Daily!N12=TRUE,Daily!AB12=TRUE),COUNT(Daily!O12,Daily!P12,Daily!Q12)&gt;0),SUM(Daily!O12,Daily!P12,Daily!Q12)*86400,"")</x:f>
      </x:c>
      <x:c r="I38" s="432" t="str">
        <x:f>IF(AND(ISNUMBER(H38),ISNUMBER(G38),G38&gt;0),100*H38/G38,"")</x:f>
      </x:c>
      <x:c r="J38" s="432" t="n">
        <x:f>IF(COUNTIF(Library!$B$3:$B$58,C38)&lt;&gt;1,"",INDEX(Library!$C$3:$C$58,MATCH(C38,Library!$B$3:$B$58,0)))</x:f>
        <x:v>1</x:v>
      </x:c>
      <x:c r="K38" s="433" t="n">
        <x:f>IF(COUNTIFS(Loads!$A$3:$A$1000,"&gt;="&amp;INT(A38),Loads!$A$3:$A$1000,"&lt;"&amp;(INT(A38)+1),Loads!$B$3:$B$1000,B38,Loads!$C$3:$C$1000,C38)=0,0,IF(OR(COUNTIFS(Loads!$A$3:$A$1000,"&gt;="&amp;INT(A38),Loads!$A$3:$A$1000,"&lt;"&amp;(INT(A38)+1),Loads!$B$3:$B$1000,B38,Loads!$C$3:$C$1000,C38)&lt;&gt;1,COUNTIFS(Loads!$A$3:$A$1000,"&gt;="&amp;INT(A38),Loads!$A$3:$A$1000,"&lt;"&amp;(INT(A38)+1),Loads!$B$3:$B$1000,B38,Loads!$C$3:$C$1000,C38,Loads!$E$3:$E$1000,"&lt;&gt;")&lt;&gt;1),"",SUMIFS(Loads!$E$3:$E$1000,Loads!$A$3:$A$1000,"&gt;="&amp;INT(A38),Loads!$A$3:$A$1000,"&lt;"&amp;(INT(A38)+1),Loads!$B$3:$B$1000,B38,Loads!$C$3:$C$1000,C38)))</x:f>
        <x:v>0</x:v>
      </x:c>
      <x:c r="L38" s="434" t="n">
        <x:f>IF(COUNTIF(Library!$B$3:$B$58,C38)&lt;&gt;1,"",IF(COUNTIFS(Library!$B$3:$B$58,C38,Library!$E$3:$E$58,"&lt;&gt;")=0,0,INDEX(Library!$E$3:$E$58,MATCH(C38,Library!$B$3:$B$58,0))))</x:f>
        <x:v>0</x:v>
      </x:c>
      <x:c r="M38" s="432" t="n">
        <x:f>IF(OR(COUNT(J38:L38)&lt;&gt;3,J38&lt;0,J38&gt;10,K38&lt;0,L38&lt;0,COUNTIFS(Library!$B$3:$B$58,C38,Library!$D$3:$D$58,D38)&lt;&gt;1),"",MIN(10,J38*(1+K38*L38)))</x:f>
        <x:v>1</x:v>
      </x:c>
      <x:c r="N38" s="432" t="n">
        <x:f>IF(D38="seconds",IF(AND(ISNUMBER($B$177),$B$177&gt;0),G38/$B$177,""),IF(D38="reps/leg",G38*2,G38))</x:f>
        <x:v>15</x:v>
      </x:c>
      <x:c r="O38" s="432" t="n">
        <x:f>IF(COUNT(M38:N38)&lt;&gt;2,"",M38*N38)</x:f>
        <x:v>15</x:v>
      </x:c>
      <x:c r="P38" s="432"/>
      <x:c r="Q38" s="432"/>
      <x:c r="R38" s="400"/>
      <x:c r="S38" s="400"/>
      <x:c r="T38"/>
      <x:c r="U38"/>
      <x:c r="V38"/>
      <x:c r="W38"/>
      <x:c r="X38"/>
      <x:c r="Y38"/>
      <x:c r="Z38"/>
      <x:c r="AA38"/>
      <x:c r="AB38"/>
    </x:row>
    <x:row r="39" ht="38" hidden="0" customHeight="1">
      <x:c r="A39" s="402" t="n">
        <x:f>Daily!A12</x:f>
        <x:v>46336.5</x:v>
      </x:c>
      <x:c r="B39" s="391" t="str">
        <x:f>Daily!D12</x:f>
        <x:v>Handstand technique</x:v>
      </x:c>
      <x:c r="C39" s="400" t="str">
        <x:v>Wall handstand line drill</x:v>
      </x:c>
      <x:c r="D39" s="400" t="str">
        <x:v>seconds</x:v>
      </x:c>
      <x:c r="E39" s="400" t="n">
        <x:v>2</x:v>
      </x:c>
      <x:c r="F39" s="400" t="n">
        <x:v>15</x:v>
      </x:c>
      <x:c r="G39" s="400" t="n">
        <x:f>E39*F39</x:f>
        <x:v>30</x:v>
      </x:c>
      <x:c r="H39" s="400" t="str">
        <x:f>IF(AND(OR(Daily!T12=TRUE,Daily!AB12=TRUE),COUNT(Daily!U12,Daily!V12)&gt;0),SUM(Daily!U12,Daily!V12)*86400,"")</x:f>
      </x:c>
      <x:c r="I39" s="432" t="str">
        <x:f>IF(AND(ISNUMBER(H39),ISNUMBER(G39),G39&gt;0),100*H39/G39,"")</x:f>
      </x:c>
      <x:c r="J39" s="432" t="n">
        <x:f>IF(COUNTIF(Library!$B$3:$B$58,C39)&lt;&gt;1,"",INDEX(Library!$C$3:$C$58,MATCH(C39,Library!$B$3:$B$58,0)))</x:f>
        <x:v>1</x:v>
      </x:c>
      <x:c r="K39" s="433" t="n">
        <x:f>IF(COUNTIFS(Loads!$A$3:$A$1000,"&gt;="&amp;INT(A39),Loads!$A$3:$A$1000,"&lt;"&amp;(INT(A39)+1),Loads!$B$3:$B$1000,B39,Loads!$C$3:$C$1000,C39)=0,0,IF(OR(COUNTIFS(Loads!$A$3:$A$1000,"&gt;="&amp;INT(A39),Loads!$A$3:$A$1000,"&lt;"&amp;(INT(A39)+1),Loads!$B$3:$B$1000,B39,Loads!$C$3:$C$1000,C39)&lt;&gt;1,COUNTIFS(Loads!$A$3:$A$1000,"&gt;="&amp;INT(A39),Loads!$A$3:$A$1000,"&lt;"&amp;(INT(A39)+1),Loads!$B$3:$B$1000,B39,Loads!$C$3:$C$1000,C39,Loads!$E$3:$E$1000,"&lt;&gt;")&lt;&gt;1),"",SUMIFS(Loads!$E$3:$E$1000,Loads!$A$3:$A$1000,"&gt;="&amp;INT(A39),Loads!$A$3:$A$1000,"&lt;"&amp;(INT(A39)+1),Loads!$B$3:$B$1000,B39,Loads!$C$3:$C$1000,C39)))</x:f>
        <x:v>0</x:v>
      </x:c>
      <x:c r="L39" s="434" t="n">
        <x:f>IF(COUNTIF(Library!$B$3:$B$58,C39)&lt;&gt;1,"",IF(COUNTIFS(Library!$B$3:$B$58,C39,Library!$E$3:$E$58,"&lt;&gt;")=0,0,INDEX(Library!$E$3:$E$58,MATCH(C39,Library!$B$3:$B$58,0))))</x:f>
        <x:v>0</x:v>
      </x:c>
      <x:c r="M39" s="432" t="n">
        <x:f>IF(OR(COUNT(J39:L39)&lt;&gt;3,J39&lt;0,J39&gt;10,K39&lt;0,L39&lt;0,COUNTIFS(Library!$B$3:$B$58,C39,Library!$D$3:$D$58,D39)&lt;&gt;1),"",MIN(10,J39*(1+K39*L39)))</x:f>
        <x:v>1</x:v>
      </x:c>
      <x:c r="N39" s="432" t="n">
        <x:f>IF(D39="seconds",IF(AND(ISNUMBER($B$177),$B$177&gt;0),G39/$B$177,""),IF(D39="reps/leg",G39*2,G39))</x:f>
        <x:v>10</x:v>
      </x:c>
      <x:c r="O39" s="432" t="n">
        <x:f>IF(COUNT(M39:N39)&lt;&gt;2,"",M39*N39)</x:f>
        <x:v>10</x:v>
      </x:c>
      <x:c r="P39" s="432"/>
      <x:c r="Q39" s="432"/>
      <x:c r="R39" s="400"/>
      <x:c r="S39" s="400"/>
      <x:c r="T39"/>
      <x:c r="U39"/>
      <x:c r="V39"/>
      <x:c r="W39"/>
      <x:c r="X39"/>
      <x:c r="Y39"/>
      <x:c r="Z39"/>
      <x:c r="AA39"/>
      <x:c r="AB39"/>
    </x:row>
    <x:row r="40" ht="38" hidden="0" customHeight="1">
      <x:c r="A40" s="402" t="n">
        <x:f>Daily!A13</x:f>
        <x:v>46338.5</x:v>
      </x:c>
      <x:c r="B40" s="391" t="str">
        <x:f>Daily!D13</x:f>
        <x:v>Skill B + Cal-Intervals</x:v>
      </x:c>
      <x:c r="C40" s="400" t="str">
        <x:v>Wall HSPU negative</x:v>
      </x:c>
      <x:c r="D40" s="400" t="str">
        <x:v>reps</x:v>
      </x:c>
      <x:c r="E40" s="400" t="n">
        <x:v>3</x:v>
      </x:c>
      <x:c r="F40" s="400" t="n">
        <x:v>2</x:v>
      </x:c>
      <x:c r="G40" s="400" t="n">
        <x:f>E40*F40</x:f>
        <x:v>6</x:v>
      </x:c>
      <x:c r="H40" s="400" t="str">
        <x:f>IF(AND(OR(Daily!N13=TRUE,Daily!AB13=TRUE),COUNT(Daily!O13,Daily!P13,Daily!Q13)&gt;0),SUM(Daily!O13,Daily!P13,Daily!Q13),"")</x:f>
      </x:c>
      <x:c r="I40" s="432" t="str">
        <x:f>IF(AND(ISNUMBER(H40),ISNUMBER(G40),G40&gt;0),100*H40/G40,"")</x:f>
      </x:c>
      <x:c r="J40" s="432" t="n">
        <x:f>IF(COUNTIF(Library!$B$3:$B$58,C40)&lt;&gt;1,"",INDEX(Library!$C$3:$C$58,MATCH(C40,Library!$B$3:$B$58,0)))</x:f>
        <x:v>7</x:v>
      </x:c>
      <x:c r="K40" s="433" t="n">
        <x:f>IF(COUNTIFS(Loads!$A$3:$A$1000,"&gt;="&amp;INT(A40),Loads!$A$3:$A$1000,"&lt;"&amp;(INT(A40)+1),Loads!$B$3:$B$1000,B40,Loads!$C$3:$C$1000,C40)=0,0,IF(OR(COUNTIFS(Loads!$A$3:$A$1000,"&gt;="&amp;INT(A40),Loads!$A$3:$A$1000,"&lt;"&amp;(INT(A40)+1),Loads!$B$3:$B$1000,B40,Loads!$C$3:$C$1000,C40)&lt;&gt;1,COUNTIFS(Loads!$A$3:$A$1000,"&gt;="&amp;INT(A40),Loads!$A$3:$A$1000,"&lt;"&amp;(INT(A40)+1),Loads!$B$3:$B$1000,B40,Loads!$C$3:$C$1000,C40,Loads!$E$3:$E$1000,"&lt;&gt;")&lt;&gt;1),"",SUMIFS(Loads!$E$3:$E$1000,Loads!$A$3:$A$1000,"&gt;="&amp;INT(A40),Loads!$A$3:$A$1000,"&lt;"&amp;(INT(A40)+1),Loads!$B$3:$B$1000,B40,Loads!$C$3:$C$1000,C40)))</x:f>
        <x:v>0</x:v>
      </x:c>
      <x:c r="L40" s="434" t="n">
        <x:f>IF(COUNTIF(Library!$B$3:$B$58,C40)&lt;&gt;1,"",IF(COUNTIFS(Library!$B$3:$B$58,C40,Library!$E$3:$E$58,"&lt;&gt;")=0,0,INDEX(Library!$E$3:$E$58,MATCH(C40,Library!$B$3:$B$58,0))))</x:f>
        <x:v>0</x:v>
      </x:c>
      <x:c r="M40" s="432" t="n">
        <x:f>IF(OR(COUNT(J40:L40)&lt;&gt;3,J40&lt;0,J40&gt;10,K40&lt;0,L40&lt;0,COUNTIFS(Library!$B$3:$B$58,C40,Library!$D$3:$D$58,D40)&lt;&gt;1),"",MIN(10,J40*(1+K40*L40)))</x:f>
        <x:v>7</x:v>
      </x:c>
      <x:c r="N40" s="432" t="n">
        <x:f>IF(D40="seconds",IF(AND(ISNUMBER($B$177),$B$177&gt;0),G40/$B$177,""),IF(D40="reps/leg",G40*2,G40))</x:f>
        <x:v>6</x:v>
      </x:c>
      <x:c r="O40" s="432" t="n">
        <x:f>IF(COUNT(M40:N40)&lt;&gt;2,"",M40*N40)</x:f>
        <x:v>42</x:v>
      </x:c>
      <x:c r="P40" s="432" t="n">
        <x:f>IF(COUNT(O40:O43)&lt;&gt;COUNT(N40:N43),"",IF(SUM(N40:N43)=0,0,ROUND(SUM(O40:O43)/SUM(N40:N43),1)))</x:f>
        <x:v>4.9</x:v>
      </x:c>
      <x:c r="Q40" s="432" t="str">
        <x:f>IF(COUNT(I40:I43)=0,"",MEDIAN(I40:I43))</x:f>
      </x:c>
      <x:c r="R40" s="400" t="n">
        <x:f>COUNT(I40:I43)</x:f>
        <x:v>0</x:v>
      </x:c>
      <x:c r="S40" s="400" t="n">
        <x:v>4</x:v>
      </x:c>
      <x:c r="T40"/>
      <x:c r="U40"/>
      <x:c r="V40"/>
      <x:c r="W40"/>
      <x:c r="X40"/>
      <x:c r="Y40"/>
      <x:c r="Z40"/>
      <x:c r="AA40"/>
      <x:c r="AB40"/>
    </x:row>
    <x:row r="41" ht="38" hidden="0" customHeight="1">
      <x:c r="A41" s="402" t="n">
        <x:f>Daily!A13</x:f>
        <x:v>46338.5</x:v>
      </x:c>
      <x:c r="B41" s="391" t="str">
        <x:f>Daily!D13</x:f>
        <x:v>Skill B + Cal-Intervals</x:v>
      </x:c>
      <x:c r="C41" s="400" t="str">
        <x:v>Pike push-up</x:v>
      </x:c>
      <x:c r="D41" s="400" t="str">
        <x:v>reps</x:v>
      </x:c>
      <x:c r="E41" s="400" t="n">
        <x:v>3</x:v>
      </x:c>
      <x:c r="F41" s="400" t="n">
        <x:v>5</x:v>
      </x:c>
      <x:c r="G41" s="400" t="n">
        <x:f>E41*F41</x:f>
        <x:v>15</x:v>
      </x:c>
      <x:c r="H41" s="400" t="str">
        <x:f>IF(AND(OR(Daily!T13=TRUE,Daily!AB13=TRUE),COUNT(Daily!U13,Daily!V13,Daily!W13)&gt;0),SUM(Daily!U13,Daily!V13,Daily!W13),"")</x:f>
      </x:c>
      <x:c r="I41" s="432" t="str">
        <x:f>IF(AND(ISNUMBER(H41),ISNUMBER(G41),G41&gt;0),100*H41/G41,"")</x:f>
      </x:c>
      <x:c r="J41" s="432" t="n">
        <x:f>IF(COUNTIF(Library!$B$3:$B$58,C41)&lt;&gt;1,"",INDEX(Library!$C$3:$C$58,MATCH(C41,Library!$B$3:$B$58,0)))</x:f>
        <x:v>4</x:v>
      </x:c>
      <x:c r="K41" s="433" t="n">
        <x:f>IF(COUNTIFS(Loads!$A$3:$A$1000,"&gt;="&amp;INT(A41),Loads!$A$3:$A$1000,"&lt;"&amp;(INT(A41)+1),Loads!$B$3:$B$1000,B41,Loads!$C$3:$C$1000,C41)=0,0,IF(OR(COUNTIFS(Loads!$A$3:$A$1000,"&gt;="&amp;INT(A41),Loads!$A$3:$A$1000,"&lt;"&amp;(INT(A41)+1),Loads!$B$3:$B$1000,B41,Loads!$C$3:$C$1000,C41)&lt;&gt;1,COUNTIFS(Loads!$A$3:$A$1000,"&gt;="&amp;INT(A41),Loads!$A$3:$A$1000,"&lt;"&amp;(INT(A41)+1),Loads!$B$3:$B$1000,B41,Loads!$C$3:$C$1000,C41,Loads!$E$3:$E$1000,"&lt;&gt;")&lt;&gt;1),"",SUMIFS(Loads!$E$3:$E$1000,Loads!$A$3:$A$1000,"&gt;="&amp;INT(A41),Loads!$A$3:$A$1000,"&lt;"&amp;(INT(A41)+1),Loads!$B$3:$B$1000,B41,Loads!$C$3:$C$1000,C41)))</x:f>
        <x:v>0</x:v>
      </x:c>
      <x:c r="L41" s="434" t="n">
        <x:f>IF(COUNTIF(Library!$B$3:$B$58,C41)&lt;&gt;1,"",IF(COUNTIFS(Library!$B$3:$B$58,C41,Library!$E$3:$E$58,"&lt;&gt;")=0,0,INDEX(Library!$E$3:$E$58,MATCH(C41,Library!$B$3:$B$58,0))))</x:f>
        <x:v>0</x:v>
      </x:c>
      <x:c r="M41" s="432" t="n">
        <x:f>IF(OR(COUNT(J41:L41)&lt;&gt;3,J41&lt;0,J41&gt;10,K41&lt;0,L41&lt;0,COUNTIFS(Library!$B$3:$B$58,C41,Library!$D$3:$D$58,D41)&lt;&gt;1),"",MIN(10,J41*(1+K41*L41)))</x:f>
        <x:v>4</x:v>
      </x:c>
      <x:c r="N41" s="432" t="n">
        <x:f>IF(D41="seconds",IF(AND(ISNUMBER($B$177),$B$177&gt;0),G41/$B$177,""),IF(D41="reps/leg",G41*2,G41))</x:f>
        <x:v>15</x:v>
      </x:c>
      <x:c r="O41" s="432" t="n">
        <x:f>IF(COUNT(M41:N41)&lt;&gt;2,"",M41*N41)</x:f>
        <x:v>60</x:v>
      </x:c>
      <x:c r="P41" s="432"/>
      <x:c r="Q41" s="432"/>
      <x:c r="R41" s="400"/>
      <x:c r="S41" s="400"/>
      <x:c r="T41"/>
      <x:c r="U41"/>
      <x:c r="V41"/>
      <x:c r="W41"/>
      <x:c r="X41"/>
      <x:c r="Y41"/>
      <x:c r="Z41"/>
      <x:c r="AA41"/>
      <x:c r="AB41"/>
    </x:row>
    <x:row r="42" ht="38" hidden="0" customHeight="1">
      <x:c r="A42" s="402" t="n">
        <x:f>Daily!A13</x:f>
        <x:v>46338.5</x:v>
      </x:c>
      <x:c r="B42" s="391" t="str">
        <x:f>Daily!D13</x:f>
        <x:v>Skill B + Cal-Intervals</x:v>
      </x:c>
      <x:c r="C42" s="400" t="str">
        <x:v>Assisted full-depth pistol</x:v>
      </x:c>
      <x:c r="D42" s="400" t="str">
        <x:v>reps/leg</x:v>
      </x:c>
      <x:c r="E42" s="400" t="n">
        <x:v>3</x:v>
      </x:c>
      <x:c r="F42" s="400" t="n">
        <x:v>4</x:v>
      </x:c>
      <x:c r="G42" s="400" t="n">
        <x:f>E42*F42</x:f>
        <x:v>12</x:v>
      </x:c>
      <x:c r="H42" s="400" t="str">
        <x:f>IF(AND(OR(Daily!Z13=TRUE,Daily!AB13=TRUE),COUNT(Daily!AA13)&gt;0),SUM(Daily!AA13),"")</x:f>
      </x:c>
      <x:c r="I42" s="432" t="str">
        <x:f>IF(AND(ISNUMBER(H42),ISNUMBER(G42),G42&gt;0),100*H42/G42,"")</x:f>
      </x:c>
      <x:c r="J42" s="432" t="n">
        <x:f>IF(COUNTIF(Library!$B$3:$B$58,C42)&lt;&gt;1,"",INDEX(Library!$C$3:$C$58,MATCH(C42,Library!$B$3:$B$58,0)))</x:f>
        <x:v>4</x:v>
      </x:c>
      <x:c r="K42" s="433" t="n">
        <x:f>IF(COUNTIFS(Loads!$A$3:$A$1000,"&gt;="&amp;INT(A42),Loads!$A$3:$A$1000,"&lt;"&amp;(INT(A42)+1),Loads!$B$3:$B$1000,B42,Loads!$C$3:$C$1000,C42)=0,0,IF(OR(COUNTIFS(Loads!$A$3:$A$1000,"&gt;="&amp;INT(A42),Loads!$A$3:$A$1000,"&lt;"&amp;(INT(A42)+1),Loads!$B$3:$B$1000,B42,Loads!$C$3:$C$1000,C42)&lt;&gt;1,COUNTIFS(Loads!$A$3:$A$1000,"&gt;="&amp;INT(A42),Loads!$A$3:$A$1000,"&lt;"&amp;(INT(A42)+1),Loads!$B$3:$B$1000,B42,Loads!$C$3:$C$1000,C42,Loads!$E$3:$E$1000,"&lt;&gt;")&lt;&gt;1),"",SUMIFS(Loads!$E$3:$E$1000,Loads!$A$3:$A$1000,"&gt;="&amp;INT(A42),Loads!$A$3:$A$1000,"&lt;"&amp;(INT(A42)+1),Loads!$B$3:$B$1000,B42,Loads!$C$3:$C$1000,C42)))</x:f>
        <x:v>0</x:v>
      </x:c>
      <x:c r="L42" s="434" t="n">
        <x:f>IF(COUNTIF(Library!$B$3:$B$58,C42)&lt;&gt;1,"",IF(COUNTIFS(Library!$B$3:$B$58,C42,Library!$E$3:$E$58,"&lt;&gt;")=0,0,INDEX(Library!$E$3:$E$58,MATCH(C42,Library!$B$3:$B$58,0))))</x:f>
        <x:v>0.03</x:v>
      </x:c>
      <x:c r="M42" s="432" t="n">
        <x:f>IF(OR(COUNT(J42:L42)&lt;&gt;3,J42&lt;0,J42&gt;10,K42&lt;0,L42&lt;0,COUNTIFS(Library!$B$3:$B$58,C42,Library!$D$3:$D$58,D42)&lt;&gt;1),"",MIN(10,J42*(1+K42*L42)))</x:f>
        <x:v>4</x:v>
      </x:c>
      <x:c r="N42" s="432" t="n">
        <x:f>IF(D42="seconds",IF(AND(ISNUMBER($B$177),$B$177&gt;0),G42/$B$177,""),IF(D42="reps/leg",G42*2,G42))</x:f>
        <x:v>24</x:v>
      </x:c>
      <x:c r="O42" s="432" t="n">
        <x:f>IF(COUNT(M42:N42)&lt;&gt;2,"",M42*N42)</x:f>
        <x:v>96</x:v>
      </x:c>
      <x:c r="P42" s="432"/>
      <x:c r="Q42" s="432"/>
      <x:c r="R42" s="400"/>
      <x:c r="S42" s="400"/>
      <x:c r="T42"/>
      <x:c r="U42"/>
      <x:c r="V42"/>
      <x:c r="W42"/>
      <x:c r="X42"/>
      <x:c r="Y42"/>
      <x:c r="Z42"/>
      <x:c r="AA42"/>
      <x:c r="AB42"/>
    </x:row>
    <x:row r="43" ht="38" hidden="0" customHeight="1">
      <x:c r="A43" s="402" t="n">
        <x:f>Daily!A13</x:f>
        <x:v>46338.5</x:v>
      </x:c>
      <x:c r="B43" s="391" t="str">
        <x:f>Daily!D13</x:f>
        <x:v>Skill B + Cal-Intervals</x:v>
      </x:c>
      <x:c r="C43" s="400" t="str">
        <x:v>Cal-Intervals</x:v>
      </x:c>
      <x:c r="D43" s="400" t="str">
        <x:v>rounds</x:v>
      </x:c>
      <x:c r="E43" s="400" t="n">
        <x:v>1</x:v>
      </x:c>
      <x:c r="F43" s="400" t="n">
        <x:v>5</x:v>
      </x:c>
      <x:c r="G43" s="400" t="n">
        <x:v>5</x:v>
      </x:c>
      <x:c r="H43" s="400" t="str">
        <x:f>IF(AND(OR(Daily!Z13=TRUE,Daily!AB13=TRUE),ISNUMBER(Daily!AA13)),Daily!AA13,"")</x:f>
      </x:c>
      <x:c r="I43" s="432" t="str">
        <x:f>IF(AND(ISNUMBER(H43),G43&gt;0),100*H43/G43,"")</x:f>
      </x:c>
      <x:c r="J43" s="432" t="n">
        <x:f>IF(OR(COUNT(Library!F67:F70)&lt;&gt;4,COUNT(Library!E67:E70)&lt;&gt;4,SUM(Library!E67:E70)=0),"",SUM(Library!F67:F70)/SUM(Library!E67:E70))</x:f>
        <x:v>5</x:v>
      </x:c>
      <x:c r="K43" s="433"/>
      <x:c r="L43" s="434"/>
      <x:c r="M43" s="432" t="n">
        <x:f>IF(ISNUMBER(J43),J43,"")</x:f>
        <x:v>5</x:v>
      </x:c>
      <x:c r="N43" s="432" t="n">
        <x:f>IF(COUNT(Library!E67:E70)&lt;&gt;4,"",G43*SUM(Library!E67:E70))</x:f>
        <x:v>200</x:v>
      </x:c>
      <x:c r="O43" s="432" t="n">
        <x:f>IF(COUNT(Library!F67:F70)&lt;&gt;4,"",G43*SUM(Library!F67:F70))</x:f>
        <x:v>1000</x:v>
      </x:c>
      <x:c r="P43" s="432"/>
      <x:c r="Q43" s="432"/>
      <x:c r="R43" s="400"/>
      <x:c r="S43" s="400"/>
      <x:c r="T43"/>
      <x:c r="U43"/>
      <x:c r="V43"/>
      <x:c r="W43"/>
      <x:c r="X43"/>
      <x:c r="Y43"/>
      <x:c r="Z43"/>
      <x:c r="AA43"/>
      <x:c r="AB43"/>
    </x:row>
    <x:row r="44" ht="38" hidden="0" customHeight="1">
      <x:c r="A44" s="402" t="n">
        <x:f>Daily!A14</x:f>
        <x:v>46340.5</x:v>
      </x:c>
      <x:c r="B44" s="391" t="str">
        <x:f>Daily!D14</x:f>
        <x:v>Skill micro-session</x:v>
      </x:c>
      <x:c r="C44" s="400" t="str">
        <x:v>Wrist/shoulder mobility</x:v>
      </x:c>
      <x:c r="D44" s="400" t="str">
        <x:v>seconds</x:v>
      </x:c>
      <x:c r="E44" s="400" t="n">
        <x:v>1</x:v>
      </x:c>
      <x:c r="F44" s="400" t="n">
        <x:v>120</x:v>
      </x:c>
      <x:c r="G44" s="400" t="n">
        <x:f>E44*F44</x:f>
        <x:v>120</x:v>
      </x:c>
      <x:c r="H44" s="400" t="str">
        <x:f>IF(AND(OR(Daily!H14=TRUE,Daily!AB14=TRUE),COUNT(Daily!I14)&gt;0),SUM(Daily!I14)*86400,"")</x:f>
      </x:c>
      <x:c r="I44" s="432" t="str">
        <x:f>IF(AND(ISNUMBER(H44),ISNUMBER(G44),G44&gt;0),100*H44/G44,"")</x:f>
      </x:c>
      <x:c r="J44" s="432" t="n">
        <x:f>IF(COUNTIF(Library!$B$3:$B$58,C44)&lt;&gt;1,"",INDEX(Library!$C$3:$C$58,MATCH(C44,Library!$B$3:$B$58,0)))</x:f>
        <x:v>1</x:v>
      </x:c>
      <x:c r="K44" s="433" t="n">
        <x:f>IF(COUNTIFS(Loads!$A$3:$A$1000,"&gt;="&amp;INT(A44),Loads!$A$3:$A$1000,"&lt;"&amp;(INT(A44)+1),Loads!$B$3:$B$1000,B44,Loads!$C$3:$C$1000,C44)=0,0,IF(OR(COUNTIFS(Loads!$A$3:$A$1000,"&gt;="&amp;INT(A44),Loads!$A$3:$A$1000,"&lt;"&amp;(INT(A44)+1),Loads!$B$3:$B$1000,B44,Loads!$C$3:$C$1000,C44)&lt;&gt;1,COUNTIFS(Loads!$A$3:$A$1000,"&gt;="&amp;INT(A44),Loads!$A$3:$A$1000,"&lt;"&amp;(INT(A44)+1),Loads!$B$3:$B$1000,B44,Loads!$C$3:$C$1000,C44,Loads!$E$3:$E$1000,"&lt;&gt;")&lt;&gt;1),"",SUMIFS(Loads!$E$3:$E$1000,Loads!$A$3:$A$1000,"&gt;="&amp;INT(A44),Loads!$A$3:$A$1000,"&lt;"&amp;(INT(A44)+1),Loads!$B$3:$B$1000,B44,Loads!$C$3:$C$1000,C44)))</x:f>
        <x:v>0</x:v>
      </x:c>
      <x:c r="L44" s="434" t="n">
        <x:f>IF(COUNTIF(Library!$B$3:$B$58,C44)&lt;&gt;1,"",IF(COUNTIFS(Library!$B$3:$B$58,C44,Library!$E$3:$E$58,"&lt;&gt;")=0,0,INDEX(Library!$E$3:$E$58,MATCH(C44,Library!$B$3:$B$58,0))))</x:f>
        <x:v>0</x:v>
      </x:c>
      <x:c r="M44" s="432" t="n">
        <x:f>IF(OR(COUNT(J44:L44)&lt;&gt;3,J44&lt;0,J44&gt;10,K44&lt;0,L44&lt;0,COUNTIFS(Library!$B$3:$B$58,C44,Library!$D$3:$D$58,D44)&lt;&gt;1),"",MIN(10,J44*(1+K44*L44)))</x:f>
        <x:v>1</x:v>
      </x:c>
      <x:c r="N44" s="432" t="n">
        <x:f>IF(D44="seconds",IF(AND(ISNUMBER($B$177),$B$177&gt;0),G44/$B$177,""),IF(D44="reps/leg",G44*2,G44))</x:f>
        <x:v>40</x:v>
      </x:c>
      <x:c r="O44" s="432" t="n">
        <x:f>IF(COUNT(M44:N44)&lt;&gt;2,"",M44*N44)</x:f>
        <x:v>40</x:v>
      </x:c>
      <x:c r="P44" s="432" t="n">
        <x:f>IF(COUNT(O44:O46)&lt;&gt;COUNT(N44:N46),"",IF(SUM(N44:N46)=0,0,ROUND(SUM(O44:O46)/SUM(N44:N46),1)))</x:f>
        <x:v>1</x:v>
      </x:c>
      <x:c r="Q44" s="432" t="str">
        <x:f>IF(COUNT(I44:I46)=0,"",MEDIAN(I44:I46))</x:f>
      </x:c>
      <x:c r="R44" s="400" t="n">
        <x:f>COUNT(I44:I46)</x:f>
        <x:v>0</x:v>
      </x:c>
      <x:c r="S44" s="400" t="n">
        <x:v>3</x:v>
      </x:c>
      <x:c r="T44"/>
      <x:c r="U44"/>
      <x:c r="V44"/>
      <x:c r="W44"/>
      <x:c r="X44"/>
      <x:c r="Y44"/>
      <x:c r="Z44"/>
      <x:c r="AA44"/>
      <x:c r="AB44"/>
    </x:row>
    <x:row r="45" ht="38" hidden="0" customHeight="1">
      <x:c r="A45" s="402" t="n">
        <x:f>Daily!A14</x:f>
        <x:v>46340.5</x:v>
      </x:c>
      <x:c r="B45" s="391" t="str">
        <x:f>Daily!D14</x:f>
        <x:v>Skill micro-session</x:v>
      </x:c>
      <x:c r="C45" s="400" t="str">
        <x:v>Easy chest-to-wall hold</x:v>
      </x:c>
      <x:c r="D45" s="400" t="str">
        <x:v>seconds</x:v>
      </x:c>
      <x:c r="E45" s="400" t="n">
        <x:v>3</x:v>
      </x:c>
      <x:c r="F45" s="400" t="n">
        <x:v>15</x:v>
      </x:c>
      <x:c r="G45" s="400" t="n">
        <x:f>E45*F45</x:f>
        <x:v>45</x:v>
      </x:c>
      <x:c r="H45" s="400" t="str">
        <x:f>IF(AND(OR(Daily!N14=TRUE,Daily!AB14=TRUE),COUNT(Daily!O14,Daily!P14,Daily!Q14)&gt;0),SUM(Daily!O14,Daily!P14,Daily!Q14)*86400,"")</x:f>
      </x:c>
      <x:c r="I45" s="432" t="str">
        <x:f>IF(AND(ISNUMBER(H45),ISNUMBER(G45),G45&gt;0),100*H45/G45,"")</x:f>
      </x:c>
      <x:c r="J45" s="432" t="n">
        <x:f>IF(COUNTIF(Library!$B$3:$B$58,C45)&lt;&gt;1,"",INDEX(Library!$C$3:$C$58,MATCH(C45,Library!$B$3:$B$58,0)))</x:f>
        <x:v>1</x:v>
      </x:c>
      <x:c r="K45" s="433" t="n">
        <x:f>IF(COUNTIFS(Loads!$A$3:$A$1000,"&gt;="&amp;INT(A45),Loads!$A$3:$A$1000,"&lt;"&amp;(INT(A45)+1),Loads!$B$3:$B$1000,B45,Loads!$C$3:$C$1000,C45)=0,0,IF(OR(COUNTIFS(Loads!$A$3:$A$1000,"&gt;="&amp;INT(A45),Loads!$A$3:$A$1000,"&lt;"&amp;(INT(A45)+1),Loads!$B$3:$B$1000,B45,Loads!$C$3:$C$1000,C45)&lt;&gt;1,COUNTIFS(Loads!$A$3:$A$1000,"&gt;="&amp;INT(A45),Loads!$A$3:$A$1000,"&lt;"&amp;(INT(A45)+1),Loads!$B$3:$B$1000,B45,Loads!$C$3:$C$1000,C45,Loads!$E$3:$E$1000,"&lt;&gt;")&lt;&gt;1),"",SUMIFS(Loads!$E$3:$E$1000,Loads!$A$3:$A$1000,"&gt;="&amp;INT(A45),Loads!$A$3:$A$1000,"&lt;"&amp;(INT(A45)+1),Loads!$B$3:$B$1000,B45,Loads!$C$3:$C$1000,C45)))</x:f>
        <x:v>0</x:v>
      </x:c>
      <x:c r="L45" s="434" t="n">
        <x:f>IF(COUNTIF(Library!$B$3:$B$58,C45)&lt;&gt;1,"",IF(COUNTIFS(Library!$B$3:$B$58,C45,Library!$E$3:$E$58,"&lt;&gt;")=0,0,INDEX(Library!$E$3:$E$58,MATCH(C45,Library!$B$3:$B$58,0))))</x:f>
        <x:v>0</x:v>
      </x:c>
      <x:c r="M45" s="432" t="n">
        <x:f>IF(OR(COUNT(J45:L45)&lt;&gt;3,J45&lt;0,J45&gt;10,K45&lt;0,L45&lt;0,COUNTIFS(Library!$B$3:$B$58,C45,Library!$D$3:$D$58,D45)&lt;&gt;1),"",MIN(10,J45*(1+K45*L45)))</x:f>
        <x:v>1</x:v>
      </x:c>
      <x:c r="N45" s="432" t="n">
        <x:f>IF(D45="seconds",IF(AND(ISNUMBER($B$177),$B$177&gt;0),G45/$B$177,""),IF(D45="reps/leg",G45*2,G45))</x:f>
        <x:v>15</x:v>
      </x:c>
      <x:c r="O45" s="432" t="n">
        <x:f>IF(COUNT(M45:N45)&lt;&gt;2,"",M45*N45)</x:f>
        <x:v>15</x:v>
      </x:c>
      <x:c r="P45" s="432"/>
      <x:c r="Q45" s="432"/>
      <x:c r="R45" s="400"/>
      <x:c r="S45" s="400"/>
      <x:c r="T45"/>
      <x:c r="U45"/>
      <x:c r="V45"/>
      <x:c r="W45"/>
      <x:c r="X45"/>
      <x:c r="Y45"/>
      <x:c r="Z45"/>
      <x:c r="AA45"/>
      <x:c r="AB45"/>
    </x:row>
    <x:row r="46" ht="38" hidden="0" customHeight="1">
      <x:c r="A46" s="402" t="n">
        <x:f>Daily!A14</x:f>
        <x:v>46340.5</x:v>
      </x:c>
      <x:c r="B46" s="391" t="str">
        <x:f>Daily!D14</x:f>
        <x:v>Skill micro-session</x:v>
      </x:c>
      <x:c r="C46" s="400" t="str">
        <x:v>Wall handstand line drill</x:v>
      </x:c>
      <x:c r="D46" s="400" t="str">
        <x:v>seconds</x:v>
      </x:c>
      <x:c r="E46" s="400" t="n">
        <x:v>3</x:v>
      </x:c>
      <x:c r="F46" s="400" t="n">
        <x:v>15</x:v>
      </x:c>
      <x:c r="G46" s="400" t="n">
        <x:f>E46*F46</x:f>
        <x:v>45</x:v>
      </x:c>
      <x:c r="H46" s="400" t="str">
        <x:f>IF(AND(OR(Daily!T14=TRUE,Daily!AB14=TRUE),COUNT(Daily!U14,Daily!V14,Daily!W14)&gt;0),SUM(Daily!U14,Daily!V14,Daily!W14)*86400,"")</x:f>
      </x:c>
      <x:c r="I46" s="432" t="str">
        <x:f>IF(AND(ISNUMBER(H46),ISNUMBER(G46),G46&gt;0),100*H46/G46,"")</x:f>
      </x:c>
      <x:c r="J46" s="432" t="n">
        <x:f>IF(COUNTIF(Library!$B$3:$B$58,C46)&lt;&gt;1,"",INDEX(Library!$C$3:$C$58,MATCH(C46,Library!$B$3:$B$58,0)))</x:f>
        <x:v>1</x:v>
      </x:c>
      <x:c r="K46" s="433" t="n">
        <x:f>IF(COUNTIFS(Loads!$A$3:$A$1000,"&gt;="&amp;INT(A46),Loads!$A$3:$A$1000,"&lt;"&amp;(INT(A46)+1),Loads!$B$3:$B$1000,B46,Loads!$C$3:$C$1000,C46)=0,0,IF(OR(COUNTIFS(Loads!$A$3:$A$1000,"&gt;="&amp;INT(A46),Loads!$A$3:$A$1000,"&lt;"&amp;(INT(A46)+1),Loads!$B$3:$B$1000,B46,Loads!$C$3:$C$1000,C46)&lt;&gt;1,COUNTIFS(Loads!$A$3:$A$1000,"&gt;="&amp;INT(A46),Loads!$A$3:$A$1000,"&lt;"&amp;(INT(A46)+1),Loads!$B$3:$B$1000,B46,Loads!$C$3:$C$1000,C46,Loads!$E$3:$E$1000,"&lt;&gt;")&lt;&gt;1),"",SUMIFS(Loads!$E$3:$E$1000,Loads!$A$3:$A$1000,"&gt;="&amp;INT(A46),Loads!$A$3:$A$1000,"&lt;"&amp;(INT(A46)+1),Loads!$B$3:$B$1000,B46,Loads!$C$3:$C$1000,C46)))</x:f>
        <x:v>0</x:v>
      </x:c>
      <x:c r="L46" s="434" t="n">
        <x:f>IF(COUNTIF(Library!$B$3:$B$58,C46)&lt;&gt;1,"",IF(COUNTIFS(Library!$B$3:$B$58,C46,Library!$E$3:$E$58,"&lt;&gt;")=0,0,INDEX(Library!$E$3:$E$58,MATCH(C46,Library!$B$3:$B$58,0))))</x:f>
        <x:v>0</x:v>
      </x:c>
      <x:c r="M46" s="432" t="n">
        <x:f>IF(OR(COUNT(J46:L46)&lt;&gt;3,J46&lt;0,J46&gt;10,K46&lt;0,L46&lt;0,COUNTIFS(Library!$B$3:$B$58,C46,Library!$D$3:$D$58,D46)&lt;&gt;1),"",MIN(10,J46*(1+K46*L46)))</x:f>
        <x:v>1</x:v>
      </x:c>
      <x:c r="N46" s="432" t="n">
        <x:f>IF(D46="seconds",IF(AND(ISNUMBER($B$177),$B$177&gt;0),G46/$B$177,""),IF(D46="reps/leg",G46*2,G46))</x:f>
        <x:v>15</x:v>
      </x:c>
      <x:c r="O46" s="432" t="n">
        <x:f>IF(COUNT(M46:N46)&lt;&gt;2,"",M46*N46)</x:f>
        <x:v>15</x:v>
      </x:c>
      <x:c r="P46" s="432"/>
      <x:c r="Q46" s="432"/>
      <x:c r="R46" s="400"/>
      <x:c r="S46" s="400"/>
      <x:c r="T46"/>
      <x:c r="U46"/>
      <x:c r="V46"/>
      <x:c r="W46"/>
      <x:c r="X46"/>
      <x:c r="Y46"/>
      <x:c r="Z46"/>
      <x:c r="AA46"/>
      <x:c r="AB46"/>
    </x:row>
    <x:row r="47" ht="38" hidden="0" customHeight="1">
      <x:c r="A47" s="402" t="n">
        <x:f>Daily!A15</x:f>
        <x:v>46342.5</x:v>
      </x:c>
      <x:c r="B47" s="391" t="str">
        <x:f>Daily!D15</x:f>
        <x:v>Skill A + Cal-Intervals</x:v>
      </x:c>
      <x:c r="C47" s="400" t="str">
        <x:v>Easy scapular pull-up</x:v>
      </x:c>
      <x:c r="D47" s="400" t="str">
        <x:v>reps</x:v>
      </x:c>
      <x:c r="E47" s="400" t="n">
        <x:v>1</x:v>
      </x:c>
      <x:c r="F47" s="400" t="n">
        <x:v>5</x:v>
      </x:c>
      <x:c r="G47" s="400" t="n">
        <x:f>E47*F47</x:f>
        <x:v>5</x:v>
      </x:c>
      <x:c r="H47" s="400" t="str">
        <x:f>IF(AND(OR(Daily!H15=TRUE,Daily!AB15=TRUE),COUNT(Daily!I15)&gt;0),SUM(Daily!I15),"")</x:f>
      </x:c>
      <x:c r="I47" s="432" t="str">
        <x:f>IF(AND(ISNUMBER(H47),ISNUMBER(G47),G47&gt;0),100*H47/G47,"")</x:f>
      </x:c>
      <x:c r="J47" s="432" t="n">
        <x:f>IF(COUNTIF(Library!$B$3:$B$58,C47)&lt;&gt;1,"",INDEX(Library!$C$3:$C$58,MATCH(C47,Library!$B$3:$B$58,0)))</x:f>
        <x:v>1</x:v>
      </x:c>
      <x:c r="K47" s="433" t="n">
        <x:f>IF(COUNTIFS(Loads!$A$3:$A$1000,"&gt;="&amp;INT(A47),Loads!$A$3:$A$1000,"&lt;"&amp;(INT(A47)+1),Loads!$B$3:$B$1000,B47,Loads!$C$3:$C$1000,C47)=0,0,IF(OR(COUNTIFS(Loads!$A$3:$A$1000,"&gt;="&amp;INT(A47),Loads!$A$3:$A$1000,"&lt;"&amp;(INT(A47)+1),Loads!$B$3:$B$1000,B47,Loads!$C$3:$C$1000,C47)&lt;&gt;1,COUNTIFS(Loads!$A$3:$A$1000,"&gt;="&amp;INT(A47),Loads!$A$3:$A$1000,"&lt;"&amp;(INT(A47)+1),Loads!$B$3:$B$1000,B47,Loads!$C$3:$C$1000,C47,Loads!$E$3:$E$1000,"&lt;&gt;")&lt;&gt;1),"",SUMIFS(Loads!$E$3:$E$1000,Loads!$A$3:$A$1000,"&gt;="&amp;INT(A47),Loads!$A$3:$A$1000,"&lt;"&amp;(INT(A47)+1),Loads!$B$3:$B$1000,B47,Loads!$C$3:$C$1000,C47)))</x:f>
        <x:v>0</x:v>
      </x:c>
      <x:c r="L47" s="434" t="n">
        <x:f>IF(COUNTIF(Library!$B$3:$B$58,C47)&lt;&gt;1,"",IF(COUNTIFS(Library!$B$3:$B$58,C47,Library!$E$3:$E$58,"&lt;&gt;")=0,0,INDEX(Library!$E$3:$E$58,MATCH(C47,Library!$B$3:$B$58,0))))</x:f>
        <x:v>0.04</x:v>
      </x:c>
      <x:c r="M47" s="432" t="n">
        <x:f>IF(OR(COUNT(J47:L47)&lt;&gt;3,J47&lt;0,J47&gt;10,K47&lt;0,L47&lt;0,COUNTIFS(Library!$B$3:$B$58,C47,Library!$D$3:$D$58,D47)&lt;&gt;1),"",MIN(10,J47*(1+K47*L47)))</x:f>
        <x:v>1</x:v>
      </x:c>
      <x:c r="N47" s="432" t="n">
        <x:f>IF(D47="seconds",IF(AND(ISNUMBER($B$177),$B$177&gt;0),G47/$B$177,""),IF(D47="reps/leg",G47*2,G47))</x:f>
        <x:v>5</x:v>
      </x:c>
      <x:c r="O47" s="432" t="n">
        <x:f>IF(COUNT(M47:N47)&lt;&gt;2,"",M47*N47)</x:f>
        <x:v>5</x:v>
      </x:c>
      <x:c r="P47" s="432" t="n">
        <x:f>IF(COUNT(O47:O50)&lt;&gt;COUNT(N47:N50),"",IF(SUM(N47:N50)=0,0,ROUND(SUM(O47:O50)/SUM(N47:N50),1)))</x:f>
        <x:v>4.6</x:v>
      </x:c>
      <x:c r="Q47" s="432" t="str">
        <x:f>IF(COUNT(I47:I50)=0,"",MEDIAN(I47:I50))</x:f>
      </x:c>
      <x:c r="R47" s="400" t="n">
        <x:f>COUNT(I47:I50)</x:f>
        <x:v>0</x:v>
      </x:c>
      <x:c r="S47" s="400" t="n">
        <x:v>4</x:v>
      </x:c>
      <x:c r="T47"/>
      <x:c r="U47"/>
      <x:c r="V47"/>
      <x:c r="W47"/>
      <x:c r="X47"/>
      <x:c r="Y47"/>
      <x:c r="Z47"/>
      <x:c r="AA47"/>
      <x:c r="AB47"/>
    </x:row>
    <x:row r="48" ht="38" hidden="0" customHeight="1">
      <x:c r="A48" s="402" t="n">
        <x:f>Daily!A15</x:f>
        <x:v>46342.5</x:v>
      </x:c>
      <x:c r="B48" s="391" t="str">
        <x:f>Daily!D15</x:f>
        <x:v>Skill A + Cal-Intervals</x:v>
      </x:c>
      <x:c r="C48" s="400" t="str">
        <x:v>Easy low-bar transition</x:v>
      </x:c>
      <x:c r="D48" s="400" t="str">
        <x:v>reps</x:v>
      </x:c>
      <x:c r="E48" s="400" t="n">
        <x:v>1</x:v>
      </x:c>
      <x:c r="F48" s="400" t="n">
        <x:v>3</x:v>
      </x:c>
      <x:c r="G48" s="400" t="n">
        <x:f>E48*F48</x:f>
        <x:v>3</x:v>
      </x:c>
      <x:c r="H48" s="400" t="str">
        <x:f>IF(AND(OR(Daily!N15=TRUE,Daily!AB15=TRUE),COUNT(Daily!O15)&gt;0),SUM(Daily!O15),"")</x:f>
      </x:c>
      <x:c r="I48" s="432" t="str">
        <x:f>IF(AND(ISNUMBER(H48),ISNUMBER(G48),G48&gt;0),100*H48/G48,"")</x:f>
      </x:c>
      <x:c r="J48" s="432" t="n">
        <x:f>IF(COUNTIF(Library!$B$3:$B$58,C48)&lt;&gt;1,"",INDEX(Library!$C$3:$C$58,MATCH(C48,Library!$B$3:$B$58,0)))</x:f>
        <x:v>1</x:v>
      </x:c>
      <x:c r="K48" s="433" t="n">
        <x:f>IF(COUNTIFS(Loads!$A$3:$A$1000,"&gt;="&amp;INT(A48),Loads!$A$3:$A$1000,"&lt;"&amp;(INT(A48)+1),Loads!$B$3:$B$1000,B48,Loads!$C$3:$C$1000,C48)=0,0,IF(OR(COUNTIFS(Loads!$A$3:$A$1000,"&gt;="&amp;INT(A48),Loads!$A$3:$A$1000,"&lt;"&amp;(INT(A48)+1),Loads!$B$3:$B$1000,B48,Loads!$C$3:$C$1000,C48)&lt;&gt;1,COUNTIFS(Loads!$A$3:$A$1000,"&gt;="&amp;INT(A48),Loads!$A$3:$A$1000,"&lt;"&amp;(INT(A48)+1),Loads!$B$3:$B$1000,B48,Loads!$C$3:$C$1000,C48,Loads!$E$3:$E$1000,"&lt;&gt;")&lt;&gt;1),"",SUMIFS(Loads!$E$3:$E$1000,Loads!$A$3:$A$1000,"&gt;="&amp;INT(A48),Loads!$A$3:$A$1000,"&lt;"&amp;(INT(A48)+1),Loads!$B$3:$B$1000,B48,Loads!$C$3:$C$1000,C48)))</x:f>
        <x:v>0</x:v>
      </x:c>
      <x:c r="L48" s="434" t="n">
        <x:f>IF(COUNTIF(Library!$B$3:$B$58,C48)&lt;&gt;1,"",IF(COUNTIFS(Library!$B$3:$B$58,C48,Library!$E$3:$E$58,"&lt;&gt;")=0,0,INDEX(Library!$E$3:$E$58,MATCH(C48,Library!$B$3:$B$58,0))))</x:f>
        <x:v>0</x:v>
      </x:c>
      <x:c r="M48" s="432" t="n">
        <x:f>IF(OR(COUNT(J48:L48)&lt;&gt;3,J48&lt;0,J48&gt;10,K48&lt;0,L48&lt;0,COUNTIFS(Library!$B$3:$B$58,C48,Library!$D$3:$D$58,D48)&lt;&gt;1),"",MIN(10,J48*(1+K48*L48)))</x:f>
        <x:v>1</x:v>
      </x:c>
      <x:c r="N48" s="432" t="n">
        <x:f>IF(D48="seconds",IF(AND(ISNUMBER($B$177),$B$177&gt;0),G48/$B$177,""),IF(D48="reps/leg",G48*2,G48))</x:f>
        <x:v>3</x:v>
      </x:c>
      <x:c r="O48" s="432" t="n">
        <x:f>IF(COUNT(M48:N48)&lt;&gt;2,"",M48*N48)</x:f>
        <x:v>3</x:v>
      </x:c>
      <x:c r="P48" s="432"/>
      <x:c r="Q48" s="432"/>
      <x:c r="R48" s="400"/>
      <x:c r="S48" s="400"/>
      <x:c r="T48"/>
      <x:c r="U48"/>
      <x:c r="V48"/>
      <x:c r="W48"/>
      <x:c r="X48"/>
      <x:c r="Y48"/>
      <x:c r="Z48"/>
      <x:c r="AA48"/>
      <x:c r="AB48"/>
    </x:row>
    <x:row r="49" ht="38" hidden="0" customHeight="1">
      <x:c r="A49" s="402" t="n">
        <x:f>Daily!A15</x:f>
        <x:v>46342.5</x:v>
      </x:c>
      <x:c r="B49" s="391" t="str">
        <x:f>Daily!D15</x:f>
        <x:v>Skill A + Cal-Intervals</x:v>
      </x:c>
      <x:c r="C49" s="400" t="str">
        <x:v>Assisted pistol</x:v>
      </x:c>
      <x:c r="D49" s="400" t="str">
        <x:v>reps/leg</x:v>
      </x:c>
      <x:c r="E49" s="400" t="n">
        <x:v>1</x:v>
      </x:c>
      <x:c r="F49" s="400" t="n">
        <x:v>3</x:v>
      </x:c>
      <x:c r="G49" s="400" t="n">
        <x:f>E49*F49</x:f>
        <x:v>3</x:v>
      </x:c>
      <x:c r="H49" s="400" t="str">
        <x:f>IF(AND(OR(Daily!T15=TRUE,Daily!AB15=TRUE),COUNT(Daily!U15)&gt;0),SUM(Daily!U15),"")</x:f>
      </x:c>
      <x:c r="I49" s="432" t="str">
        <x:f>IF(AND(ISNUMBER(H49),ISNUMBER(G49),G49&gt;0),100*H49/G49,"")</x:f>
      </x:c>
      <x:c r="J49" s="432" t="n">
        <x:f>IF(COUNTIF(Library!$B$3:$B$58,C49)&lt;&gt;1,"",INDEX(Library!$C$3:$C$58,MATCH(C49,Library!$B$3:$B$58,0)))</x:f>
        <x:v>2</x:v>
      </x:c>
      <x:c r="K49" s="433" t="n">
        <x:f>IF(COUNTIFS(Loads!$A$3:$A$1000,"&gt;="&amp;INT(A49),Loads!$A$3:$A$1000,"&lt;"&amp;(INT(A49)+1),Loads!$B$3:$B$1000,B49,Loads!$C$3:$C$1000,C49)=0,0,IF(OR(COUNTIFS(Loads!$A$3:$A$1000,"&gt;="&amp;INT(A49),Loads!$A$3:$A$1000,"&lt;"&amp;(INT(A49)+1),Loads!$B$3:$B$1000,B49,Loads!$C$3:$C$1000,C49)&lt;&gt;1,COUNTIFS(Loads!$A$3:$A$1000,"&gt;="&amp;INT(A49),Loads!$A$3:$A$1000,"&lt;"&amp;(INT(A49)+1),Loads!$B$3:$B$1000,B49,Loads!$C$3:$C$1000,C49,Loads!$E$3:$E$1000,"&lt;&gt;")&lt;&gt;1),"",SUMIFS(Loads!$E$3:$E$1000,Loads!$A$3:$A$1000,"&gt;="&amp;INT(A49),Loads!$A$3:$A$1000,"&lt;"&amp;(INT(A49)+1),Loads!$B$3:$B$1000,B49,Loads!$C$3:$C$1000,C49)))</x:f>
        <x:v>0</x:v>
      </x:c>
      <x:c r="L49" s="434" t="n">
        <x:f>IF(COUNTIF(Library!$B$3:$B$58,C49)&lt;&gt;1,"",IF(COUNTIFS(Library!$B$3:$B$58,C49,Library!$E$3:$E$58,"&lt;&gt;")=0,0,INDEX(Library!$E$3:$E$58,MATCH(C49,Library!$B$3:$B$58,0))))</x:f>
        <x:v>0.03</x:v>
      </x:c>
      <x:c r="M49" s="432" t="n">
        <x:f>IF(OR(COUNT(J49:L49)&lt;&gt;3,J49&lt;0,J49&gt;10,K49&lt;0,L49&lt;0,COUNTIFS(Library!$B$3:$B$58,C49,Library!$D$3:$D$58,D49)&lt;&gt;1),"",MIN(10,J49*(1+K49*L49)))</x:f>
        <x:v>2</x:v>
      </x:c>
      <x:c r="N49" s="432" t="n">
        <x:f>IF(D49="seconds",IF(AND(ISNUMBER($B$177),$B$177&gt;0),G49/$B$177,""),IF(D49="reps/leg",G49*2,G49))</x:f>
        <x:v>6</x:v>
      </x:c>
      <x:c r="O49" s="432" t="n">
        <x:f>IF(COUNT(M49:N49)&lt;&gt;2,"",M49*N49)</x:f>
        <x:v>12</x:v>
      </x:c>
      <x:c r="P49" s="432"/>
      <x:c r="Q49" s="432"/>
      <x:c r="R49" s="400"/>
      <x:c r="S49" s="400"/>
      <x:c r="T49"/>
      <x:c r="U49"/>
      <x:c r="V49"/>
      <x:c r="W49"/>
      <x:c r="X49"/>
      <x:c r="Y49"/>
      <x:c r="Z49"/>
      <x:c r="AA49"/>
      <x:c r="AB49"/>
    </x:row>
    <x:row r="50" ht="38" hidden="0" customHeight="1">
      <x:c r="A50" s="402" t="n">
        <x:f>Daily!A15</x:f>
        <x:v>46342.5</x:v>
      </x:c>
      <x:c r="B50" s="391" t="str">
        <x:f>Daily!D15</x:f>
        <x:v>Skill A + Cal-Intervals</x:v>
      </x:c>
      <x:c r="C50" s="400" t="str">
        <x:v>Cal-Intervals</x:v>
      </x:c>
      <x:c r="D50" s="400" t="str">
        <x:v>rounds</x:v>
      </x:c>
      <x:c r="E50" s="400" t="n">
        <x:v>1</x:v>
      </x:c>
      <x:c r="F50" s="400" t="n">
        <x:v>3</x:v>
      </x:c>
      <x:c r="G50" s="400" t="n">
        <x:v>3</x:v>
      </x:c>
      <x:c r="H50" s="400" t="str">
        <x:f>IF(AND(OR(Daily!Z15=TRUE,Daily!AB15=TRUE),ISNUMBER(Daily!AA15)),Daily!AA15,"")</x:f>
      </x:c>
      <x:c r="I50" s="432" t="str">
        <x:f>IF(AND(ISNUMBER(H50),G50&gt;0),100*H50/G50,"")</x:f>
      </x:c>
      <x:c r="J50" s="432" t="n">
        <x:f>IF(OR(COUNT(Library!F67:F70)&lt;&gt;4,COUNT(Library!E67:E70)&lt;&gt;4,SUM(Library!E67:E70)=0),"",SUM(Library!F67:F70)/SUM(Library!E67:E70))</x:f>
        <x:v>5</x:v>
      </x:c>
      <x:c r="K50" s="433"/>
      <x:c r="L50" s="434"/>
      <x:c r="M50" s="432" t="n">
        <x:f>IF(ISNUMBER(J50),J50,"")</x:f>
        <x:v>5</x:v>
      </x:c>
      <x:c r="N50" s="432" t="n">
        <x:f>IF(COUNT(Library!E67:E70)&lt;&gt;4,"",G50*SUM(Library!E67:E70))</x:f>
        <x:v>120</x:v>
      </x:c>
      <x:c r="O50" s="432" t="n">
        <x:f>IF(COUNT(Library!F67:F70)&lt;&gt;4,"",G50*SUM(Library!F67:F70))</x:f>
        <x:v>600</x:v>
      </x:c>
      <x:c r="P50" s="432"/>
      <x:c r="Q50" s="432"/>
      <x:c r="R50" s="400"/>
      <x:c r="S50" s="400"/>
      <x:c r="T50"/>
      <x:c r="U50"/>
      <x:c r="V50"/>
      <x:c r="W50"/>
      <x:c r="X50"/>
      <x:c r="Y50"/>
      <x:c r="Z50"/>
      <x:c r="AA50"/>
      <x:c r="AB50"/>
    </x:row>
    <x:row r="51" ht="38" hidden="0" customHeight="1">
      <x:c r="A51" s="402" t="n">
        <x:f>Daily!A16</x:f>
        <x:v>46343.5</x:v>
      </x:c>
      <x:c r="B51" s="391" t="str">
        <x:f>Daily!D16</x:f>
        <x:v>Handstand technique</x:v>
      </x:c>
      <x:c r="C51" s="400" t="str">
        <x:v>Wrist/shoulder mobility</x:v>
      </x:c>
      <x:c r="D51" s="400" t="str">
        <x:v>seconds</x:v>
      </x:c>
      <x:c r="E51" s="400" t="n">
        <x:v>1</x:v>
      </x:c>
      <x:c r="F51" s="400" t="n">
        <x:v>60</x:v>
      </x:c>
      <x:c r="G51" s="400" t="n">
        <x:f>E51*F51</x:f>
        <x:v>60</x:v>
      </x:c>
      <x:c r="H51" s="400" t="str">
        <x:f>IF(AND(OR(Daily!H16=TRUE,Daily!AB16=TRUE),COUNT(Daily!I16)&gt;0),SUM(Daily!I16)*86400,"")</x:f>
      </x:c>
      <x:c r="I51" s="432" t="str">
        <x:f>IF(AND(ISNUMBER(H51),ISNUMBER(G51),G51&gt;0),100*H51/G51,"")</x:f>
      </x:c>
      <x:c r="J51" s="432" t="n">
        <x:f>IF(COUNTIF(Library!$B$3:$B$58,C51)&lt;&gt;1,"",INDEX(Library!$C$3:$C$58,MATCH(C51,Library!$B$3:$B$58,0)))</x:f>
        <x:v>1</x:v>
      </x:c>
      <x:c r="K51" s="433" t="n">
        <x:f>IF(COUNTIFS(Loads!$A$3:$A$1000,"&gt;="&amp;INT(A51),Loads!$A$3:$A$1000,"&lt;"&amp;(INT(A51)+1),Loads!$B$3:$B$1000,B51,Loads!$C$3:$C$1000,C51)=0,0,IF(OR(COUNTIFS(Loads!$A$3:$A$1000,"&gt;="&amp;INT(A51),Loads!$A$3:$A$1000,"&lt;"&amp;(INT(A51)+1),Loads!$B$3:$B$1000,B51,Loads!$C$3:$C$1000,C51)&lt;&gt;1,COUNTIFS(Loads!$A$3:$A$1000,"&gt;="&amp;INT(A51),Loads!$A$3:$A$1000,"&lt;"&amp;(INT(A51)+1),Loads!$B$3:$B$1000,B51,Loads!$C$3:$C$1000,C51,Loads!$E$3:$E$1000,"&lt;&gt;")&lt;&gt;1),"",SUMIFS(Loads!$E$3:$E$1000,Loads!$A$3:$A$1000,"&gt;="&amp;INT(A51),Loads!$A$3:$A$1000,"&lt;"&amp;(INT(A51)+1),Loads!$B$3:$B$1000,B51,Loads!$C$3:$C$1000,C51)))</x:f>
        <x:v>0</x:v>
      </x:c>
      <x:c r="L51" s="434" t="n">
        <x:f>IF(COUNTIF(Library!$B$3:$B$58,C51)&lt;&gt;1,"",IF(COUNTIFS(Library!$B$3:$B$58,C51,Library!$E$3:$E$58,"&lt;&gt;")=0,0,INDEX(Library!$E$3:$E$58,MATCH(C51,Library!$B$3:$B$58,0))))</x:f>
        <x:v>0</x:v>
      </x:c>
      <x:c r="M51" s="432" t="n">
        <x:f>IF(OR(COUNT(J51:L51)&lt;&gt;3,J51&lt;0,J51&gt;10,K51&lt;0,L51&lt;0,COUNTIFS(Library!$B$3:$B$58,C51,Library!$D$3:$D$58,D51)&lt;&gt;1),"",MIN(10,J51*(1+K51*L51)))</x:f>
        <x:v>1</x:v>
      </x:c>
      <x:c r="N51" s="432" t="n">
        <x:f>IF(D51="seconds",IF(AND(ISNUMBER($B$177),$B$177&gt;0),G51/$B$177,""),IF(D51="reps/leg",G51*2,G51))</x:f>
        <x:v>20</x:v>
      </x:c>
      <x:c r="O51" s="432" t="n">
        <x:f>IF(COUNT(M51:N51)&lt;&gt;2,"",M51*N51)</x:f>
        <x:v>20</x:v>
      </x:c>
      <x:c r="P51" s="432" t="n">
        <x:f>IF(COUNT(O51:O53)&lt;&gt;COUNT(N51:N53),"",IF(SUM(N51:N53)=0,0,ROUND(SUM(O51:O53)/SUM(N51:N53),1)))</x:f>
        <x:v>1</x:v>
      </x:c>
      <x:c r="Q51" s="432" t="str">
        <x:f>IF(COUNT(I51:I53)=0,"",MEDIAN(I51:I53))</x:f>
      </x:c>
      <x:c r="R51" s="400" t="n">
        <x:f>COUNT(I51:I53)</x:f>
        <x:v>0</x:v>
      </x:c>
      <x:c r="S51" s="400" t="n">
        <x:v>3</x:v>
      </x:c>
      <x:c r="T51"/>
      <x:c r="U51"/>
      <x:c r="V51"/>
      <x:c r="W51"/>
      <x:c r="X51"/>
      <x:c r="Y51"/>
      <x:c r="Z51"/>
      <x:c r="AA51"/>
      <x:c r="AB51"/>
    </x:row>
    <x:row r="52" ht="38" hidden="0" customHeight="1">
      <x:c r="A52" s="402" t="n">
        <x:f>Daily!A16</x:f>
        <x:v>46343.5</x:v>
      </x:c>
      <x:c r="B52" s="391" t="str">
        <x:f>Daily!D16</x:f>
        <x:v>Handstand technique</x:v>
      </x:c>
      <x:c r="C52" s="400" t="str">
        <x:v>Easy chest-to-wall hold</x:v>
      </x:c>
      <x:c r="D52" s="400" t="str">
        <x:v>seconds</x:v>
      </x:c>
      <x:c r="E52" s="400" t="n">
        <x:v>2</x:v>
      </x:c>
      <x:c r="F52" s="400" t="n">
        <x:v>10</x:v>
      </x:c>
      <x:c r="G52" s="400" t="n">
        <x:f>E52*F52</x:f>
        <x:v>20</x:v>
      </x:c>
      <x:c r="H52" s="400" t="str">
        <x:f>IF(AND(OR(Daily!N16=TRUE,Daily!AB16=TRUE),COUNT(Daily!O16,Daily!P16)&gt;0),SUM(Daily!O16,Daily!P16)*86400,"")</x:f>
      </x:c>
      <x:c r="I52" s="432" t="str">
        <x:f>IF(AND(ISNUMBER(H52),ISNUMBER(G52),G52&gt;0),100*H52/G52,"")</x:f>
      </x:c>
      <x:c r="J52" s="432" t="n">
        <x:f>IF(COUNTIF(Library!$B$3:$B$58,C52)&lt;&gt;1,"",INDEX(Library!$C$3:$C$58,MATCH(C52,Library!$B$3:$B$58,0)))</x:f>
        <x:v>1</x:v>
      </x:c>
      <x:c r="K52" s="433" t="n">
        <x:f>IF(COUNTIFS(Loads!$A$3:$A$1000,"&gt;="&amp;INT(A52),Loads!$A$3:$A$1000,"&lt;"&amp;(INT(A52)+1),Loads!$B$3:$B$1000,B52,Loads!$C$3:$C$1000,C52)=0,0,IF(OR(COUNTIFS(Loads!$A$3:$A$1000,"&gt;="&amp;INT(A52),Loads!$A$3:$A$1000,"&lt;"&amp;(INT(A52)+1),Loads!$B$3:$B$1000,B52,Loads!$C$3:$C$1000,C52)&lt;&gt;1,COUNTIFS(Loads!$A$3:$A$1000,"&gt;="&amp;INT(A52),Loads!$A$3:$A$1000,"&lt;"&amp;(INT(A52)+1),Loads!$B$3:$B$1000,B52,Loads!$C$3:$C$1000,C52,Loads!$E$3:$E$1000,"&lt;&gt;")&lt;&gt;1),"",SUMIFS(Loads!$E$3:$E$1000,Loads!$A$3:$A$1000,"&gt;="&amp;INT(A52),Loads!$A$3:$A$1000,"&lt;"&amp;(INT(A52)+1),Loads!$B$3:$B$1000,B52,Loads!$C$3:$C$1000,C52)))</x:f>
        <x:v>0</x:v>
      </x:c>
      <x:c r="L52" s="434" t="n">
        <x:f>IF(COUNTIF(Library!$B$3:$B$58,C52)&lt;&gt;1,"",IF(COUNTIFS(Library!$B$3:$B$58,C52,Library!$E$3:$E$58,"&lt;&gt;")=0,0,INDEX(Library!$E$3:$E$58,MATCH(C52,Library!$B$3:$B$58,0))))</x:f>
        <x:v>0</x:v>
      </x:c>
      <x:c r="M52" s="432" t="n">
        <x:f>IF(OR(COUNT(J52:L52)&lt;&gt;3,J52&lt;0,J52&gt;10,K52&lt;0,L52&lt;0,COUNTIFS(Library!$B$3:$B$58,C52,Library!$D$3:$D$58,D52)&lt;&gt;1),"",MIN(10,J52*(1+K52*L52)))</x:f>
        <x:v>1</x:v>
      </x:c>
      <x:c r="N52" s="432" t="n">
        <x:f>IF(D52="seconds",IF(AND(ISNUMBER($B$177),$B$177&gt;0),G52/$B$177,""),IF(D52="reps/leg",G52*2,G52))</x:f>
        <x:v>6.666666666666667</x:v>
      </x:c>
      <x:c r="O52" s="432" t="n">
        <x:f>IF(COUNT(M52:N52)&lt;&gt;2,"",M52*N52)</x:f>
        <x:v>6.666666666666667</x:v>
      </x:c>
      <x:c r="P52" s="432"/>
      <x:c r="Q52" s="432"/>
      <x:c r="R52" s="400"/>
      <x:c r="S52" s="400"/>
      <x:c r="T52"/>
      <x:c r="U52"/>
      <x:c r="V52"/>
      <x:c r="W52"/>
      <x:c r="X52"/>
      <x:c r="Y52"/>
      <x:c r="Z52"/>
      <x:c r="AA52"/>
      <x:c r="AB52"/>
    </x:row>
    <x:row r="53" ht="38" hidden="0" customHeight="1">
      <x:c r="A53" s="402" t="n">
        <x:f>Daily!A16</x:f>
        <x:v>46343.5</x:v>
      </x:c>
      <x:c r="B53" s="391" t="str">
        <x:f>Daily!D16</x:f>
        <x:v>Handstand technique</x:v>
      </x:c>
      <x:c r="C53" s="400" t="str">
        <x:v>Wall handstand line drill</x:v>
      </x:c>
      <x:c r="D53" s="400" t="str">
        <x:v>seconds</x:v>
      </x:c>
      <x:c r="E53" s="400" t="n">
        <x:v>1</x:v>
      </x:c>
      <x:c r="F53" s="400" t="n">
        <x:v>10</x:v>
      </x:c>
      <x:c r="G53" s="400" t="n">
        <x:f>E53*F53</x:f>
        <x:v>10</x:v>
      </x:c>
      <x:c r="H53" s="400" t="str">
        <x:f>IF(AND(OR(Daily!T16=TRUE,Daily!AB16=TRUE),COUNT(Daily!U16)&gt;0),SUM(Daily!U16)*86400,"")</x:f>
      </x:c>
      <x:c r="I53" s="432" t="str">
        <x:f>IF(AND(ISNUMBER(H53),ISNUMBER(G53),G53&gt;0),100*H53/G53,"")</x:f>
      </x:c>
      <x:c r="J53" s="432" t="n">
        <x:f>IF(COUNTIF(Library!$B$3:$B$58,C53)&lt;&gt;1,"",INDEX(Library!$C$3:$C$58,MATCH(C53,Library!$B$3:$B$58,0)))</x:f>
        <x:v>1</x:v>
      </x:c>
      <x:c r="K53" s="433" t="n">
        <x:f>IF(COUNTIFS(Loads!$A$3:$A$1000,"&gt;="&amp;INT(A53),Loads!$A$3:$A$1000,"&lt;"&amp;(INT(A53)+1),Loads!$B$3:$B$1000,B53,Loads!$C$3:$C$1000,C53)=0,0,IF(OR(COUNTIFS(Loads!$A$3:$A$1000,"&gt;="&amp;INT(A53),Loads!$A$3:$A$1000,"&lt;"&amp;(INT(A53)+1),Loads!$B$3:$B$1000,B53,Loads!$C$3:$C$1000,C53)&lt;&gt;1,COUNTIFS(Loads!$A$3:$A$1000,"&gt;="&amp;INT(A53),Loads!$A$3:$A$1000,"&lt;"&amp;(INT(A53)+1),Loads!$B$3:$B$1000,B53,Loads!$C$3:$C$1000,C53,Loads!$E$3:$E$1000,"&lt;&gt;")&lt;&gt;1),"",SUMIFS(Loads!$E$3:$E$1000,Loads!$A$3:$A$1000,"&gt;="&amp;INT(A53),Loads!$A$3:$A$1000,"&lt;"&amp;(INT(A53)+1),Loads!$B$3:$B$1000,B53,Loads!$C$3:$C$1000,C53)))</x:f>
        <x:v>0</x:v>
      </x:c>
      <x:c r="L53" s="434" t="n">
        <x:f>IF(COUNTIF(Library!$B$3:$B$58,C53)&lt;&gt;1,"",IF(COUNTIFS(Library!$B$3:$B$58,C53,Library!$E$3:$E$58,"&lt;&gt;")=0,0,INDEX(Library!$E$3:$E$58,MATCH(C53,Library!$B$3:$B$58,0))))</x:f>
        <x:v>0</x:v>
      </x:c>
      <x:c r="M53" s="432" t="n">
        <x:f>IF(OR(COUNT(J53:L53)&lt;&gt;3,J53&lt;0,J53&gt;10,K53&lt;0,L53&lt;0,COUNTIFS(Library!$B$3:$B$58,C53,Library!$D$3:$D$58,D53)&lt;&gt;1),"",MIN(10,J53*(1+K53*L53)))</x:f>
        <x:v>1</x:v>
      </x:c>
      <x:c r="N53" s="432" t="n">
        <x:f>IF(D53="seconds",IF(AND(ISNUMBER($B$177),$B$177&gt;0),G53/$B$177,""),IF(D53="reps/leg",G53*2,G53))</x:f>
        <x:v>3.3333333333333335</x:v>
      </x:c>
      <x:c r="O53" s="432" t="n">
        <x:f>IF(COUNT(M53:N53)&lt;&gt;2,"",M53*N53)</x:f>
        <x:v>3.3333333333333335</x:v>
      </x:c>
      <x:c r="P53" s="432"/>
      <x:c r="Q53" s="432"/>
      <x:c r="R53" s="400"/>
      <x:c r="S53" s="400"/>
      <x:c r="T53"/>
      <x:c r="U53"/>
      <x:c r="V53"/>
      <x:c r="W53"/>
      <x:c r="X53"/>
      <x:c r="Y53"/>
      <x:c r="Z53"/>
      <x:c r="AA53"/>
      <x:c r="AB53"/>
    </x:row>
    <x:row r="54" ht="38" hidden="0" customHeight="1">
      <x:c r="A54" s="402" t="n">
        <x:f>Daily!A17</x:f>
        <x:v>46345.5</x:v>
      </x:c>
      <x:c r="B54" s="391" t="str">
        <x:f>Daily!D17</x:f>
        <x:v>Skill B + Cal-Intervals</x:v>
      </x:c>
      <x:c r="C54" s="400" t="str">
        <x:v>Easy wall handstand</x:v>
      </x:c>
      <x:c r="D54" s="400" t="str">
        <x:v>seconds</x:v>
      </x:c>
      <x:c r="E54" s="400" t="n">
        <x:v>1</x:v>
      </x:c>
      <x:c r="F54" s="400" t="n">
        <x:v>15</x:v>
      </x:c>
      <x:c r="G54" s="400" t="n">
        <x:f>E54*F54</x:f>
        <x:v>15</x:v>
      </x:c>
      <x:c r="H54" s="400" t="str">
        <x:f>IF(AND(OR(Daily!H17=TRUE,Daily!AB17=TRUE),COUNT(Daily!I17)&gt;0),SUM(Daily!I17)*86400,"")</x:f>
      </x:c>
      <x:c r="I54" s="432" t="str">
        <x:f>IF(AND(ISNUMBER(H54),ISNUMBER(G54),G54&gt;0),100*H54/G54,"")</x:f>
      </x:c>
      <x:c r="J54" s="432" t="n">
        <x:f>IF(COUNTIF(Library!$B$3:$B$58,C54)&lt;&gt;1,"",INDEX(Library!$C$3:$C$58,MATCH(C54,Library!$B$3:$B$58,0)))</x:f>
        <x:v>1</x:v>
      </x:c>
      <x:c r="K54" s="433" t="n">
        <x:f>IF(COUNTIFS(Loads!$A$3:$A$1000,"&gt;="&amp;INT(A54),Loads!$A$3:$A$1000,"&lt;"&amp;(INT(A54)+1),Loads!$B$3:$B$1000,B54,Loads!$C$3:$C$1000,C54)=0,0,IF(OR(COUNTIFS(Loads!$A$3:$A$1000,"&gt;="&amp;INT(A54),Loads!$A$3:$A$1000,"&lt;"&amp;(INT(A54)+1),Loads!$B$3:$B$1000,B54,Loads!$C$3:$C$1000,C54)&lt;&gt;1,COUNTIFS(Loads!$A$3:$A$1000,"&gt;="&amp;INT(A54),Loads!$A$3:$A$1000,"&lt;"&amp;(INT(A54)+1),Loads!$B$3:$B$1000,B54,Loads!$C$3:$C$1000,C54,Loads!$E$3:$E$1000,"&lt;&gt;")&lt;&gt;1),"",SUMIFS(Loads!$E$3:$E$1000,Loads!$A$3:$A$1000,"&gt;="&amp;INT(A54),Loads!$A$3:$A$1000,"&lt;"&amp;(INT(A54)+1),Loads!$B$3:$B$1000,B54,Loads!$C$3:$C$1000,C54)))</x:f>
        <x:v>0</x:v>
      </x:c>
      <x:c r="L54" s="434" t="n">
        <x:f>IF(COUNTIF(Library!$B$3:$B$58,C54)&lt;&gt;1,"",IF(COUNTIFS(Library!$B$3:$B$58,C54,Library!$E$3:$E$58,"&lt;&gt;")=0,0,INDEX(Library!$E$3:$E$58,MATCH(C54,Library!$B$3:$B$58,0))))</x:f>
        <x:v>0</x:v>
      </x:c>
      <x:c r="M54" s="432" t="n">
        <x:f>IF(OR(COUNT(J54:L54)&lt;&gt;3,J54&lt;0,J54&gt;10,K54&lt;0,L54&lt;0,COUNTIFS(Library!$B$3:$B$58,C54,Library!$D$3:$D$58,D54)&lt;&gt;1),"",MIN(10,J54*(1+K54*L54)))</x:f>
        <x:v>1</x:v>
      </x:c>
      <x:c r="N54" s="432" t="n">
        <x:f>IF(D54="seconds",IF(AND(ISNUMBER($B$177),$B$177&gt;0),G54/$B$177,""),IF(D54="reps/leg",G54*2,G54))</x:f>
        <x:v>5</x:v>
      </x:c>
      <x:c r="O54" s="432" t="n">
        <x:f>IF(COUNT(M54:N54)&lt;&gt;2,"",M54*N54)</x:f>
        <x:v>5</x:v>
      </x:c>
      <x:c r="P54" s="432" t="n">
        <x:f>IF(COUNT(O54:O57)&lt;&gt;COUNT(N54:N57),"",IF(SUM(N54:N57)=0,0,ROUND(SUM(O54:O57)/SUM(N54:N57),1)))</x:f>
        <x:v>3.8</x:v>
      </x:c>
      <x:c r="Q54" s="432" t="str">
        <x:f>IF(COUNT(I54:I57)=0,"",MEDIAN(I54:I57))</x:f>
      </x:c>
      <x:c r="R54" s="400" t="n">
        <x:f>COUNT(I54:I57)</x:f>
        <x:v>0</x:v>
      </x:c>
      <x:c r="S54" s="400" t="n">
        <x:v>4</x:v>
      </x:c>
      <x:c r="T54"/>
      <x:c r="U54"/>
      <x:c r="V54"/>
      <x:c r="W54"/>
      <x:c r="X54"/>
      <x:c r="Y54"/>
      <x:c r="Z54"/>
      <x:c r="AA54"/>
      <x:c r="AB54"/>
    </x:row>
    <x:row r="55" ht="38" hidden="0" customHeight="1">
      <x:c r="A55" s="402" t="n">
        <x:f>Daily!A17</x:f>
        <x:v>46345.5</x:v>
      </x:c>
      <x:c r="B55" s="391" t="str">
        <x:f>Daily!D17</x:f>
        <x:v>Skill B + Cal-Intervals</x:v>
      </x:c>
      <x:c r="C55" s="400" t="str">
        <x:v>Gentle wrist/shoulder mobility</x:v>
      </x:c>
      <x:c r="D55" s="400" t="str">
        <x:v>seconds</x:v>
      </x:c>
      <x:c r="E55" s="400" t="n">
        <x:v>1</x:v>
      </x:c>
      <x:c r="F55" s="400" t="n">
        <x:v>120</x:v>
      </x:c>
      <x:c r="G55" s="400" t="n">
        <x:f>E55*F55</x:f>
        <x:v>120</x:v>
      </x:c>
      <x:c r="H55" s="400" t="str">
        <x:f>IF(AND(OR(Daily!N17=TRUE,Daily!AB17=TRUE),COUNT(Daily!O17)&gt;0),SUM(Daily!O17)*86400,"")</x:f>
      </x:c>
      <x:c r="I55" s="432" t="str">
        <x:f>IF(AND(ISNUMBER(H55),ISNUMBER(G55),G55&gt;0),100*H55/G55,"")</x:f>
      </x:c>
      <x:c r="J55" s="432" t="n">
        <x:f>IF(COUNTIF(Library!$B$3:$B$58,C55)&lt;&gt;1,"",INDEX(Library!$C$3:$C$58,MATCH(C55,Library!$B$3:$B$58,0)))</x:f>
        <x:v>1</x:v>
      </x:c>
      <x:c r="K55" s="433" t="n">
        <x:f>IF(COUNTIFS(Loads!$A$3:$A$1000,"&gt;="&amp;INT(A55),Loads!$A$3:$A$1000,"&lt;"&amp;(INT(A55)+1),Loads!$B$3:$B$1000,B55,Loads!$C$3:$C$1000,C55)=0,0,IF(OR(COUNTIFS(Loads!$A$3:$A$1000,"&gt;="&amp;INT(A55),Loads!$A$3:$A$1000,"&lt;"&amp;(INT(A55)+1),Loads!$B$3:$B$1000,B55,Loads!$C$3:$C$1000,C55)&lt;&gt;1,COUNTIFS(Loads!$A$3:$A$1000,"&gt;="&amp;INT(A55),Loads!$A$3:$A$1000,"&lt;"&amp;(INT(A55)+1),Loads!$B$3:$B$1000,B55,Loads!$C$3:$C$1000,C55,Loads!$E$3:$E$1000,"&lt;&gt;")&lt;&gt;1),"",SUMIFS(Loads!$E$3:$E$1000,Loads!$A$3:$A$1000,"&gt;="&amp;INT(A55),Loads!$A$3:$A$1000,"&lt;"&amp;(INT(A55)+1),Loads!$B$3:$B$1000,B55,Loads!$C$3:$C$1000,C55)))</x:f>
        <x:v>0</x:v>
      </x:c>
      <x:c r="L55" s="434" t="n">
        <x:f>IF(COUNTIF(Library!$B$3:$B$58,C55)&lt;&gt;1,"",IF(COUNTIFS(Library!$B$3:$B$58,C55,Library!$E$3:$E$58,"&lt;&gt;")=0,0,INDEX(Library!$E$3:$E$58,MATCH(C55,Library!$B$3:$B$58,0))))</x:f>
        <x:v>0</x:v>
      </x:c>
      <x:c r="M55" s="432" t="n">
        <x:f>IF(OR(COUNT(J55:L55)&lt;&gt;3,J55&lt;0,J55&gt;10,K55&lt;0,L55&lt;0,COUNTIFS(Library!$B$3:$B$58,C55,Library!$D$3:$D$58,D55)&lt;&gt;1),"",MIN(10,J55*(1+K55*L55)))</x:f>
        <x:v>1</x:v>
      </x:c>
      <x:c r="N55" s="432" t="n">
        <x:f>IF(D55="seconds",IF(AND(ISNUMBER($B$177),$B$177&gt;0),G55/$B$177,""),IF(D55="reps/leg",G55*2,G55))</x:f>
        <x:v>40</x:v>
      </x:c>
      <x:c r="O55" s="432" t="n">
        <x:f>IF(COUNT(M55:N55)&lt;&gt;2,"",M55*N55)</x:f>
        <x:v>40</x:v>
      </x:c>
      <x:c r="P55" s="432"/>
      <x:c r="Q55" s="432"/>
      <x:c r="R55" s="400"/>
      <x:c r="S55" s="400"/>
      <x:c r="T55"/>
      <x:c r="U55"/>
      <x:c r="V55"/>
      <x:c r="W55"/>
      <x:c r="X55"/>
      <x:c r="Y55"/>
      <x:c r="Z55"/>
      <x:c r="AA55"/>
      <x:c r="AB55"/>
    </x:row>
    <x:row r="56" ht="38" hidden="0" customHeight="1">
      <x:c r="A56" s="402" t="n">
        <x:f>Daily!A17</x:f>
        <x:v>46345.5</x:v>
      </x:c>
      <x:c r="B56" s="391" t="str">
        <x:f>Daily!D17</x:f>
        <x:v>Skill B + Cal-Intervals</x:v>
      </x:c>
      <x:c r="C56" s="400" t="str">
        <x:v>Assisted pistol</x:v>
      </x:c>
      <x:c r="D56" s="400" t="str">
        <x:v>reps/leg</x:v>
      </x:c>
      <x:c r="E56" s="400" t="n">
        <x:v>1</x:v>
      </x:c>
      <x:c r="F56" s="400" t="n">
        <x:v>3</x:v>
      </x:c>
      <x:c r="G56" s="400" t="n">
        <x:f>E56*F56</x:f>
        <x:v>3</x:v>
      </x:c>
      <x:c r="H56" s="400" t="str">
        <x:f>IF(AND(OR(Daily!T17=TRUE,Daily!AB17=TRUE),COUNT(Daily!U17)&gt;0),SUM(Daily!U17),"")</x:f>
      </x:c>
      <x:c r="I56" s="432" t="str">
        <x:f>IF(AND(ISNUMBER(H56),ISNUMBER(G56),G56&gt;0),100*H56/G56,"")</x:f>
      </x:c>
      <x:c r="J56" s="432" t="n">
        <x:f>IF(COUNTIF(Library!$B$3:$B$58,C56)&lt;&gt;1,"",INDEX(Library!$C$3:$C$58,MATCH(C56,Library!$B$3:$B$58,0)))</x:f>
        <x:v>2</x:v>
      </x:c>
      <x:c r="K56" s="433" t="n">
        <x:f>IF(COUNTIFS(Loads!$A$3:$A$1000,"&gt;="&amp;INT(A56),Loads!$A$3:$A$1000,"&lt;"&amp;(INT(A56)+1),Loads!$B$3:$B$1000,B56,Loads!$C$3:$C$1000,C56)=0,0,IF(OR(COUNTIFS(Loads!$A$3:$A$1000,"&gt;="&amp;INT(A56),Loads!$A$3:$A$1000,"&lt;"&amp;(INT(A56)+1),Loads!$B$3:$B$1000,B56,Loads!$C$3:$C$1000,C56)&lt;&gt;1,COUNTIFS(Loads!$A$3:$A$1000,"&gt;="&amp;INT(A56),Loads!$A$3:$A$1000,"&lt;"&amp;(INT(A56)+1),Loads!$B$3:$B$1000,B56,Loads!$C$3:$C$1000,C56,Loads!$E$3:$E$1000,"&lt;&gt;")&lt;&gt;1),"",SUMIFS(Loads!$E$3:$E$1000,Loads!$A$3:$A$1000,"&gt;="&amp;INT(A56),Loads!$A$3:$A$1000,"&lt;"&amp;(INT(A56)+1),Loads!$B$3:$B$1000,B56,Loads!$C$3:$C$1000,C56)))</x:f>
        <x:v>0</x:v>
      </x:c>
      <x:c r="L56" s="434" t="n">
        <x:f>IF(COUNTIF(Library!$B$3:$B$58,C56)&lt;&gt;1,"",IF(COUNTIFS(Library!$B$3:$B$58,C56,Library!$E$3:$E$58,"&lt;&gt;")=0,0,INDEX(Library!$E$3:$E$58,MATCH(C56,Library!$B$3:$B$58,0))))</x:f>
        <x:v>0.03</x:v>
      </x:c>
      <x:c r="M56" s="432" t="n">
        <x:f>IF(OR(COUNT(J56:L56)&lt;&gt;3,J56&lt;0,J56&gt;10,K56&lt;0,L56&lt;0,COUNTIFS(Library!$B$3:$B$58,C56,Library!$D$3:$D$58,D56)&lt;&gt;1),"",MIN(10,J56*(1+K56*L56)))</x:f>
        <x:v>2</x:v>
      </x:c>
      <x:c r="N56" s="432" t="n">
        <x:f>IF(D56="seconds",IF(AND(ISNUMBER($B$177),$B$177&gt;0),G56/$B$177,""),IF(D56="reps/leg",G56*2,G56))</x:f>
        <x:v>6</x:v>
      </x:c>
      <x:c r="O56" s="432" t="n">
        <x:f>IF(COUNT(M56:N56)&lt;&gt;2,"",M56*N56)</x:f>
        <x:v>12</x:v>
      </x:c>
      <x:c r="P56" s="432"/>
      <x:c r="Q56" s="432"/>
      <x:c r="R56" s="400"/>
      <x:c r="S56" s="400"/>
      <x:c r="T56"/>
      <x:c r="U56"/>
      <x:c r="V56"/>
      <x:c r="W56"/>
      <x:c r="X56"/>
      <x:c r="Y56"/>
      <x:c r="Z56"/>
      <x:c r="AA56"/>
      <x:c r="AB56"/>
    </x:row>
    <x:row r="57" ht="38" hidden="0" customHeight="1">
      <x:c r="A57" s="402" t="n">
        <x:f>Daily!A17</x:f>
        <x:v>46345.5</x:v>
      </x:c>
      <x:c r="B57" s="391" t="str">
        <x:f>Daily!D17</x:f>
        <x:v>Skill B + Cal-Intervals</x:v>
      </x:c>
      <x:c r="C57" s="400" t="str">
        <x:v>Cal-Intervals</x:v>
      </x:c>
      <x:c r="D57" s="400" t="str">
        <x:v>rounds</x:v>
      </x:c>
      <x:c r="E57" s="400" t="n">
        <x:v>1</x:v>
      </x:c>
      <x:c r="F57" s="400" t="n">
        <x:v>3</x:v>
      </x:c>
      <x:c r="G57" s="400" t="n">
        <x:v>3</x:v>
      </x:c>
      <x:c r="H57" s="400" t="str">
        <x:f>IF(AND(OR(Daily!Z17=TRUE,Daily!AB17=TRUE),ISNUMBER(Daily!AA17)),Daily!AA17,"")</x:f>
      </x:c>
      <x:c r="I57" s="432" t="str">
        <x:f>IF(AND(ISNUMBER(H57),G57&gt;0),100*H57/G57,"")</x:f>
      </x:c>
      <x:c r="J57" s="432" t="n">
        <x:f>IF(OR(COUNT(Library!F67:F70)&lt;&gt;4,COUNT(Library!E67:E70)&lt;&gt;4,SUM(Library!E67:E70)=0),"",SUM(Library!F67:F70)/SUM(Library!E67:E70))</x:f>
        <x:v>5</x:v>
      </x:c>
      <x:c r="K57" s="433"/>
      <x:c r="L57" s="434"/>
      <x:c r="M57" s="432" t="n">
        <x:f>IF(ISNUMBER(J57),J57,"")</x:f>
        <x:v>5</x:v>
      </x:c>
      <x:c r="N57" s="432" t="n">
        <x:f>IF(COUNT(Library!E67:E70)&lt;&gt;4,"",G57*SUM(Library!E67:E70))</x:f>
        <x:v>120</x:v>
      </x:c>
      <x:c r="O57" s="432" t="n">
        <x:f>IF(COUNT(Library!F67:F70)&lt;&gt;4,"",G57*SUM(Library!F67:F70))</x:f>
        <x:v>600</x:v>
      </x:c>
      <x:c r="P57" s="432"/>
      <x:c r="Q57" s="432"/>
      <x:c r="R57" s="400"/>
      <x:c r="S57" s="400"/>
      <x:c r="T57"/>
      <x:c r="U57"/>
      <x:c r="V57"/>
      <x:c r="W57"/>
      <x:c r="X57"/>
      <x:c r="Y57"/>
      <x:c r="Z57"/>
      <x:c r="AA57"/>
      <x:c r="AB57"/>
    </x:row>
    <x:row r="58" ht="38" hidden="0" customHeight="1">
      <x:c r="A58" s="402" t="n">
        <x:f>Daily!A18</x:f>
        <x:v>46347.5</x:v>
      </x:c>
      <x:c r="B58" s="391" t="str">
        <x:f>Daily!D18</x:f>
        <x:v>Skill micro-session</x:v>
      </x:c>
      <x:c r="C58" s="400" t="str">
        <x:v>Wrist/shoulder mobility</x:v>
      </x:c>
      <x:c r="D58" s="400" t="str">
        <x:v>seconds</x:v>
      </x:c>
      <x:c r="E58" s="400" t="n">
        <x:v>1</x:v>
      </x:c>
      <x:c r="F58" s="400" t="n">
        <x:v>60</x:v>
      </x:c>
      <x:c r="G58" s="400" t="n">
        <x:f>E58*F58</x:f>
        <x:v>60</x:v>
      </x:c>
      <x:c r="H58" s="400" t="str">
        <x:f>IF(AND(OR(Daily!H18=TRUE,Daily!AB18=TRUE),COUNT(Daily!I18)&gt;0),SUM(Daily!I18)*86400,"")</x:f>
      </x:c>
      <x:c r="I58" s="432" t="str">
        <x:f>IF(AND(ISNUMBER(H58),ISNUMBER(G58),G58&gt;0),100*H58/G58,"")</x:f>
      </x:c>
      <x:c r="J58" s="432" t="n">
        <x:f>IF(COUNTIF(Library!$B$3:$B$58,C58)&lt;&gt;1,"",INDEX(Library!$C$3:$C$58,MATCH(C58,Library!$B$3:$B$58,0)))</x:f>
        <x:v>1</x:v>
      </x:c>
      <x:c r="K58" s="433" t="n">
        <x:f>IF(COUNTIFS(Loads!$A$3:$A$1000,"&gt;="&amp;INT(A58),Loads!$A$3:$A$1000,"&lt;"&amp;(INT(A58)+1),Loads!$B$3:$B$1000,B58,Loads!$C$3:$C$1000,C58)=0,0,IF(OR(COUNTIFS(Loads!$A$3:$A$1000,"&gt;="&amp;INT(A58),Loads!$A$3:$A$1000,"&lt;"&amp;(INT(A58)+1),Loads!$B$3:$B$1000,B58,Loads!$C$3:$C$1000,C58)&lt;&gt;1,COUNTIFS(Loads!$A$3:$A$1000,"&gt;="&amp;INT(A58),Loads!$A$3:$A$1000,"&lt;"&amp;(INT(A58)+1),Loads!$B$3:$B$1000,B58,Loads!$C$3:$C$1000,C58,Loads!$E$3:$E$1000,"&lt;&gt;")&lt;&gt;1),"",SUMIFS(Loads!$E$3:$E$1000,Loads!$A$3:$A$1000,"&gt;="&amp;INT(A58),Loads!$A$3:$A$1000,"&lt;"&amp;(INT(A58)+1),Loads!$B$3:$B$1000,B58,Loads!$C$3:$C$1000,C58)))</x:f>
        <x:v>0</x:v>
      </x:c>
      <x:c r="L58" s="434" t="n">
        <x:f>IF(COUNTIF(Library!$B$3:$B$58,C58)&lt;&gt;1,"",IF(COUNTIFS(Library!$B$3:$B$58,C58,Library!$E$3:$E$58,"&lt;&gt;")=0,0,INDEX(Library!$E$3:$E$58,MATCH(C58,Library!$B$3:$B$58,0))))</x:f>
        <x:v>0</x:v>
      </x:c>
      <x:c r="M58" s="432" t="n">
        <x:f>IF(OR(COUNT(J58:L58)&lt;&gt;3,J58&lt;0,J58&gt;10,K58&lt;0,L58&lt;0,COUNTIFS(Library!$B$3:$B$58,C58,Library!$D$3:$D$58,D58)&lt;&gt;1),"",MIN(10,J58*(1+K58*L58)))</x:f>
        <x:v>1</x:v>
      </x:c>
      <x:c r="N58" s="432" t="n">
        <x:f>IF(D58="seconds",IF(AND(ISNUMBER($B$177),$B$177&gt;0),G58/$B$177,""),IF(D58="reps/leg",G58*2,G58))</x:f>
        <x:v>20</x:v>
      </x:c>
      <x:c r="O58" s="432" t="n">
        <x:f>IF(COUNT(M58:N58)&lt;&gt;2,"",M58*N58)</x:f>
        <x:v>20</x:v>
      </x:c>
      <x:c r="P58" s="432" t="n">
        <x:f>IF(COUNT(O58:O60)&lt;&gt;COUNT(N58:N60),"",IF(SUM(N58:N60)=0,0,ROUND(SUM(O58:O60)/SUM(N58:N60),1)))</x:f>
        <x:v>1</x:v>
      </x:c>
      <x:c r="Q58" s="432" t="str">
        <x:f>IF(COUNT(I58:I60)=0,"",MEDIAN(I58:I60))</x:f>
      </x:c>
      <x:c r="R58" s="400" t="n">
        <x:f>COUNT(I58:I60)</x:f>
        <x:v>0</x:v>
      </x:c>
      <x:c r="S58" s="400" t="n">
        <x:v>3</x:v>
      </x:c>
      <x:c r="T58"/>
      <x:c r="U58"/>
      <x:c r="V58"/>
      <x:c r="W58"/>
      <x:c r="X58"/>
      <x:c r="Y58"/>
      <x:c r="Z58"/>
      <x:c r="AA58"/>
      <x:c r="AB58"/>
    </x:row>
    <x:row r="59" ht="38" hidden="0" customHeight="1">
      <x:c r="A59" s="402" t="n">
        <x:f>Daily!A18</x:f>
        <x:v>46347.5</x:v>
      </x:c>
      <x:c r="B59" s="391" t="str">
        <x:f>Daily!D18</x:f>
        <x:v>Skill micro-session</x:v>
      </x:c>
      <x:c r="C59" s="400" t="str">
        <x:v>Easy chest-to-wall hold</x:v>
      </x:c>
      <x:c r="D59" s="400" t="str">
        <x:v>seconds</x:v>
      </x:c>
      <x:c r="E59" s="400" t="n">
        <x:v>2</x:v>
      </x:c>
      <x:c r="F59" s="400" t="n">
        <x:v>10</x:v>
      </x:c>
      <x:c r="G59" s="400" t="n">
        <x:f>E59*F59</x:f>
        <x:v>20</x:v>
      </x:c>
      <x:c r="H59" s="400" t="str">
        <x:f>IF(AND(OR(Daily!N18=TRUE,Daily!AB18=TRUE),COUNT(Daily!O18,Daily!P18)&gt;0),SUM(Daily!O18,Daily!P18)*86400,"")</x:f>
      </x:c>
      <x:c r="I59" s="432" t="str">
        <x:f>IF(AND(ISNUMBER(H59),ISNUMBER(G59),G59&gt;0),100*H59/G59,"")</x:f>
      </x:c>
      <x:c r="J59" s="432" t="n">
        <x:f>IF(COUNTIF(Library!$B$3:$B$58,C59)&lt;&gt;1,"",INDEX(Library!$C$3:$C$58,MATCH(C59,Library!$B$3:$B$58,0)))</x:f>
        <x:v>1</x:v>
      </x:c>
      <x:c r="K59" s="433" t="n">
        <x:f>IF(COUNTIFS(Loads!$A$3:$A$1000,"&gt;="&amp;INT(A59),Loads!$A$3:$A$1000,"&lt;"&amp;(INT(A59)+1),Loads!$B$3:$B$1000,B59,Loads!$C$3:$C$1000,C59)=0,0,IF(OR(COUNTIFS(Loads!$A$3:$A$1000,"&gt;="&amp;INT(A59),Loads!$A$3:$A$1000,"&lt;"&amp;(INT(A59)+1),Loads!$B$3:$B$1000,B59,Loads!$C$3:$C$1000,C59)&lt;&gt;1,COUNTIFS(Loads!$A$3:$A$1000,"&gt;="&amp;INT(A59),Loads!$A$3:$A$1000,"&lt;"&amp;(INT(A59)+1),Loads!$B$3:$B$1000,B59,Loads!$C$3:$C$1000,C59,Loads!$E$3:$E$1000,"&lt;&gt;")&lt;&gt;1),"",SUMIFS(Loads!$E$3:$E$1000,Loads!$A$3:$A$1000,"&gt;="&amp;INT(A59),Loads!$A$3:$A$1000,"&lt;"&amp;(INT(A59)+1),Loads!$B$3:$B$1000,B59,Loads!$C$3:$C$1000,C59)))</x:f>
        <x:v>0</x:v>
      </x:c>
      <x:c r="L59" s="434" t="n">
        <x:f>IF(COUNTIF(Library!$B$3:$B$58,C59)&lt;&gt;1,"",IF(COUNTIFS(Library!$B$3:$B$58,C59,Library!$E$3:$E$58,"&lt;&gt;")=0,0,INDEX(Library!$E$3:$E$58,MATCH(C59,Library!$B$3:$B$58,0))))</x:f>
        <x:v>0</x:v>
      </x:c>
      <x:c r="M59" s="432" t="n">
        <x:f>IF(OR(COUNT(J59:L59)&lt;&gt;3,J59&lt;0,J59&gt;10,K59&lt;0,L59&lt;0,COUNTIFS(Library!$B$3:$B$58,C59,Library!$D$3:$D$58,D59)&lt;&gt;1),"",MIN(10,J59*(1+K59*L59)))</x:f>
        <x:v>1</x:v>
      </x:c>
      <x:c r="N59" s="432" t="n">
        <x:f>IF(D59="seconds",IF(AND(ISNUMBER($B$177),$B$177&gt;0),G59/$B$177,""),IF(D59="reps/leg",G59*2,G59))</x:f>
        <x:v>6.666666666666667</x:v>
      </x:c>
      <x:c r="O59" s="432" t="n">
        <x:f>IF(COUNT(M59:N59)&lt;&gt;2,"",M59*N59)</x:f>
        <x:v>6.666666666666667</x:v>
      </x:c>
      <x:c r="P59" s="432"/>
      <x:c r="Q59" s="432"/>
      <x:c r="R59" s="400"/>
      <x:c r="S59" s="400"/>
      <x:c r="T59"/>
      <x:c r="U59"/>
      <x:c r="V59"/>
      <x:c r="W59"/>
      <x:c r="X59"/>
      <x:c r="Y59"/>
      <x:c r="Z59"/>
      <x:c r="AA59"/>
      <x:c r="AB59"/>
    </x:row>
    <x:row r="60" ht="38" hidden="0" customHeight="1">
      <x:c r="A60" s="402" t="n">
        <x:f>Daily!A18</x:f>
        <x:v>46347.5</x:v>
      </x:c>
      <x:c r="B60" s="391" t="str">
        <x:f>Daily!D18</x:f>
        <x:v>Skill micro-session</x:v>
      </x:c>
      <x:c r="C60" s="400" t="str">
        <x:v>Wall handstand line drill</x:v>
      </x:c>
      <x:c r="D60" s="400" t="str">
        <x:v>seconds</x:v>
      </x:c>
      <x:c r="E60" s="400" t="n">
        <x:v>1</x:v>
      </x:c>
      <x:c r="F60" s="400" t="n">
        <x:v>10</x:v>
      </x:c>
      <x:c r="G60" s="400" t="n">
        <x:f>E60*F60</x:f>
        <x:v>10</x:v>
      </x:c>
      <x:c r="H60" s="400" t="str">
        <x:f>IF(AND(OR(Daily!T18=TRUE,Daily!AB18=TRUE),COUNT(Daily!U18)&gt;0),SUM(Daily!U18)*86400,"")</x:f>
      </x:c>
      <x:c r="I60" s="432" t="str">
        <x:f>IF(AND(ISNUMBER(H60),ISNUMBER(G60),G60&gt;0),100*H60/G60,"")</x:f>
      </x:c>
      <x:c r="J60" s="432" t="n">
        <x:f>IF(COUNTIF(Library!$B$3:$B$58,C60)&lt;&gt;1,"",INDEX(Library!$C$3:$C$58,MATCH(C60,Library!$B$3:$B$58,0)))</x:f>
        <x:v>1</x:v>
      </x:c>
      <x:c r="K60" s="433" t="n">
        <x:f>IF(COUNTIFS(Loads!$A$3:$A$1000,"&gt;="&amp;INT(A60),Loads!$A$3:$A$1000,"&lt;"&amp;(INT(A60)+1),Loads!$B$3:$B$1000,B60,Loads!$C$3:$C$1000,C60)=0,0,IF(OR(COUNTIFS(Loads!$A$3:$A$1000,"&gt;="&amp;INT(A60),Loads!$A$3:$A$1000,"&lt;"&amp;(INT(A60)+1),Loads!$B$3:$B$1000,B60,Loads!$C$3:$C$1000,C60)&lt;&gt;1,COUNTIFS(Loads!$A$3:$A$1000,"&gt;="&amp;INT(A60),Loads!$A$3:$A$1000,"&lt;"&amp;(INT(A60)+1),Loads!$B$3:$B$1000,B60,Loads!$C$3:$C$1000,C60,Loads!$E$3:$E$1000,"&lt;&gt;")&lt;&gt;1),"",SUMIFS(Loads!$E$3:$E$1000,Loads!$A$3:$A$1000,"&gt;="&amp;INT(A60),Loads!$A$3:$A$1000,"&lt;"&amp;(INT(A60)+1),Loads!$B$3:$B$1000,B60,Loads!$C$3:$C$1000,C60)))</x:f>
        <x:v>0</x:v>
      </x:c>
      <x:c r="L60" s="434" t="n">
        <x:f>IF(COUNTIF(Library!$B$3:$B$58,C60)&lt;&gt;1,"",IF(COUNTIFS(Library!$B$3:$B$58,C60,Library!$E$3:$E$58,"&lt;&gt;")=0,0,INDEX(Library!$E$3:$E$58,MATCH(C60,Library!$B$3:$B$58,0))))</x:f>
        <x:v>0</x:v>
      </x:c>
      <x:c r="M60" s="432" t="n">
        <x:f>IF(OR(COUNT(J60:L60)&lt;&gt;3,J60&lt;0,J60&gt;10,K60&lt;0,L60&lt;0,COUNTIFS(Library!$B$3:$B$58,C60,Library!$D$3:$D$58,D60)&lt;&gt;1),"",MIN(10,J60*(1+K60*L60)))</x:f>
        <x:v>1</x:v>
      </x:c>
      <x:c r="N60" s="432" t="n">
        <x:f>IF(D60="seconds",IF(AND(ISNUMBER($B$177),$B$177&gt;0),G60/$B$177,""),IF(D60="reps/leg",G60*2,G60))</x:f>
        <x:v>3.3333333333333335</x:v>
      </x:c>
      <x:c r="O60" s="432" t="n">
        <x:f>IF(COUNT(M60:N60)&lt;&gt;2,"",M60*N60)</x:f>
        <x:v>3.3333333333333335</x:v>
      </x:c>
      <x:c r="P60" s="432"/>
      <x:c r="Q60" s="432"/>
      <x:c r="R60" s="400"/>
      <x:c r="S60" s="400"/>
      <x:c r="T60"/>
      <x:c r="U60"/>
      <x:c r="V60"/>
      <x:c r="W60"/>
      <x:c r="X60"/>
      <x:c r="Y60"/>
      <x:c r="Z60"/>
      <x:c r="AA60"/>
      <x:c r="AB60"/>
    </x:row>
    <x:row r="61" ht="38" hidden="0" customHeight="1">
      <x:c r="A61" s="402" t="n">
        <x:f>Daily!A19</x:f>
        <x:v>46349.5</x:v>
      </x:c>
      <x:c r="B61" s="391" t="str">
        <x:f>Daily!D19</x:f>
        <x:v>Skill A (weighted)</x:v>
      </x:c>
      <x:c r="C61" s="400" t="str">
        <x:v>Pull-up</x:v>
      </x:c>
      <x:c r="D61" s="400" t="str">
        <x:v>reps</x:v>
      </x:c>
      <x:c r="E61" s="400" t="n">
        <x:v>3</x:v>
      </x:c>
      <x:c r="F61" s="400" t="n">
        <x:v>3</x:v>
      </x:c>
      <x:c r="G61" s="400" t="n">
        <x:f>E61*F61</x:f>
        <x:v>9</x:v>
      </x:c>
      <x:c r="H61" s="400" t="str">
        <x:f>IF(AND(OR(Daily!H19=TRUE,Daily!AB19=TRUE),COUNT(Daily!I19,Daily!J19,Daily!K19)&gt;0),SUM(Daily!I19,Daily!J19,Daily!K19),"")</x:f>
      </x:c>
      <x:c r="I61" s="432" t="str">
        <x:f>IF(AND(ISNUMBER(H61),ISNUMBER(G61),G61&gt;0),100*H61/G61,"")</x:f>
      </x:c>
      <x:c r="J61" s="432" t="n">
        <x:f>IF(COUNTIF(Library!$B$3:$B$58,C61)&lt;&gt;1,"",INDEX(Library!$C$3:$C$58,MATCH(C61,Library!$B$3:$B$58,0)))</x:f>
        <x:v>6</x:v>
      </x:c>
      <x:c r="K61" s="433" t="n">
        <x:f>IF(COUNTIFS(Loads!$A$3:$A$1000,"&gt;="&amp;INT(A61),Loads!$A$3:$A$1000,"&lt;"&amp;(INT(A61)+1),Loads!$B$3:$B$1000,B61,Loads!$C$3:$C$1000,C61)=0,0,IF(OR(COUNTIFS(Loads!$A$3:$A$1000,"&gt;="&amp;INT(A61),Loads!$A$3:$A$1000,"&lt;"&amp;(INT(A61)+1),Loads!$B$3:$B$1000,B61,Loads!$C$3:$C$1000,C61)&lt;&gt;1,COUNTIFS(Loads!$A$3:$A$1000,"&gt;="&amp;INT(A61),Loads!$A$3:$A$1000,"&lt;"&amp;(INT(A61)+1),Loads!$B$3:$B$1000,B61,Loads!$C$3:$C$1000,C61,Loads!$E$3:$E$1000,"&lt;&gt;")&lt;&gt;1),"",SUMIFS(Loads!$E$3:$E$1000,Loads!$A$3:$A$1000,"&gt;="&amp;INT(A61),Loads!$A$3:$A$1000,"&lt;"&amp;(INT(A61)+1),Loads!$B$3:$B$1000,B61,Loads!$C$3:$C$1000,C61)))</x:f>
        <x:v>6</x:v>
      </x:c>
      <x:c r="L61" s="434" t="n">
        <x:f>IF(COUNTIF(Library!$B$3:$B$58,C61)&lt;&gt;1,"",IF(COUNTIFS(Library!$B$3:$B$58,C61,Library!$E$3:$E$58,"&lt;&gt;")=0,0,INDEX(Library!$E$3:$E$58,MATCH(C61,Library!$B$3:$B$58,0))))</x:f>
        <x:v>0.04</x:v>
      </x:c>
      <x:c r="M61" s="432" t="n">
        <x:f>IF(OR(COUNT(J61:L61)&lt;&gt;3,J61&lt;0,J61&gt;10,K61&lt;0,L61&lt;0,COUNTIFS(Library!$B$3:$B$58,C61,Library!$D$3:$D$58,D61)&lt;&gt;1),"",MIN(10,J61*(1+K61*L61)))</x:f>
        <x:v>7.4399999999999995</x:v>
      </x:c>
      <x:c r="N61" s="432" t="n">
        <x:f>IF(D61="seconds",IF(AND(ISNUMBER($B$177),$B$177&gt;0),G61/$B$177,""),IF(D61="reps/leg",G61*2,G61))</x:f>
        <x:v>9</x:v>
      </x:c>
      <x:c r="O61" s="432" t="n">
        <x:f>IF(COUNT(M61:N61)&lt;&gt;2,"",M61*N61)</x:f>
        <x:v>66.96</x:v>
      </x:c>
      <x:c r="P61" s="432" t="n">
        <x:f>IF(COUNT(O61:O64)&lt;&gt;COUNT(N61:N64),"",IF(SUM(N61:N64)=0,0,ROUND(SUM(O61:O64)/SUM(N61:N64),1)))</x:f>
        <x:v>5</x:v>
      </x:c>
      <x:c r="Q61" s="432" t="str">
        <x:f>IF(COUNT(I61:I64)=0,"",MEDIAN(I61:I64))</x:f>
      </x:c>
      <x:c r="R61" s="400" t="n">
        <x:f>COUNT(I61:I64)</x:f>
        <x:v>0</x:v>
      </x:c>
      <x:c r="S61" s="400" t="n">
        <x:v>4</x:v>
      </x:c>
      <x:c r="T61"/>
      <x:c r="U61"/>
      <x:c r="V61"/>
      <x:c r="W61"/>
      <x:c r="X61"/>
      <x:c r="Y61"/>
      <x:c r="Z61"/>
      <x:c r="AA61"/>
      <x:c r="AB61"/>
    </x:row>
    <x:row r="62" ht="38" hidden="0" customHeight="1">
      <x:c r="A62" s="402" t="n">
        <x:f>Daily!A19</x:f>
        <x:v>46349.5</x:v>
      </x:c>
      <x:c r="B62" s="391" t="str">
        <x:f>Daily!D19</x:f>
        <x:v>Skill A (weighted)</x:v>
      </x:c>
      <x:c r="C62" s="400" t="str">
        <x:v>Dip</x:v>
      </x:c>
      <x:c r="D62" s="400" t="str">
        <x:v>reps</x:v>
      </x:c>
      <x:c r="E62" s="400" t="n">
        <x:v>3</x:v>
      </x:c>
      <x:c r="F62" s="400" t="n">
        <x:v>5</x:v>
      </x:c>
      <x:c r="G62" s="400" t="n">
        <x:f>E62*F62</x:f>
        <x:v>15</x:v>
      </x:c>
      <x:c r="H62" s="400" t="str">
        <x:f>IF(AND(OR(Daily!N19=TRUE,Daily!AB19=TRUE),COUNT(Daily!O19,Daily!P19,Daily!Q19)&gt;0),SUM(Daily!O19,Daily!P19,Daily!Q19),"")</x:f>
      </x:c>
      <x:c r="I62" s="432" t="str">
        <x:f>IF(AND(ISNUMBER(H62),ISNUMBER(G62),G62&gt;0),100*H62/G62,"")</x:f>
      </x:c>
      <x:c r="J62" s="432" t="n">
        <x:f>IF(COUNTIF(Library!$B$3:$B$58,C62)&lt;&gt;1,"",INDEX(Library!$C$3:$C$58,MATCH(C62,Library!$B$3:$B$58,0)))</x:f>
        <x:v>4</x:v>
      </x:c>
      <x:c r="K62" s="433" t="n">
        <x:f>IF(COUNTIFS(Loads!$A$3:$A$1000,"&gt;="&amp;INT(A62),Loads!$A$3:$A$1000,"&lt;"&amp;(INT(A62)+1),Loads!$B$3:$B$1000,B62,Loads!$C$3:$C$1000,C62)=0,0,IF(OR(COUNTIFS(Loads!$A$3:$A$1000,"&gt;="&amp;INT(A62),Loads!$A$3:$A$1000,"&lt;"&amp;(INT(A62)+1),Loads!$B$3:$B$1000,B62,Loads!$C$3:$C$1000,C62)&lt;&gt;1,COUNTIFS(Loads!$A$3:$A$1000,"&gt;="&amp;INT(A62),Loads!$A$3:$A$1000,"&lt;"&amp;(INT(A62)+1),Loads!$B$3:$B$1000,B62,Loads!$C$3:$C$1000,C62,Loads!$E$3:$E$1000,"&lt;&gt;")&lt;&gt;1),"",SUMIFS(Loads!$E$3:$E$1000,Loads!$A$3:$A$1000,"&gt;="&amp;INT(A62),Loads!$A$3:$A$1000,"&lt;"&amp;(INT(A62)+1),Loads!$B$3:$B$1000,B62,Loads!$C$3:$C$1000,C62)))</x:f>
        <x:v>6</x:v>
      </x:c>
      <x:c r="L62" s="434" t="n">
        <x:f>IF(COUNTIF(Library!$B$3:$B$58,C62)&lt;&gt;1,"",IF(COUNTIFS(Library!$B$3:$B$58,C62,Library!$E$3:$E$58,"&lt;&gt;")=0,0,INDEX(Library!$E$3:$E$58,MATCH(C62,Library!$B$3:$B$58,0))))</x:f>
        <x:v>0.02</x:v>
      </x:c>
      <x:c r="M62" s="432" t="n">
        <x:f>IF(OR(COUNT(J62:L62)&lt;&gt;3,J62&lt;0,J62&gt;10,K62&lt;0,L62&lt;0,COUNTIFS(Library!$B$3:$B$58,C62,Library!$D$3:$D$58,D62)&lt;&gt;1),"",MIN(10,J62*(1+K62*L62)))</x:f>
        <x:v>4.48</x:v>
      </x:c>
      <x:c r="N62" s="432" t="n">
        <x:f>IF(D62="seconds",IF(AND(ISNUMBER($B$177),$B$177&gt;0),G62/$B$177,""),IF(D62="reps/leg",G62*2,G62))</x:f>
        <x:v>15</x:v>
      </x:c>
      <x:c r="O62" s="432" t="n">
        <x:f>IF(COUNT(M62:N62)&lt;&gt;2,"",M62*N62)</x:f>
        <x:v>67.2</x:v>
      </x:c>
      <x:c r="P62" s="432"/>
      <x:c r="Q62" s="432"/>
      <x:c r="R62" s="400"/>
      <x:c r="S62" s="400"/>
      <x:c r="T62"/>
      <x:c r="U62"/>
      <x:c r="V62"/>
      <x:c r="W62"/>
      <x:c r="X62"/>
      <x:c r="Y62"/>
      <x:c r="Z62"/>
      <x:c r="AA62"/>
      <x:c r="AB62"/>
    </x:row>
    <x:row r="63" ht="38" hidden="0" customHeight="1">
      <x:c r="A63" s="402" t="n">
        <x:f>Daily!A19</x:f>
        <x:v>46349.5</x:v>
      </x:c>
      <x:c r="B63" s="391" t="str">
        <x:f>Daily!D19</x:f>
        <x:v>Skill A (weighted)</x:v>
      </x:c>
      <x:c r="C63" s="400" t="str">
        <x:v>Counterweight pistol</x:v>
      </x:c>
      <x:c r="D63" s="400" t="str">
        <x:v>reps/leg</x:v>
      </x:c>
      <x:c r="E63" s="400" t="n">
        <x:v>3</x:v>
      </x:c>
      <x:c r="F63" s="400" t="n">
        <x:v>4</x:v>
      </x:c>
      <x:c r="G63" s="400" t="n">
        <x:f>E63*F63</x:f>
        <x:v>12</x:v>
      </x:c>
      <x:c r="H63" s="400" t="str">
        <x:f>IF(AND(OR(Daily!T19=TRUE,Daily!AB19=TRUE),COUNT(Daily!U19,Daily!V19,Daily!W19)&gt;0),SUM(Daily!U19,Daily!V19,Daily!W19),"")</x:f>
      </x:c>
      <x:c r="I63" s="432" t="str">
        <x:f>IF(AND(ISNUMBER(H63),ISNUMBER(G63),G63&gt;0),100*H63/G63,"")</x:f>
      </x:c>
      <x:c r="J63" s="432" t="n">
        <x:f>IF(COUNTIF(Library!$B$3:$B$58,C63)&lt;&gt;1,"",INDEX(Library!$C$3:$C$58,MATCH(C63,Library!$B$3:$B$58,0)))</x:f>
        <x:v>4</x:v>
      </x:c>
      <x:c r="K63" s="433" t="n">
        <x:f>IF(COUNTIFS(Loads!$A$3:$A$1000,"&gt;="&amp;INT(A63),Loads!$A$3:$A$1000,"&lt;"&amp;(INT(A63)+1),Loads!$B$3:$B$1000,B63,Loads!$C$3:$C$1000,C63)=0,0,IF(OR(COUNTIFS(Loads!$A$3:$A$1000,"&gt;="&amp;INT(A63),Loads!$A$3:$A$1000,"&lt;"&amp;(INT(A63)+1),Loads!$B$3:$B$1000,B63,Loads!$C$3:$C$1000,C63)&lt;&gt;1,COUNTIFS(Loads!$A$3:$A$1000,"&gt;="&amp;INT(A63),Loads!$A$3:$A$1000,"&lt;"&amp;(INT(A63)+1),Loads!$B$3:$B$1000,B63,Loads!$C$3:$C$1000,C63,Loads!$E$3:$E$1000,"&lt;&gt;")&lt;&gt;1),"",SUMIFS(Loads!$E$3:$E$1000,Loads!$A$3:$A$1000,"&gt;="&amp;INT(A63),Loads!$A$3:$A$1000,"&lt;"&amp;(INT(A63)+1),Loads!$B$3:$B$1000,B63,Loads!$C$3:$C$1000,C63)))</x:f>
        <x:v>0</x:v>
      </x:c>
      <x:c r="L63" s="434" t="n">
        <x:f>IF(COUNTIF(Library!$B$3:$B$58,C63)&lt;&gt;1,"",IF(COUNTIFS(Library!$B$3:$B$58,C63,Library!$E$3:$E$58,"&lt;&gt;")=0,0,INDEX(Library!$E$3:$E$58,MATCH(C63,Library!$B$3:$B$58,0))))</x:f>
        <x:v>0.03</x:v>
      </x:c>
      <x:c r="M63" s="432" t="n">
        <x:f>IF(OR(COUNT(J63:L63)&lt;&gt;3,J63&lt;0,J63&gt;10,K63&lt;0,L63&lt;0,COUNTIFS(Library!$B$3:$B$58,C63,Library!$D$3:$D$58,D63)&lt;&gt;1),"",MIN(10,J63*(1+K63*L63)))</x:f>
        <x:v>4</x:v>
      </x:c>
      <x:c r="N63" s="432" t="n">
        <x:f>IF(D63="seconds",IF(AND(ISNUMBER($B$177),$B$177&gt;0),G63/$B$177,""),IF(D63="reps/leg",G63*2,G63))</x:f>
        <x:v>24</x:v>
      </x:c>
      <x:c r="O63" s="432" t="n">
        <x:f>IF(COUNT(M63:N63)&lt;&gt;2,"",M63*N63)</x:f>
        <x:v>96</x:v>
      </x:c>
      <x:c r="P63" s="432"/>
      <x:c r="Q63" s="432"/>
      <x:c r="R63" s="400"/>
      <x:c r="S63" s="400"/>
      <x:c r="T63"/>
      <x:c r="U63"/>
      <x:c r="V63"/>
      <x:c r="W63"/>
      <x:c r="X63"/>
      <x:c r="Y63"/>
      <x:c r="Z63"/>
      <x:c r="AA63"/>
      <x:c r="AB63"/>
    </x:row>
    <x:row r="64" ht="38" hidden="0" customHeight="1">
      <x:c r="A64" s="402" t="n">
        <x:f>Daily!A19</x:f>
        <x:v>46349.5</x:v>
      </x:c>
      <x:c r="B64" s="391" t="str">
        <x:f>Daily!D19</x:f>
        <x:v>Skill A (weighted)</x:v>
      </x:c>
      <x:c r="C64" s="400" t="str">
        <x:v>Cal-Intervals</x:v>
      </x:c>
      <x:c r="D64" s="400" t="str">
        <x:v>rounds</x:v>
      </x:c>
      <x:c r="E64" s="400" t="n">
        <x:v>1</x:v>
      </x:c>
      <x:c r="F64" s="400" t="n">
        <x:v>5</x:v>
      </x:c>
      <x:c r="G64" s="400" t="n">
        <x:v>5</x:v>
      </x:c>
      <x:c r="H64" s="400" t="str">
        <x:f>IF(AND(OR(Daily!Z19=TRUE,Daily!AB19=TRUE),ISNUMBER(Daily!AA19)),Daily!AA19,"")</x:f>
      </x:c>
      <x:c r="I64" s="432" t="str">
        <x:f>IF(AND(ISNUMBER(H64),G64&gt;0),100*H64/G64,"")</x:f>
      </x:c>
      <x:c r="J64" s="432" t="n">
        <x:f>IF(OR(COUNT(Library!F67:F70)&lt;&gt;4,COUNT(Library!E67:E70)&lt;&gt;4,SUM(Library!E67:E70)=0),"",SUM(Library!F67:F70)/SUM(Library!E67:E70))</x:f>
        <x:v>5</x:v>
      </x:c>
      <x:c r="K64" s="433"/>
      <x:c r="L64" s="434"/>
      <x:c r="M64" s="432" t="n">
        <x:f>IF(ISNUMBER(J64),J64,"")</x:f>
        <x:v>5</x:v>
      </x:c>
      <x:c r="N64" s="432" t="n">
        <x:f>IF(COUNT(Library!E67:E70)&lt;&gt;4,"",G64*SUM(Library!E67:E70))</x:f>
        <x:v>200</x:v>
      </x:c>
      <x:c r="O64" s="432" t="n">
        <x:f>IF(COUNT(Library!F67:F70)&lt;&gt;4,"",G64*SUM(Library!F67:F70))</x:f>
        <x:v>1000</x:v>
      </x:c>
      <x:c r="P64" s="432"/>
      <x:c r="Q64" s="432"/>
      <x:c r="R64" s="400"/>
      <x:c r="S64" s="400"/>
      <x:c r="T64"/>
      <x:c r="U64"/>
      <x:c r="V64"/>
      <x:c r="W64"/>
      <x:c r="X64"/>
      <x:c r="Y64"/>
      <x:c r="Z64"/>
      <x:c r="AA64"/>
      <x:c r="AB64"/>
    </x:row>
    <x:row r="65" ht="38" hidden="0" customHeight="1">
      <x:c r="A65" s="402" t="n">
        <x:f>Daily!A20</x:f>
        <x:v>46350.5</x:v>
      </x:c>
      <x:c r="B65" s="391" t="str">
        <x:f>Daily!D20</x:f>
        <x:v>Handstand technique</x:v>
      </x:c>
      <x:c r="C65" s="400" t="str">
        <x:v>Wrist/shoulder mobility</x:v>
      </x:c>
      <x:c r="D65" s="400" t="str">
        <x:v>seconds</x:v>
      </x:c>
      <x:c r="E65" s="400" t="n">
        <x:v>1</x:v>
      </x:c>
      <x:c r="F65" s="400" t="n">
        <x:v>120</x:v>
      </x:c>
      <x:c r="G65" s="400" t="n">
        <x:f>E65*F65</x:f>
        <x:v>120</x:v>
      </x:c>
      <x:c r="H65" s="400" t="str">
        <x:f>IF(AND(OR(Daily!H20=TRUE,Daily!AB20=TRUE),COUNT(Daily!I20)&gt;0),SUM(Daily!I20)*86400,"")</x:f>
      </x:c>
      <x:c r="I65" s="432" t="str">
        <x:f>IF(AND(ISNUMBER(H65),ISNUMBER(G65),G65&gt;0),100*H65/G65,"")</x:f>
      </x:c>
      <x:c r="J65" s="432" t="n">
        <x:f>IF(COUNTIF(Library!$B$3:$B$58,C65)&lt;&gt;1,"",INDEX(Library!$C$3:$C$58,MATCH(C65,Library!$B$3:$B$58,0)))</x:f>
        <x:v>1</x:v>
      </x:c>
      <x:c r="K65" s="433" t="n">
        <x:f>IF(COUNTIFS(Loads!$A$3:$A$1000,"&gt;="&amp;INT(A65),Loads!$A$3:$A$1000,"&lt;"&amp;(INT(A65)+1),Loads!$B$3:$B$1000,B65,Loads!$C$3:$C$1000,C65)=0,0,IF(OR(COUNTIFS(Loads!$A$3:$A$1000,"&gt;="&amp;INT(A65),Loads!$A$3:$A$1000,"&lt;"&amp;(INT(A65)+1),Loads!$B$3:$B$1000,B65,Loads!$C$3:$C$1000,C65)&lt;&gt;1,COUNTIFS(Loads!$A$3:$A$1000,"&gt;="&amp;INT(A65),Loads!$A$3:$A$1000,"&lt;"&amp;(INT(A65)+1),Loads!$B$3:$B$1000,B65,Loads!$C$3:$C$1000,C65,Loads!$E$3:$E$1000,"&lt;&gt;")&lt;&gt;1),"",SUMIFS(Loads!$E$3:$E$1000,Loads!$A$3:$A$1000,"&gt;="&amp;INT(A65),Loads!$A$3:$A$1000,"&lt;"&amp;(INT(A65)+1),Loads!$B$3:$B$1000,B65,Loads!$C$3:$C$1000,C65)))</x:f>
        <x:v>0</x:v>
      </x:c>
      <x:c r="L65" s="434" t="n">
        <x:f>IF(COUNTIF(Library!$B$3:$B$58,C65)&lt;&gt;1,"",IF(COUNTIFS(Library!$B$3:$B$58,C65,Library!$E$3:$E$58,"&lt;&gt;")=0,0,INDEX(Library!$E$3:$E$58,MATCH(C65,Library!$B$3:$B$58,0))))</x:f>
        <x:v>0</x:v>
      </x:c>
      <x:c r="M65" s="432" t="n">
        <x:f>IF(OR(COUNT(J65:L65)&lt;&gt;3,J65&lt;0,J65&gt;10,K65&lt;0,L65&lt;0,COUNTIFS(Library!$B$3:$B$58,C65,Library!$D$3:$D$58,D65)&lt;&gt;1),"",MIN(10,J65*(1+K65*L65)))</x:f>
        <x:v>1</x:v>
      </x:c>
      <x:c r="N65" s="432" t="n">
        <x:f>IF(D65="seconds",IF(AND(ISNUMBER($B$177),$B$177&gt;0),G65/$B$177,""),IF(D65="reps/leg",G65*2,G65))</x:f>
        <x:v>40</x:v>
      </x:c>
      <x:c r="O65" s="432" t="n">
        <x:f>IF(COUNT(M65:N65)&lt;&gt;2,"",M65*N65)</x:f>
        <x:v>40</x:v>
      </x:c>
      <x:c r="P65" s="432" t="n">
        <x:f>IF(COUNT(O65:O67)&lt;&gt;COUNT(N65:N67),"",IF(SUM(N65:N67)=0,0,ROUND(SUM(O65:O67)/SUM(N65:N67),1)))</x:f>
        <x:v>1</x:v>
      </x:c>
      <x:c r="Q65" s="432" t="str">
        <x:f>IF(COUNT(I65:I67)=0,"",MEDIAN(I65:I67))</x:f>
      </x:c>
      <x:c r="R65" s="400" t="n">
        <x:f>COUNT(I65:I67)</x:f>
        <x:v>0</x:v>
      </x:c>
      <x:c r="S65" s="400" t="n">
        <x:v>3</x:v>
      </x:c>
      <x:c r="T65"/>
      <x:c r="U65"/>
      <x:c r="V65"/>
      <x:c r="W65"/>
      <x:c r="X65"/>
      <x:c r="Y65"/>
      <x:c r="Z65"/>
      <x:c r="AA65"/>
      <x:c r="AB65"/>
    </x:row>
    <x:row r="66" ht="38" hidden="0" customHeight="1">
      <x:c r="A66" s="402" t="n">
        <x:f>Daily!A20</x:f>
        <x:v>46350.5</x:v>
      </x:c>
      <x:c r="B66" s="391" t="str">
        <x:f>Daily!D20</x:f>
        <x:v>Handstand technique</x:v>
      </x:c>
      <x:c r="C66" s="400" t="str">
        <x:v>Easy chest-to-wall hold</x:v>
      </x:c>
      <x:c r="D66" s="400" t="str">
        <x:v>seconds</x:v>
      </x:c>
      <x:c r="E66" s="400" t="n">
        <x:v>3</x:v>
      </x:c>
      <x:c r="F66" s="400" t="n">
        <x:v>15</x:v>
      </x:c>
      <x:c r="G66" s="400" t="n">
        <x:f>E66*F66</x:f>
        <x:v>45</x:v>
      </x:c>
      <x:c r="H66" s="400" t="str">
        <x:f>IF(AND(OR(Daily!N20=TRUE,Daily!AB20=TRUE),COUNT(Daily!O20,Daily!P20,Daily!Q20)&gt;0),SUM(Daily!O20,Daily!P20,Daily!Q20)*86400,"")</x:f>
      </x:c>
      <x:c r="I66" s="432" t="str">
        <x:f>IF(AND(ISNUMBER(H66),ISNUMBER(G66),G66&gt;0),100*H66/G66,"")</x:f>
      </x:c>
      <x:c r="J66" s="432" t="n">
        <x:f>IF(COUNTIF(Library!$B$3:$B$58,C66)&lt;&gt;1,"",INDEX(Library!$C$3:$C$58,MATCH(C66,Library!$B$3:$B$58,0)))</x:f>
        <x:v>1</x:v>
      </x:c>
      <x:c r="K66" s="433" t="n">
        <x:f>IF(COUNTIFS(Loads!$A$3:$A$1000,"&gt;="&amp;INT(A66),Loads!$A$3:$A$1000,"&lt;"&amp;(INT(A66)+1),Loads!$B$3:$B$1000,B66,Loads!$C$3:$C$1000,C66)=0,0,IF(OR(COUNTIFS(Loads!$A$3:$A$1000,"&gt;="&amp;INT(A66),Loads!$A$3:$A$1000,"&lt;"&amp;(INT(A66)+1),Loads!$B$3:$B$1000,B66,Loads!$C$3:$C$1000,C66)&lt;&gt;1,COUNTIFS(Loads!$A$3:$A$1000,"&gt;="&amp;INT(A66),Loads!$A$3:$A$1000,"&lt;"&amp;(INT(A66)+1),Loads!$B$3:$B$1000,B66,Loads!$C$3:$C$1000,C66,Loads!$E$3:$E$1000,"&lt;&gt;")&lt;&gt;1),"",SUMIFS(Loads!$E$3:$E$1000,Loads!$A$3:$A$1000,"&gt;="&amp;INT(A66),Loads!$A$3:$A$1000,"&lt;"&amp;(INT(A66)+1),Loads!$B$3:$B$1000,B66,Loads!$C$3:$C$1000,C66)))</x:f>
        <x:v>0</x:v>
      </x:c>
      <x:c r="L66" s="434" t="n">
        <x:f>IF(COUNTIF(Library!$B$3:$B$58,C66)&lt;&gt;1,"",IF(COUNTIFS(Library!$B$3:$B$58,C66,Library!$E$3:$E$58,"&lt;&gt;")=0,0,INDEX(Library!$E$3:$E$58,MATCH(C66,Library!$B$3:$B$58,0))))</x:f>
        <x:v>0</x:v>
      </x:c>
      <x:c r="M66" s="432" t="n">
        <x:f>IF(OR(COUNT(J66:L66)&lt;&gt;3,J66&lt;0,J66&gt;10,K66&lt;0,L66&lt;0,COUNTIFS(Library!$B$3:$B$58,C66,Library!$D$3:$D$58,D66)&lt;&gt;1),"",MIN(10,J66*(1+K66*L66)))</x:f>
        <x:v>1</x:v>
      </x:c>
      <x:c r="N66" s="432" t="n">
        <x:f>IF(D66="seconds",IF(AND(ISNUMBER($B$177),$B$177&gt;0),G66/$B$177,""),IF(D66="reps/leg",G66*2,G66))</x:f>
        <x:v>15</x:v>
      </x:c>
      <x:c r="O66" s="432" t="n">
        <x:f>IF(COUNT(M66:N66)&lt;&gt;2,"",M66*N66)</x:f>
        <x:v>15</x:v>
      </x:c>
      <x:c r="P66" s="432"/>
      <x:c r="Q66" s="432"/>
      <x:c r="R66" s="400"/>
      <x:c r="S66" s="400"/>
      <x:c r="T66"/>
      <x:c r="U66"/>
      <x:c r="V66"/>
      <x:c r="W66"/>
      <x:c r="X66"/>
      <x:c r="Y66"/>
      <x:c r="Z66"/>
      <x:c r="AA66"/>
      <x:c r="AB66"/>
    </x:row>
    <x:row r="67" ht="38" hidden="0" customHeight="1">
      <x:c r="A67" s="402" t="n">
        <x:f>Daily!A20</x:f>
        <x:v>46350.5</x:v>
      </x:c>
      <x:c r="B67" s="391" t="str">
        <x:f>Daily!D20</x:f>
        <x:v>Handstand technique</x:v>
      </x:c>
      <x:c r="C67" s="400" t="str">
        <x:v>Wall handstand line drill</x:v>
      </x:c>
      <x:c r="D67" s="400" t="str">
        <x:v>seconds</x:v>
      </x:c>
      <x:c r="E67" s="400" t="n">
        <x:v>2</x:v>
      </x:c>
      <x:c r="F67" s="400" t="n">
        <x:v>15</x:v>
      </x:c>
      <x:c r="G67" s="400" t="n">
        <x:f>E67*F67</x:f>
        <x:v>30</x:v>
      </x:c>
      <x:c r="H67" s="400" t="str">
        <x:f>IF(AND(OR(Daily!T20=TRUE,Daily!AB20=TRUE),COUNT(Daily!U20,Daily!V20)&gt;0),SUM(Daily!U20,Daily!V20)*86400,"")</x:f>
      </x:c>
      <x:c r="I67" s="432" t="str">
        <x:f>IF(AND(ISNUMBER(H67),ISNUMBER(G67),G67&gt;0),100*H67/G67,"")</x:f>
      </x:c>
      <x:c r="J67" s="432" t="n">
        <x:f>IF(COUNTIF(Library!$B$3:$B$58,C67)&lt;&gt;1,"",INDEX(Library!$C$3:$C$58,MATCH(C67,Library!$B$3:$B$58,0)))</x:f>
        <x:v>1</x:v>
      </x:c>
      <x:c r="K67" s="433" t="n">
        <x:f>IF(COUNTIFS(Loads!$A$3:$A$1000,"&gt;="&amp;INT(A67),Loads!$A$3:$A$1000,"&lt;"&amp;(INT(A67)+1),Loads!$B$3:$B$1000,B67,Loads!$C$3:$C$1000,C67)=0,0,IF(OR(COUNTIFS(Loads!$A$3:$A$1000,"&gt;="&amp;INT(A67),Loads!$A$3:$A$1000,"&lt;"&amp;(INT(A67)+1),Loads!$B$3:$B$1000,B67,Loads!$C$3:$C$1000,C67)&lt;&gt;1,COUNTIFS(Loads!$A$3:$A$1000,"&gt;="&amp;INT(A67),Loads!$A$3:$A$1000,"&lt;"&amp;(INT(A67)+1),Loads!$B$3:$B$1000,B67,Loads!$C$3:$C$1000,C67,Loads!$E$3:$E$1000,"&lt;&gt;")&lt;&gt;1),"",SUMIFS(Loads!$E$3:$E$1000,Loads!$A$3:$A$1000,"&gt;="&amp;INT(A67),Loads!$A$3:$A$1000,"&lt;"&amp;(INT(A67)+1),Loads!$B$3:$B$1000,B67,Loads!$C$3:$C$1000,C67)))</x:f>
        <x:v>0</x:v>
      </x:c>
      <x:c r="L67" s="434" t="n">
        <x:f>IF(COUNTIF(Library!$B$3:$B$58,C67)&lt;&gt;1,"",IF(COUNTIFS(Library!$B$3:$B$58,C67,Library!$E$3:$E$58,"&lt;&gt;")=0,0,INDEX(Library!$E$3:$E$58,MATCH(C67,Library!$B$3:$B$58,0))))</x:f>
        <x:v>0</x:v>
      </x:c>
      <x:c r="M67" s="432" t="n">
        <x:f>IF(OR(COUNT(J67:L67)&lt;&gt;3,J67&lt;0,J67&gt;10,K67&lt;0,L67&lt;0,COUNTIFS(Library!$B$3:$B$58,C67,Library!$D$3:$D$58,D67)&lt;&gt;1),"",MIN(10,J67*(1+K67*L67)))</x:f>
        <x:v>1</x:v>
      </x:c>
      <x:c r="N67" s="432" t="n">
        <x:f>IF(D67="seconds",IF(AND(ISNUMBER($B$177),$B$177&gt;0),G67/$B$177,""),IF(D67="reps/leg",G67*2,G67))</x:f>
        <x:v>10</x:v>
      </x:c>
      <x:c r="O67" s="432" t="n">
        <x:f>IF(COUNT(M67:N67)&lt;&gt;2,"",M67*N67)</x:f>
        <x:v>10</x:v>
      </x:c>
      <x:c r="P67" s="432"/>
      <x:c r="Q67" s="432"/>
      <x:c r="R67" s="400"/>
      <x:c r="S67" s="400"/>
      <x:c r="T67"/>
      <x:c r="U67"/>
      <x:c r="V67"/>
      <x:c r="W67"/>
      <x:c r="X67"/>
      <x:c r="Y67"/>
      <x:c r="Z67"/>
      <x:c r="AA67"/>
      <x:c r="AB67"/>
    </x:row>
    <x:row r="68" ht="38" hidden="0" customHeight="1">
      <x:c r="A68" s="402" t="n">
        <x:f>Daily!A21</x:f>
        <x:v>46352.5</x:v>
      </x:c>
      <x:c r="B68" s="391" t="str">
        <x:f>Daily!D21</x:f>
        <x:v>Skill B + Cal-Intervals</x:v>
      </x:c>
      <x:c r="C68" s="400" t="str">
        <x:v>Deficit pike push-up</x:v>
      </x:c>
      <x:c r="D68" s="400" t="str">
        <x:v>reps</x:v>
      </x:c>
      <x:c r="E68" s="400" t="n">
        <x:v>3</x:v>
      </x:c>
      <x:c r="F68" s="400" t="n">
        <x:v>4</x:v>
      </x:c>
      <x:c r="G68" s="400" t="n">
        <x:f>E68*F68</x:f>
        <x:v>12</x:v>
      </x:c>
      <x:c r="H68" s="400" t="str">
        <x:f>IF(AND(OR(Daily!H21=TRUE,Daily!AB21=TRUE),COUNT(Daily!I21,Daily!J21,Daily!K21)&gt;0),SUM(Daily!I21,Daily!J21,Daily!K21),"")</x:f>
      </x:c>
      <x:c r="I68" s="432" t="str">
        <x:f>IF(AND(ISNUMBER(H68),ISNUMBER(G68),G68&gt;0),100*H68/G68,"")</x:f>
      </x:c>
      <x:c r="J68" s="432" t="n">
        <x:f>IF(COUNTIF(Library!$B$3:$B$58,C68)&lt;&gt;1,"",INDEX(Library!$C$3:$C$58,MATCH(C68,Library!$B$3:$B$58,0)))</x:f>
        <x:v>6</x:v>
      </x:c>
      <x:c r="K68" s="433" t="n">
        <x:f>IF(COUNTIFS(Loads!$A$3:$A$1000,"&gt;="&amp;INT(A68),Loads!$A$3:$A$1000,"&lt;"&amp;(INT(A68)+1),Loads!$B$3:$B$1000,B68,Loads!$C$3:$C$1000,C68)=0,0,IF(OR(COUNTIFS(Loads!$A$3:$A$1000,"&gt;="&amp;INT(A68),Loads!$A$3:$A$1000,"&lt;"&amp;(INT(A68)+1),Loads!$B$3:$B$1000,B68,Loads!$C$3:$C$1000,C68)&lt;&gt;1,COUNTIFS(Loads!$A$3:$A$1000,"&gt;="&amp;INT(A68),Loads!$A$3:$A$1000,"&lt;"&amp;(INT(A68)+1),Loads!$B$3:$B$1000,B68,Loads!$C$3:$C$1000,C68,Loads!$E$3:$E$1000,"&lt;&gt;")&lt;&gt;1),"",SUMIFS(Loads!$E$3:$E$1000,Loads!$A$3:$A$1000,"&gt;="&amp;INT(A68),Loads!$A$3:$A$1000,"&lt;"&amp;(INT(A68)+1),Loads!$B$3:$B$1000,B68,Loads!$C$3:$C$1000,C68)))</x:f>
        <x:v>0</x:v>
      </x:c>
      <x:c r="L68" s="434" t="n">
        <x:f>IF(COUNTIF(Library!$B$3:$B$58,C68)&lt;&gt;1,"",IF(COUNTIFS(Library!$B$3:$B$58,C68,Library!$E$3:$E$58,"&lt;&gt;")=0,0,INDEX(Library!$E$3:$E$58,MATCH(C68,Library!$B$3:$B$58,0))))</x:f>
        <x:v>0</x:v>
      </x:c>
      <x:c r="M68" s="432" t="n">
        <x:f>IF(OR(COUNT(J68:L68)&lt;&gt;3,J68&lt;0,J68&gt;10,K68&lt;0,L68&lt;0,COUNTIFS(Library!$B$3:$B$58,C68,Library!$D$3:$D$58,D68)&lt;&gt;1),"",MIN(10,J68*(1+K68*L68)))</x:f>
        <x:v>6</x:v>
      </x:c>
      <x:c r="N68" s="432" t="n">
        <x:f>IF(D68="seconds",IF(AND(ISNUMBER($B$177),$B$177&gt;0),G68/$B$177,""),IF(D68="reps/leg",G68*2,G68))</x:f>
        <x:v>12</x:v>
      </x:c>
      <x:c r="O68" s="432" t="n">
        <x:f>IF(COUNT(M68:N68)&lt;&gt;2,"",M68*N68)</x:f>
        <x:v>72</x:v>
      </x:c>
      <x:c r="P68" s="432" t="n">
        <x:f>IF(COUNT(O68:O71)&lt;&gt;COUNT(N68:N71),"",IF(SUM(N68:N71)=0,0,ROUND(SUM(O68:O71)/SUM(N68:N71),1)))</x:f>
        <x:v>5</x:v>
      </x:c>
      <x:c r="Q68" s="432" t="str">
        <x:f>IF(COUNT(I68:I71)=0,"",MEDIAN(I68:I71))</x:f>
      </x:c>
      <x:c r="R68" s="400" t="n">
        <x:f>COUNT(I68:I71)</x:f>
        <x:v>0</x:v>
      </x:c>
      <x:c r="S68" s="400" t="n">
        <x:v>4</x:v>
      </x:c>
      <x:c r="T68"/>
      <x:c r="U68"/>
      <x:c r="V68"/>
      <x:c r="W68"/>
      <x:c r="X68"/>
      <x:c r="Y68"/>
      <x:c r="Z68"/>
      <x:c r="AA68"/>
      <x:c r="AB68"/>
    </x:row>
    <x:row r="69" ht="38" hidden="0" customHeight="1">
      <x:c r="A69" s="402" t="n">
        <x:f>Daily!A21</x:f>
        <x:v>46352.5</x:v>
      </x:c>
      <x:c r="B69" s="391" t="str">
        <x:f>Daily!D21</x:f>
        <x:v>Skill B + Cal-Intervals</x:v>
      </x:c>
      <x:c r="C69" s="400" t="str">
        <x:v>Wall HSPU negative</x:v>
      </x:c>
      <x:c r="D69" s="400" t="str">
        <x:v>reps</x:v>
      </x:c>
      <x:c r="E69" s="400" t="n">
        <x:v>3</x:v>
      </x:c>
      <x:c r="F69" s="400" t="n">
        <x:v>2</x:v>
      </x:c>
      <x:c r="G69" s="400" t="n">
        <x:f>E69*F69</x:f>
        <x:v>6</x:v>
      </x:c>
      <x:c r="H69" s="400" t="str">
        <x:f>IF(AND(OR(Daily!T21=TRUE,Daily!AB21=TRUE),COUNT(Daily!U21,Daily!V21,Daily!W21)&gt;0),SUM(Daily!U21,Daily!V21,Daily!W21),"")</x:f>
      </x:c>
      <x:c r="I69" s="432" t="str">
        <x:f>IF(AND(ISNUMBER(H69),ISNUMBER(G69),G69&gt;0),100*H69/G69,"")</x:f>
      </x:c>
      <x:c r="J69" s="432" t="n">
        <x:f>IF(COUNTIF(Library!$B$3:$B$58,C69)&lt;&gt;1,"",INDEX(Library!$C$3:$C$58,MATCH(C69,Library!$B$3:$B$58,0)))</x:f>
        <x:v>7</x:v>
      </x:c>
      <x:c r="K69" s="433" t="n">
        <x:f>IF(COUNTIFS(Loads!$A$3:$A$1000,"&gt;="&amp;INT(A69),Loads!$A$3:$A$1000,"&lt;"&amp;(INT(A69)+1),Loads!$B$3:$B$1000,B69,Loads!$C$3:$C$1000,C69)=0,0,IF(OR(COUNTIFS(Loads!$A$3:$A$1000,"&gt;="&amp;INT(A69),Loads!$A$3:$A$1000,"&lt;"&amp;(INT(A69)+1),Loads!$B$3:$B$1000,B69,Loads!$C$3:$C$1000,C69)&lt;&gt;1,COUNTIFS(Loads!$A$3:$A$1000,"&gt;="&amp;INT(A69),Loads!$A$3:$A$1000,"&lt;"&amp;(INT(A69)+1),Loads!$B$3:$B$1000,B69,Loads!$C$3:$C$1000,C69,Loads!$E$3:$E$1000,"&lt;&gt;")&lt;&gt;1),"",SUMIFS(Loads!$E$3:$E$1000,Loads!$A$3:$A$1000,"&gt;="&amp;INT(A69),Loads!$A$3:$A$1000,"&lt;"&amp;(INT(A69)+1),Loads!$B$3:$B$1000,B69,Loads!$C$3:$C$1000,C69)))</x:f>
        <x:v>0</x:v>
      </x:c>
      <x:c r="L69" s="434" t="n">
        <x:f>IF(COUNTIF(Library!$B$3:$B$58,C69)&lt;&gt;1,"",IF(COUNTIFS(Library!$B$3:$B$58,C69,Library!$E$3:$E$58,"&lt;&gt;")=0,0,INDEX(Library!$E$3:$E$58,MATCH(C69,Library!$B$3:$B$58,0))))</x:f>
        <x:v>0</x:v>
      </x:c>
      <x:c r="M69" s="432" t="n">
        <x:f>IF(OR(COUNT(J69:L69)&lt;&gt;3,J69&lt;0,J69&gt;10,K69&lt;0,L69&lt;0,COUNTIFS(Library!$B$3:$B$58,C69,Library!$D$3:$D$58,D69)&lt;&gt;1),"",MIN(10,J69*(1+K69*L69)))</x:f>
        <x:v>7</x:v>
      </x:c>
      <x:c r="N69" s="432" t="n">
        <x:f>IF(D69="seconds",IF(AND(ISNUMBER($B$177),$B$177&gt;0),G69/$B$177,""),IF(D69="reps/leg",G69*2,G69))</x:f>
        <x:v>6</x:v>
      </x:c>
      <x:c r="O69" s="432" t="n">
        <x:f>IF(COUNT(M69:N69)&lt;&gt;2,"",M69*N69)</x:f>
        <x:v>42</x:v>
      </x:c>
      <x:c r="P69" s="432"/>
      <x:c r="Q69" s="432"/>
      <x:c r="R69" s="400"/>
      <x:c r="S69" s="400"/>
      <x:c r="T69"/>
      <x:c r="U69"/>
      <x:c r="V69"/>
      <x:c r="W69"/>
      <x:c r="X69"/>
      <x:c r="Y69"/>
      <x:c r="Z69"/>
      <x:c r="AA69"/>
      <x:c r="AB69"/>
    </x:row>
    <x:row r="70" ht="38" hidden="0" customHeight="1">
      <x:c r="A70" s="402" t="n">
        <x:f>Daily!A21</x:f>
        <x:v>46352.5</x:v>
      </x:c>
      <x:c r="B70" s="391" t="str">
        <x:f>Daily!D21</x:f>
        <x:v>Skill B + Cal-Intervals</x:v>
      </x:c>
      <x:c r="C70" s="400" t="str">
        <x:v>Counterweight pistol</x:v>
      </x:c>
      <x:c r="D70" s="400" t="str">
        <x:v>reps/leg</x:v>
      </x:c>
      <x:c r="E70" s="400" t="n">
        <x:v>3</x:v>
      </x:c>
      <x:c r="F70" s="400" t="n">
        <x:v>4</x:v>
      </x:c>
      <x:c r="G70" s="400" t="n">
        <x:f>E70*F70</x:f>
        <x:v>12</x:v>
      </x:c>
      <x:c r="H70" s="400" t="str">
        <x:f>IF(AND(OR(Daily!Z21=TRUE,Daily!AB21=TRUE),COUNT(Daily!AA21)&gt;0),SUM(Daily!AA21),"")</x:f>
      </x:c>
      <x:c r="I70" s="432" t="str">
        <x:f>IF(AND(ISNUMBER(H70),ISNUMBER(G70),G70&gt;0),100*H70/G70,"")</x:f>
      </x:c>
      <x:c r="J70" s="432" t="n">
        <x:f>IF(COUNTIF(Library!$B$3:$B$58,C70)&lt;&gt;1,"",INDEX(Library!$C$3:$C$58,MATCH(C70,Library!$B$3:$B$58,0)))</x:f>
        <x:v>4</x:v>
      </x:c>
      <x:c r="K70" s="433" t="n">
        <x:f>IF(COUNTIFS(Loads!$A$3:$A$1000,"&gt;="&amp;INT(A70),Loads!$A$3:$A$1000,"&lt;"&amp;(INT(A70)+1),Loads!$B$3:$B$1000,B70,Loads!$C$3:$C$1000,C70)=0,0,IF(OR(COUNTIFS(Loads!$A$3:$A$1000,"&gt;="&amp;INT(A70),Loads!$A$3:$A$1000,"&lt;"&amp;(INT(A70)+1),Loads!$B$3:$B$1000,B70,Loads!$C$3:$C$1000,C70)&lt;&gt;1,COUNTIFS(Loads!$A$3:$A$1000,"&gt;="&amp;INT(A70),Loads!$A$3:$A$1000,"&lt;"&amp;(INT(A70)+1),Loads!$B$3:$B$1000,B70,Loads!$C$3:$C$1000,C70,Loads!$E$3:$E$1000,"&lt;&gt;")&lt;&gt;1),"",SUMIFS(Loads!$E$3:$E$1000,Loads!$A$3:$A$1000,"&gt;="&amp;INT(A70),Loads!$A$3:$A$1000,"&lt;"&amp;(INT(A70)+1),Loads!$B$3:$B$1000,B70,Loads!$C$3:$C$1000,C70)))</x:f>
        <x:v>0</x:v>
      </x:c>
      <x:c r="L70" s="434" t="n">
        <x:f>IF(COUNTIF(Library!$B$3:$B$58,C70)&lt;&gt;1,"",IF(COUNTIFS(Library!$B$3:$B$58,C70,Library!$E$3:$E$58,"&lt;&gt;")=0,0,INDEX(Library!$E$3:$E$58,MATCH(C70,Library!$B$3:$B$58,0))))</x:f>
        <x:v>0.03</x:v>
      </x:c>
      <x:c r="M70" s="432" t="n">
        <x:f>IF(OR(COUNT(J70:L70)&lt;&gt;3,J70&lt;0,J70&gt;10,K70&lt;0,L70&lt;0,COUNTIFS(Library!$B$3:$B$58,C70,Library!$D$3:$D$58,D70)&lt;&gt;1),"",MIN(10,J70*(1+K70*L70)))</x:f>
        <x:v>4</x:v>
      </x:c>
      <x:c r="N70" s="432" t="n">
        <x:f>IF(D70="seconds",IF(AND(ISNUMBER($B$177),$B$177&gt;0),G70/$B$177,""),IF(D70="reps/leg",G70*2,G70))</x:f>
        <x:v>24</x:v>
      </x:c>
      <x:c r="O70" s="432" t="n">
        <x:f>IF(COUNT(M70:N70)&lt;&gt;2,"",M70*N70)</x:f>
        <x:v>96</x:v>
      </x:c>
      <x:c r="P70" s="432"/>
      <x:c r="Q70" s="432"/>
      <x:c r="R70" s="400"/>
      <x:c r="S70" s="400"/>
      <x:c r="T70"/>
      <x:c r="U70"/>
      <x:c r="V70"/>
      <x:c r="W70"/>
      <x:c r="X70"/>
      <x:c r="Y70"/>
      <x:c r="Z70"/>
      <x:c r="AA70"/>
      <x:c r="AB70"/>
    </x:row>
    <x:row r="71" ht="38" hidden="0" customHeight="1">
      <x:c r="A71" s="402" t="n">
        <x:f>Daily!A21</x:f>
        <x:v>46352.5</x:v>
      </x:c>
      <x:c r="B71" s="391" t="str">
        <x:f>Daily!D21</x:f>
        <x:v>Skill B + Cal-Intervals</x:v>
      </x:c>
      <x:c r="C71" s="400" t="str">
        <x:v>Cal-Intervals</x:v>
      </x:c>
      <x:c r="D71" s="400" t="str">
        <x:v>rounds</x:v>
      </x:c>
      <x:c r="E71" s="400" t="n">
        <x:v>1</x:v>
      </x:c>
      <x:c r="F71" s="400" t="n">
        <x:v>5</x:v>
      </x:c>
      <x:c r="G71" s="400" t="n">
        <x:v>5</x:v>
      </x:c>
      <x:c r="H71" s="400" t="str">
        <x:f>IF(AND(OR(Daily!Z21=TRUE,Daily!AB21=TRUE),ISNUMBER(Daily!AA21)),Daily!AA21,"")</x:f>
      </x:c>
      <x:c r="I71" s="432" t="str">
        <x:f>IF(AND(ISNUMBER(H71),G71&gt;0),100*H71/G71,"")</x:f>
      </x:c>
      <x:c r="J71" s="432" t="n">
        <x:f>IF(OR(COUNT(Library!F67:F70)&lt;&gt;4,COUNT(Library!E67:E70)&lt;&gt;4,SUM(Library!E67:E70)=0),"",SUM(Library!F67:F70)/SUM(Library!E67:E70))</x:f>
        <x:v>5</x:v>
      </x:c>
      <x:c r="K71" s="433"/>
      <x:c r="L71" s="434"/>
      <x:c r="M71" s="432" t="n">
        <x:f>IF(ISNUMBER(J71),J71,"")</x:f>
        <x:v>5</x:v>
      </x:c>
      <x:c r="N71" s="432" t="n">
        <x:f>IF(COUNT(Library!E67:E70)&lt;&gt;4,"",G71*SUM(Library!E67:E70))</x:f>
        <x:v>200</x:v>
      </x:c>
      <x:c r="O71" s="432" t="n">
        <x:f>IF(COUNT(Library!F67:F70)&lt;&gt;4,"",G71*SUM(Library!F67:F70))</x:f>
        <x:v>1000</x:v>
      </x:c>
      <x:c r="P71" s="432"/>
      <x:c r="Q71" s="432"/>
      <x:c r="R71" s="400"/>
      <x:c r="S71" s="400"/>
      <x:c r="T71"/>
      <x:c r="U71"/>
      <x:c r="V71"/>
      <x:c r="W71"/>
      <x:c r="X71"/>
      <x:c r="Y71"/>
      <x:c r="Z71"/>
      <x:c r="AA71"/>
      <x:c r="AB71"/>
    </x:row>
    <x:row r="72" ht="38" hidden="0" customHeight="1">
      <x:c r="A72" s="402" t="n">
        <x:f>Daily!A22</x:f>
        <x:v>46354.5</x:v>
      </x:c>
      <x:c r="B72" s="391" t="str">
        <x:f>Daily!D22</x:f>
        <x:v>Skill micro-session</x:v>
      </x:c>
      <x:c r="C72" s="400" t="str">
        <x:v>Wrist/shoulder mobility</x:v>
      </x:c>
      <x:c r="D72" s="400" t="str">
        <x:v>seconds</x:v>
      </x:c>
      <x:c r="E72" s="400" t="n">
        <x:v>1</x:v>
      </x:c>
      <x:c r="F72" s="400" t="n">
        <x:v>120</x:v>
      </x:c>
      <x:c r="G72" s="400" t="n">
        <x:f>E72*F72</x:f>
        <x:v>120</x:v>
      </x:c>
      <x:c r="H72" s="400" t="str">
        <x:f>IF(AND(OR(Daily!H22=TRUE,Daily!AB22=TRUE),COUNT(Daily!I22)&gt;0),SUM(Daily!I22)*86400,"")</x:f>
      </x:c>
      <x:c r="I72" s="432" t="str">
        <x:f>IF(AND(ISNUMBER(H72),ISNUMBER(G72),G72&gt;0),100*H72/G72,"")</x:f>
      </x:c>
      <x:c r="J72" s="432" t="n">
        <x:f>IF(COUNTIF(Library!$B$3:$B$58,C72)&lt;&gt;1,"",INDEX(Library!$C$3:$C$58,MATCH(C72,Library!$B$3:$B$58,0)))</x:f>
        <x:v>1</x:v>
      </x:c>
      <x:c r="K72" s="433" t="n">
        <x:f>IF(COUNTIFS(Loads!$A$3:$A$1000,"&gt;="&amp;INT(A72),Loads!$A$3:$A$1000,"&lt;"&amp;(INT(A72)+1),Loads!$B$3:$B$1000,B72,Loads!$C$3:$C$1000,C72)=0,0,IF(OR(COUNTIFS(Loads!$A$3:$A$1000,"&gt;="&amp;INT(A72),Loads!$A$3:$A$1000,"&lt;"&amp;(INT(A72)+1),Loads!$B$3:$B$1000,B72,Loads!$C$3:$C$1000,C72)&lt;&gt;1,COUNTIFS(Loads!$A$3:$A$1000,"&gt;="&amp;INT(A72),Loads!$A$3:$A$1000,"&lt;"&amp;(INT(A72)+1),Loads!$B$3:$B$1000,B72,Loads!$C$3:$C$1000,C72,Loads!$E$3:$E$1000,"&lt;&gt;")&lt;&gt;1),"",SUMIFS(Loads!$E$3:$E$1000,Loads!$A$3:$A$1000,"&gt;="&amp;INT(A72),Loads!$A$3:$A$1000,"&lt;"&amp;(INT(A72)+1),Loads!$B$3:$B$1000,B72,Loads!$C$3:$C$1000,C72)))</x:f>
        <x:v>0</x:v>
      </x:c>
      <x:c r="L72" s="434" t="n">
        <x:f>IF(COUNTIF(Library!$B$3:$B$58,C72)&lt;&gt;1,"",IF(COUNTIFS(Library!$B$3:$B$58,C72,Library!$E$3:$E$58,"&lt;&gt;")=0,0,INDEX(Library!$E$3:$E$58,MATCH(C72,Library!$B$3:$B$58,0))))</x:f>
        <x:v>0</x:v>
      </x:c>
      <x:c r="M72" s="432" t="n">
        <x:f>IF(OR(COUNT(J72:L72)&lt;&gt;3,J72&lt;0,J72&gt;10,K72&lt;0,L72&lt;0,COUNTIFS(Library!$B$3:$B$58,C72,Library!$D$3:$D$58,D72)&lt;&gt;1),"",MIN(10,J72*(1+K72*L72)))</x:f>
        <x:v>1</x:v>
      </x:c>
      <x:c r="N72" s="432" t="n">
        <x:f>IF(D72="seconds",IF(AND(ISNUMBER($B$177),$B$177&gt;0),G72/$B$177,""),IF(D72="reps/leg",G72*2,G72))</x:f>
        <x:v>40</x:v>
      </x:c>
      <x:c r="O72" s="432" t="n">
        <x:f>IF(COUNT(M72:N72)&lt;&gt;2,"",M72*N72)</x:f>
        <x:v>40</x:v>
      </x:c>
      <x:c r="P72" s="432" t="n">
        <x:f>IF(COUNT(O72:O74)&lt;&gt;COUNT(N72:N74),"",IF(SUM(N72:N74)=0,0,ROUND(SUM(O72:O74)/SUM(N72:N74),1)))</x:f>
        <x:v>1</x:v>
      </x:c>
      <x:c r="Q72" s="432" t="str">
        <x:f>IF(COUNT(I72:I74)=0,"",MEDIAN(I72:I74))</x:f>
      </x:c>
      <x:c r="R72" s="400" t="n">
        <x:f>COUNT(I72:I74)</x:f>
        <x:v>0</x:v>
      </x:c>
      <x:c r="S72" s="400" t="n">
        <x:v>3</x:v>
      </x:c>
      <x:c r="T72"/>
      <x:c r="U72"/>
      <x:c r="V72"/>
      <x:c r="W72"/>
      <x:c r="X72"/>
      <x:c r="Y72"/>
      <x:c r="Z72"/>
      <x:c r="AA72"/>
      <x:c r="AB72"/>
    </x:row>
    <x:row r="73" ht="38" hidden="0" customHeight="1">
      <x:c r="A73" s="402" t="n">
        <x:f>Daily!A22</x:f>
        <x:v>46354.5</x:v>
      </x:c>
      <x:c r="B73" s="391" t="str">
        <x:f>Daily!D22</x:f>
        <x:v>Skill micro-session</x:v>
      </x:c>
      <x:c r="C73" s="400" t="str">
        <x:v>Easy chest-to-wall hold</x:v>
      </x:c>
      <x:c r="D73" s="400" t="str">
        <x:v>seconds</x:v>
      </x:c>
      <x:c r="E73" s="400" t="n">
        <x:v>3</x:v>
      </x:c>
      <x:c r="F73" s="400" t="n">
        <x:v>15</x:v>
      </x:c>
      <x:c r="G73" s="400" t="n">
        <x:f>E73*F73</x:f>
        <x:v>45</x:v>
      </x:c>
      <x:c r="H73" s="400" t="str">
        <x:f>IF(AND(OR(Daily!N22=TRUE,Daily!AB22=TRUE),COUNT(Daily!O22,Daily!P22,Daily!Q22)&gt;0),SUM(Daily!O22,Daily!P22,Daily!Q22)*86400,"")</x:f>
      </x:c>
      <x:c r="I73" s="432" t="str">
        <x:f>IF(AND(ISNUMBER(H73),ISNUMBER(G73),G73&gt;0),100*H73/G73,"")</x:f>
      </x:c>
      <x:c r="J73" s="432" t="n">
        <x:f>IF(COUNTIF(Library!$B$3:$B$58,C73)&lt;&gt;1,"",INDEX(Library!$C$3:$C$58,MATCH(C73,Library!$B$3:$B$58,0)))</x:f>
        <x:v>1</x:v>
      </x:c>
      <x:c r="K73" s="433" t="n">
        <x:f>IF(COUNTIFS(Loads!$A$3:$A$1000,"&gt;="&amp;INT(A73),Loads!$A$3:$A$1000,"&lt;"&amp;(INT(A73)+1),Loads!$B$3:$B$1000,B73,Loads!$C$3:$C$1000,C73)=0,0,IF(OR(COUNTIFS(Loads!$A$3:$A$1000,"&gt;="&amp;INT(A73),Loads!$A$3:$A$1000,"&lt;"&amp;(INT(A73)+1),Loads!$B$3:$B$1000,B73,Loads!$C$3:$C$1000,C73)&lt;&gt;1,COUNTIFS(Loads!$A$3:$A$1000,"&gt;="&amp;INT(A73),Loads!$A$3:$A$1000,"&lt;"&amp;(INT(A73)+1),Loads!$B$3:$B$1000,B73,Loads!$C$3:$C$1000,C73,Loads!$E$3:$E$1000,"&lt;&gt;")&lt;&gt;1),"",SUMIFS(Loads!$E$3:$E$1000,Loads!$A$3:$A$1000,"&gt;="&amp;INT(A73),Loads!$A$3:$A$1000,"&lt;"&amp;(INT(A73)+1),Loads!$B$3:$B$1000,B73,Loads!$C$3:$C$1000,C73)))</x:f>
        <x:v>0</x:v>
      </x:c>
      <x:c r="L73" s="434" t="n">
        <x:f>IF(COUNTIF(Library!$B$3:$B$58,C73)&lt;&gt;1,"",IF(COUNTIFS(Library!$B$3:$B$58,C73,Library!$E$3:$E$58,"&lt;&gt;")=0,0,INDEX(Library!$E$3:$E$58,MATCH(C73,Library!$B$3:$B$58,0))))</x:f>
        <x:v>0</x:v>
      </x:c>
      <x:c r="M73" s="432" t="n">
        <x:f>IF(OR(COUNT(J73:L73)&lt;&gt;3,J73&lt;0,J73&gt;10,K73&lt;0,L73&lt;0,COUNTIFS(Library!$B$3:$B$58,C73,Library!$D$3:$D$58,D73)&lt;&gt;1),"",MIN(10,J73*(1+K73*L73)))</x:f>
        <x:v>1</x:v>
      </x:c>
      <x:c r="N73" s="432" t="n">
        <x:f>IF(D73="seconds",IF(AND(ISNUMBER($B$177),$B$177&gt;0),G73/$B$177,""),IF(D73="reps/leg",G73*2,G73))</x:f>
        <x:v>15</x:v>
      </x:c>
      <x:c r="O73" s="432" t="n">
        <x:f>IF(COUNT(M73:N73)&lt;&gt;2,"",M73*N73)</x:f>
        <x:v>15</x:v>
      </x:c>
      <x:c r="P73" s="432"/>
      <x:c r="Q73" s="432"/>
      <x:c r="R73" s="400"/>
      <x:c r="S73" s="400"/>
      <x:c r="T73"/>
      <x:c r="U73"/>
      <x:c r="V73"/>
      <x:c r="W73"/>
      <x:c r="X73"/>
      <x:c r="Y73"/>
      <x:c r="Z73"/>
      <x:c r="AA73"/>
      <x:c r="AB73"/>
    </x:row>
    <x:row r="74" ht="38" hidden="0" customHeight="1">
      <x:c r="A74" s="402" t="n">
        <x:f>Daily!A22</x:f>
        <x:v>46354.5</x:v>
      </x:c>
      <x:c r="B74" s="391" t="str">
        <x:f>Daily!D22</x:f>
        <x:v>Skill micro-session</x:v>
      </x:c>
      <x:c r="C74" s="400" t="str">
        <x:v>Wall handstand line drill</x:v>
      </x:c>
      <x:c r="D74" s="400" t="str">
        <x:v>seconds</x:v>
      </x:c>
      <x:c r="E74" s="400" t="n">
        <x:v>3</x:v>
      </x:c>
      <x:c r="F74" s="400" t="n">
        <x:v>15</x:v>
      </x:c>
      <x:c r="G74" s="400" t="n">
        <x:f>E74*F74</x:f>
        <x:v>45</x:v>
      </x:c>
      <x:c r="H74" s="400" t="str">
        <x:f>IF(AND(OR(Daily!T22=TRUE,Daily!AB22=TRUE),COUNT(Daily!U22,Daily!V22,Daily!W22)&gt;0),SUM(Daily!U22,Daily!V22,Daily!W22)*86400,"")</x:f>
      </x:c>
      <x:c r="I74" s="432" t="str">
        <x:f>IF(AND(ISNUMBER(H74),ISNUMBER(G74),G74&gt;0),100*H74/G74,"")</x:f>
      </x:c>
      <x:c r="J74" s="432" t="n">
        <x:f>IF(COUNTIF(Library!$B$3:$B$58,C74)&lt;&gt;1,"",INDEX(Library!$C$3:$C$58,MATCH(C74,Library!$B$3:$B$58,0)))</x:f>
        <x:v>1</x:v>
      </x:c>
      <x:c r="K74" s="433" t="n">
        <x:f>IF(COUNTIFS(Loads!$A$3:$A$1000,"&gt;="&amp;INT(A74),Loads!$A$3:$A$1000,"&lt;"&amp;(INT(A74)+1),Loads!$B$3:$B$1000,B74,Loads!$C$3:$C$1000,C74)=0,0,IF(OR(COUNTIFS(Loads!$A$3:$A$1000,"&gt;="&amp;INT(A74),Loads!$A$3:$A$1000,"&lt;"&amp;(INT(A74)+1),Loads!$B$3:$B$1000,B74,Loads!$C$3:$C$1000,C74)&lt;&gt;1,COUNTIFS(Loads!$A$3:$A$1000,"&gt;="&amp;INT(A74),Loads!$A$3:$A$1000,"&lt;"&amp;(INT(A74)+1),Loads!$B$3:$B$1000,B74,Loads!$C$3:$C$1000,C74,Loads!$E$3:$E$1000,"&lt;&gt;")&lt;&gt;1),"",SUMIFS(Loads!$E$3:$E$1000,Loads!$A$3:$A$1000,"&gt;="&amp;INT(A74),Loads!$A$3:$A$1000,"&lt;"&amp;(INT(A74)+1),Loads!$B$3:$B$1000,B74,Loads!$C$3:$C$1000,C74)))</x:f>
        <x:v>0</x:v>
      </x:c>
      <x:c r="L74" s="434" t="n">
        <x:f>IF(COUNTIF(Library!$B$3:$B$58,C74)&lt;&gt;1,"",IF(COUNTIFS(Library!$B$3:$B$58,C74,Library!$E$3:$E$58,"&lt;&gt;")=0,0,INDEX(Library!$E$3:$E$58,MATCH(C74,Library!$B$3:$B$58,0))))</x:f>
        <x:v>0</x:v>
      </x:c>
      <x:c r="M74" s="432" t="n">
        <x:f>IF(OR(COUNT(J74:L74)&lt;&gt;3,J74&lt;0,J74&gt;10,K74&lt;0,L74&lt;0,COUNTIFS(Library!$B$3:$B$58,C74,Library!$D$3:$D$58,D74)&lt;&gt;1),"",MIN(10,J74*(1+K74*L74)))</x:f>
        <x:v>1</x:v>
      </x:c>
      <x:c r="N74" s="432" t="n">
        <x:f>IF(D74="seconds",IF(AND(ISNUMBER($B$177),$B$177&gt;0),G74/$B$177,""),IF(D74="reps/leg",G74*2,G74))</x:f>
        <x:v>15</x:v>
      </x:c>
      <x:c r="O74" s="432" t="n">
        <x:f>IF(COUNT(M74:N74)&lt;&gt;2,"",M74*N74)</x:f>
        <x:v>15</x:v>
      </x:c>
      <x:c r="P74" s="432"/>
      <x:c r="Q74" s="432"/>
      <x:c r="R74" s="400"/>
      <x:c r="S74" s="400"/>
      <x:c r="T74"/>
      <x:c r="U74"/>
      <x:c r="V74"/>
      <x:c r="W74"/>
      <x:c r="X74"/>
      <x:c r="Y74"/>
      <x:c r="Z74"/>
      <x:c r="AA74"/>
      <x:c r="AB74"/>
    </x:row>
    <x:row r="75" ht="38" hidden="0" customHeight="1">
      <x:c r="A75" s="402" t="n">
        <x:f>Daily!A23</x:f>
        <x:v>46356.5</x:v>
      </x:c>
      <x:c r="B75" s="391" t="str">
        <x:f>Daily!D23</x:f>
        <x:v>Skill A + Cal-Intervals</x:v>
      </x:c>
      <x:c r="C75" s="400" t="str">
        <x:v>Jumping muscle-up</x:v>
      </x:c>
      <x:c r="D75" s="400" t="str">
        <x:v>reps</x:v>
      </x:c>
      <x:c r="E75" s="400" t="n">
        <x:v>3</x:v>
      </x:c>
      <x:c r="F75" s="400" t="n">
        <x:v>3</x:v>
      </x:c>
      <x:c r="G75" s="400" t="n">
        <x:f>E75*F75</x:f>
        <x:v>9</x:v>
      </x:c>
      <x:c r="H75" s="400" t="str">
        <x:f>IF(AND(OR(Daily!H23=TRUE,Daily!AB23=TRUE),COUNT(Daily!I23,Daily!J23,Daily!K23)&gt;0),SUM(Daily!I23,Daily!J23,Daily!K23),"")</x:f>
      </x:c>
      <x:c r="I75" s="432" t="str">
        <x:f>IF(AND(ISNUMBER(H75),ISNUMBER(G75),G75&gt;0),100*H75/G75,"")</x:f>
      </x:c>
      <x:c r="J75" s="432" t="n">
        <x:f>IF(COUNTIF(Library!$B$3:$B$58,C75)&lt;&gt;1,"",INDEX(Library!$C$3:$C$58,MATCH(C75,Library!$B$3:$B$58,0)))</x:f>
        <x:v>4</x:v>
      </x:c>
      <x:c r="K75" s="433" t="n">
        <x:f>IF(COUNTIFS(Loads!$A$3:$A$1000,"&gt;="&amp;INT(A75),Loads!$A$3:$A$1000,"&lt;"&amp;(INT(A75)+1),Loads!$B$3:$B$1000,B75,Loads!$C$3:$C$1000,C75)=0,0,IF(OR(COUNTIFS(Loads!$A$3:$A$1000,"&gt;="&amp;INT(A75),Loads!$A$3:$A$1000,"&lt;"&amp;(INT(A75)+1),Loads!$B$3:$B$1000,B75,Loads!$C$3:$C$1000,C75)&lt;&gt;1,COUNTIFS(Loads!$A$3:$A$1000,"&gt;="&amp;INT(A75),Loads!$A$3:$A$1000,"&lt;"&amp;(INT(A75)+1),Loads!$B$3:$B$1000,B75,Loads!$C$3:$C$1000,C75,Loads!$E$3:$E$1000,"&lt;&gt;")&lt;&gt;1),"",SUMIFS(Loads!$E$3:$E$1000,Loads!$A$3:$A$1000,"&gt;="&amp;INT(A75),Loads!$A$3:$A$1000,"&lt;"&amp;(INT(A75)+1),Loads!$B$3:$B$1000,B75,Loads!$C$3:$C$1000,C75)))</x:f>
        <x:v>0</x:v>
      </x:c>
      <x:c r="L75" s="434" t="n">
        <x:f>IF(COUNTIF(Library!$B$3:$B$58,C75)&lt;&gt;1,"",IF(COUNTIFS(Library!$B$3:$B$58,C75,Library!$E$3:$E$58,"&lt;&gt;")=0,0,INDEX(Library!$E$3:$E$58,MATCH(C75,Library!$B$3:$B$58,0))))</x:f>
        <x:v>0.04</x:v>
      </x:c>
      <x:c r="M75" s="432" t="n">
        <x:f>IF(OR(COUNT(J75:L75)&lt;&gt;3,J75&lt;0,J75&gt;10,K75&lt;0,L75&lt;0,COUNTIFS(Library!$B$3:$B$58,C75,Library!$D$3:$D$58,D75)&lt;&gt;1),"",MIN(10,J75*(1+K75*L75)))</x:f>
        <x:v>4</x:v>
      </x:c>
      <x:c r="N75" s="432" t="n">
        <x:f>IF(D75="seconds",IF(AND(ISNUMBER($B$177),$B$177&gt;0),G75/$B$177,""),IF(D75="reps/leg",G75*2,G75))</x:f>
        <x:v>9</x:v>
      </x:c>
      <x:c r="O75" s="432" t="n">
        <x:f>IF(COUNT(M75:N75)&lt;&gt;2,"",M75*N75)</x:f>
        <x:v>36</x:v>
      </x:c>
      <x:c r="P75" s="432" t="n">
        <x:f>IF(COUNT(O75:O78)&lt;&gt;COUNT(N75:N78),"",IF(SUM(N75:N78)=0,0,ROUND(SUM(O75:O78)/SUM(N75:N78),1)))</x:f>
        <x:v>4.8</x:v>
      </x:c>
      <x:c r="Q75" s="432" t="str">
        <x:f>IF(COUNT(I75:I78)=0,"",MEDIAN(I75:I78))</x:f>
      </x:c>
      <x:c r="R75" s="400" t="n">
        <x:f>COUNT(I75:I78)</x:f>
        <x:v>0</x:v>
      </x:c>
      <x:c r="S75" s="400" t="n">
        <x:v>4</x:v>
      </x:c>
      <x:c r="T75"/>
      <x:c r="U75"/>
      <x:c r="V75"/>
      <x:c r="W75"/>
      <x:c r="X75"/>
      <x:c r="Y75"/>
      <x:c r="Z75"/>
      <x:c r="AA75"/>
      <x:c r="AB75"/>
    </x:row>
    <x:row r="76" ht="38" hidden="0" customHeight="1">
      <x:c r="A76" s="402" t="n">
        <x:f>Daily!A23</x:f>
        <x:v>46356.5</x:v>
      </x:c>
      <x:c r="B76" s="391" t="str">
        <x:f>Daily!D23</x:f>
        <x:v>Skill A + Cal-Intervals</x:v>
      </x:c>
      <x:c r="C76" s="400" t="str">
        <x:v>Low-bar slow transition</x:v>
      </x:c>
      <x:c r="D76" s="400" t="str">
        <x:v>reps</x:v>
      </x:c>
      <x:c r="E76" s="400" t="n">
        <x:v>3</x:v>
      </x:c>
      <x:c r="F76" s="400" t="n">
        <x:v>3</x:v>
      </x:c>
      <x:c r="G76" s="400" t="n">
        <x:f>E76*F76</x:f>
        <x:v>9</x:v>
      </x:c>
      <x:c r="H76" s="400" t="str">
        <x:f>IF(AND(OR(Daily!N23=TRUE,Daily!AB23=TRUE),COUNT(Daily!O23,Daily!P23,Daily!Q23)&gt;0),SUM(Daily!O23,Daily!P23,Daily!Q23),"")</x:f>
      </x:c>
      <x:c r="I76" s="432" t="str">
        <x:f>IF(AND(ISNUMBER(H76),ISNUMBER(G76),G76&gt;0),100*H76/G76,"")</x:f>
      </x:c>
      <x:c r="J76" s="432" t="n">
        <x:f>IF(COUNTIF(Library!$B$3:$B$58,C76)&lt;&gt;1,"",INDEX(Library!$C$3:$C$58,MATCH(C76,Library!$B$3:$B$58,0)))</x:f>
        <x:v>4</x:v>
      </x:c>
      <x:c r="K76" s="433" t="n">
        <x:f>IF(COUNTIFS(Loads!$A$3:$A$1000,"&gt;="&amp;INT(A76),Loads!$A$3:$A$1000,"&lt;"&amp;(INT(A76)+1),Loads!$B$3:$B$1000,B76,Loads!$C$3:$C$1000,C76)=0,0,IF(OR(COUNTIFS(Loads!$A$3:$A$1000,"&gt;="&amp;INT(A76),Loads!$A$3:$A$1000,"&lt;"&amp;(INT(A76)+1),Loads!$B$3:$B$1000,B76,Loads!$C$3:$C$1000,C76)&lt;&gt;1,COUNTIFS(Loads!$A$3:$A$1000,"&gt;="&amp;INT(A76),Loads!$A$3:$A$1000,"&lt;"&amp;(INT(A76)+1),Loads!$B$3:$B$1000,B76,Loads!$C$3:$C$1000,C76,Loads!$E$3:$E$1000,"&lt;&gt;")&lt;&gt;1),"",SUMIFS(Loads!$E$3:$E$1000,Loads!$A$3:$A$1000,"&gt;="&amp;INT(A76),Loads!$A$3:$A$1000,"&lt;"&amp;(INT(A76)+1),Loads!$B$3:$B$1000,B76,Loads!$C$3:$C$1000,C76)))</x:f>
        <x:v>0</x:v>
      </x:c>
      <x:c r="L76" s="434" t="n">
        <x:f>IF(COUNTIF(Library!$B$3:$B$58,C76)&lt;&gt;1,"",IF(COUNTIFS(Library!$B$3:$B$58,C76,Library!$E$3:$E$58,"&lt;&gt;")=0,0,INDEX(Library!$E$3:$E$58,MATCH(C76,Library!$B$3:$B$58,0))))</x:f>
        <x:v>0</x:v>
      </x:c>
      <x:c r="M76" s="432" t="n">
        <x:f>IF(OR(COUNT(J76:L76)&lt;&gt;3,J76&lt;0,J76&gt;10,K76&lt;0,L76&lt;0,COUNTIFS(Library!$B$3:$B$58,C76,Library!$D$3:$D$58,D76)&lt;&gt;1),"",MIN(10,J76*(1+K76*L76)))</x:f>
        <x:v>4</x:v>
      </x:c>
      <x:c r="N76" s="432" t="n">
        <x:f>IF(D76="seconds",IF(AND(ISNUMBER($B$177),$B$177&gt;0),G76/$B$177,""),IF(D76="reps/leg",G76*2,G76))</x:f>
        <x:v>9</x:v>
      </x:c>
      <x:c r="O76" s="432" t="n">
        <x:f>IF(COUNT(M76:N76)&lt;&gt;2,"",M76*N76)</x:f>
        <x:v>36</x:v>
      </x:c>
      <x:c r="P76" s="432"/>
      <x:c r="Q76" s="432"/>
      <x:c r="R76" s="400"/>
      <x:c r="S76" s="400"/>
      <x:c r="T76"/>
      <x:c r="U76"/>
      <x:c r="V76"/>
      <x:c r="W76"/>
      <x:c r="X76"/>
      <x:c r="Y76"/>
      <x:c r="Z76"/>
      <x:c r="AA76"/>
      <x:c r="AB76"/>
    </x:row>
    <x:row r="77" ht="38" hidden="0" customHeight="1">
      <x:c r="A77" s="402" t="n">
        <x:f>Daily!A23</x:f>
        <x:v>46356.5</x:v>
      </x:c>
      <x:c r="B77" s="391" t="str">
        <x:f>Daily!D23</x:f>
        <x:v>Skill A + Cal-Intervals</x:v>
      </x:c>
      <x:c r="C77" s="400" t="str">
        <x:v>Light-counterweight pistol</x:v>
      </x:c>
      <x:c r="D77" s="400" t="str">
        <x:v>reps/leg</x:v>
      </x:c>
      <x:c r="E77" s="400" t="n">
        <x:v>3</x:v>
      </x:c>
      <x:c r="F77" s="400" t="n">
        <x:v>4</x:v>
      </x:c>
      <x:c r="G77" s="400" t="n">
        <x:f>E77*F77</x:f>
        <x:v>12</x:v>
      </x:c>
      <x:c r="H77" s="400" t="str">
        <x:f>IF(AND(OR(Daily!T23=TRUE,Daily!AB23=TRUE),COUNT(Daily!U23,Daily!V23,Daily!W23)&gt;0),SUM(Daily!U23,Daily!V23,Daily!W23),"")</x:f>
      </x:c>
      <x:c r="I77" s="432" t="str">
        <x:f>IF(AND(ISNUMBER(H77),ISNUMBER(G77),G77&gt;0),100*H77/G77,"")</x:f>
      </x:c>
      <x:c r="J77" s="432" t="n">
        <x:f>IF(COUNTIF(Library!$B$3:$B$58,C77)&lt;&gt;1,"",INDEX(Library!$C$3:$C$58,MATCH(C77,Library!$B$3:$B$58,0)))</x:f>
        <x:v>4</x:v>
      </x:c>
      <x:c r="K77" s="433" t="n">
        <x:f>IF(COUNTIFS(Loads!$A$3:$A$1000,"&gt;="&amp;INT(A77),Loads!$A$3:$A$1000,"&lt;"&amp;(INT(A77)+1),Loads!$B$3:$B$1000,B77,Loads!$C$3:$C$1000,C77)=0,0,IF(OR(COUNTIFS(Loads!$A$3:$A$1000,"&gt;="&amp;INT(A77),Loads!$A$3:$A$1000,"&lt;"&amp;(INT(A77)+1),Loads!$B$3:$B$1000,B77,Loads!$C$3:$C$1000,C77)&lt;&gt;1,COUNTIFS(Loads!$A$3:$A$1000,"&gt;="&amp;INT(A77),Loads!$A$3:$A$1000,"&lt;"&amp;(INT(A77)+1),Loads!$B$3:$B$1000,B77,Loads!$C$3:$C$1000,C77,Loads!$E$3:$E$1000,"&lt;&gt;")&lt;&gt;1),"",SUMIFS(Loads!$E$3:$E$1000,Loads!$A$3:$A$1000,"&gt;="&amp;INT(A77),Loads!$A$3:$A$1000,"&lt;"&amp;(INT(A77)+1),Loads!$B$3:$B$1000,B77,Loads!$C$3:$C$1000,C77)))</x:f>
        <x:v>0</x:v>
      </x:c>
      <x:c r="L77" s="434" t="n">
        <x:f>IF(COUNTIF(Library!$B$3:$B$58,C77)&lt;&gt;1,"",IF(COUNTIFS(Library!$B$3:$B$58,C77,Library!$E$3:$E$58,"&lt;&gt;")=0,0,INDEX(Library!$E$3:$E$58,MATCH(C77,Library!$B$3:$B$58,0))))</x:f>
        <x:v>0.03</x:v>
      </x:c>
      <x:c r="M77" s="432" t="n">
        <x:f>IF(OR(COUNT(J77:L77)&lt;&gt;3,J77&lt;0,J77&gt;10,K77&lt;0,L77&lt;0,COUNTIFS(Library!$B$3:$B$58,C77,Library!$D$3:$D$58,D77)&lt;&gt;1),"",MIN(10,J77*(1+K77*L77)))</x:f>
        <x:v>4</x:v>
      </x:c>
      <x:c r="N77" s="432" t="n">
        <x:f>IF(D77="seconds",IF(AND(ISNUMBER($B$177),$B$177&gt;0),G77/$B$177,""),IF(D77="reps/leg",G77*2,G77))</x:f>
        <x:v>24</x:v>
      </x:c>
      <x:c r="O77" s="432" t="n">
        <x:f>IF(COUNT(M77:N77)&lt;&gt;2,"",M77*N77)</x:f>
        <x:v>96</x:v>
      </x:c>
      <x:c r="P77" s="432"/>
      <x:c r="Q77" s="432"/>
      <x:c r="R77" s="400"/>
      <x:c r="S77" s="400"/>
      <x:c r="T77"/>
      <x:c r="U77"/>
      <x:c r="V77"/>
      <x:c r="W77"/>
      <x:c r="X77"/>
      <x:c r="Y77"/>
      <x:c r="Z77"/>
      <x:c r="AA77"/>
      <x:c r="AB77"/>
    </x:row>
    <x:row r="78" ht="38" hidden="0" customHeight="1">
      <x:c r="A78" s="402" t="n">
        <x:f>Daily!A23</x:f>
        <x:v>46356.5</x:v>
      </x:c>
      <x:c r="B78" s="391" t="str">
        <x:f>Daily!D23</x:f>
        <x:v>Skill A + Cal-Intervals</x:v>
      </x:c>
      <x:c r="C78" s="400" t="str">
        <x:v>Cal-Intervals</x:v>
      </x:c>
      <x:c r="D78" s="400" t="str">
        <x:v>rounds</x:v>
      </x:c>
      <x:c r="E78" s="400" t="n">
        <x:v>1</x:v>
      </x:c>
      <x:c r="F78" s="400" t="n">
        <x:v>5</x:v>
      </x:c>
      <x:c r="G78" s="400" t="n">
        <x:v>5</x:v>
      </x:c>
      <x:c r="H78" s="400" t="str">
        <x:f>IF(AND(OR(Daily!Z23=TRUE,Daily!AB23=TRUE),ISNUMBER(Daily!AA23)),Daily!AA23,"")</x:f>
      </x:c>
      <x:c r="I78" s="432" t="str">
        <x:f>IF(AND(ISNUMBER(H78),G78&gt;0),100*H78/G78,"")</x:f>
      </x:c>
      <x:c r="J78" s="432" t="n">
        <x:f>IF(OR(COUNT(Library!F67:F70)&lt;&gt;4,COUNT(Library!E67:E70)&lt;&gt;4,SUM(Library!E67:E70)=0),"",SUM(Library!F67:F70)/SUM(Library!E67:E70))</x:f>
        <x:v>5</x:v>
      </x:c>
      <x:c r="K78" s="433"/>
      <x:c r="L78" s="434"/>
      <x:c r="M78" s="432" t="n">
        <x:f>IF(ISNUMBER(J78),J78,"")</x:f>
        <x:v>5</x:v>
      </x:c>
      <x:c r="N78" s="432" t="n">
        <x:f>IF(COUNT(Library!E67:E70)&lt;&gt;4,"",G78*SUM(Library!E67:E70))</x:f>
        <x:v>200</x:v>
      </x:c>
      <x:c r="O78" s="432" t="n">
        <x:f>IF(COUNT(Library!F67:F70)&lt;&gt;4,"",G78*SUM(Library!F67:F70))</x:f>
        <x:v>1000</x:v>
      </x:c>
      <x:c r="P78" s="432"/>
      <x:c r="Q78" s="432"/>
      <x:c r="R78" s="400"/>
      <x:c r="S78" s="400"/>
      <x:c r="T78"/>
      <x:c r="U78"/>
      <x:c r="V78"/>
      <x:c r="W78"/>
      <x:c r="X78"/>
      <x:c r="Y78"/>
      <x:c r="Z78"/>
      <x:c r="AA78"/>
      <x:c r="AB78"/>
    </x:row>
    <x:row r="79" ht="38" hidden="0" customHeight="1">
      <x:c r="A79" s="402" t="n">
        <x:f>Daily!A24</x:f>
        <x:v>46357.5</x:v>
      </x:c>
      <x:c r="B79" s="391" t="str">
        <x:f>Daily!D24</x:f>
        <x:v>Handstand technique</x:v>
      </x:c>
      <x:c r="C79" s="400" t="str">
        <x:v>Wrist/shoulder mobility</x:v>
      </x:c>
      <x:c r="D79" s="400" t="str">
        <x:v>seconds</x:v>
      </x:c>
      <x:c r="E79" s="400" t="n">
        <x:v>1</x:v>
      </x:c>
      <x:c r="F79" s="400" t="n">
        <x:v>120</x:v>
      </x:c>
      <x:c r="G79" s="400" t="n">
        <x:f>E79*F79</x:f>
        <x:v>120</x:v>
      </x:c>
      <x:c r="H79" s="400" t="str">
        <x:f>IF(AND(OR(Daily!H24=TRUE,Daily!AB24=TRUE),COUNT(Daily!I24)&gt;0),SUM(Daily!I24)*86400,"")</x:f>
      </x:c>
      <x:c r="I79" s="432" t="str">
        <x:f>IF(AND(ISNUMBER(H79),ISNUMBER(G79),G79&gt;0),100*H79/G79,"")</x:f>
      </x:c>
      <x:c r="J79" s="432" t="n">
        <x:f>IF(COUNTIF(Library!$B$3:$B$58,C79)&lt;&gt;1,"",INDEX(Library!$C$3:$C$58,MATCH(C79,Library!$B$3:$B$58,0)))</x:f>
        <x:v>1</x:v>
      </x:c>
      <x:c r="K79" s="433" t="n">
        <x:f>IF(COUNTIFS(Loads!$A$3:$A$1000,"&gt;="&amp;INT(A79),Loads!$A$3:$A$1000,"&lt;"&amp;(INT(A79)+1),Loads!$B$3:$B$1000,B79,Loads!$C$3:$C$1000,C79)=0,0,IF(OR(COUNTIFS(Loads!$A$3:$A$1000,"&gt;="&amp;INT(A79),Loads!$A$3:$A$1000,"&lt;"&amp;(INT(A79)+1),Loads!$B$3:$B$1000,B79,Loads!$C$3:$C$1000,C79)&lt;&gt;1,COUNTIFS(Loads!$A$3:$A$1000,"&gt;="&amp;INT(A79),Loads!$A$3:$A$1000,"&lt;"&amp;(INT(A79)+1),Loads!$B$3:$B$1000,B79,Loads!$C$3:$C$1000,C79,Loads!$E$3:$E$1000,"&lt;&gt;")&lt;&gt;1),"",SUMIFS(Loads!$E$3:$E$1000,Loads!$A$3:$A$1000,"&gt;="&amp;INT(A79),Loads!$A$3:$A$1000,"&lt;"&amp;(INT(A79)+1),Loads!$B$3:$B$1000,B79,Loads!$C$3:$C$1000,C79)))</x:f>
        <x:v>0</x:v>
      </x:c>
      <x:c r="L79" s="434" t="n">
        <x:f>IF(COUNTIF(Library!$B$3:$B$58,C79)&lt;&gt;1,"",IF(COUNTIFS(Library!$B$3:$B$58,C79,Library!$E$3:$E$58,"&lt;&gt;")=0,0,INDEX(Library!$E$3:$E$58,MATCH(C79,Library!$B$3:$B$58,0))))</x:f>
        <x:v>0</x:v>
      </x:c>
      <x:c r="M79" s="432" t="n">
        <x:f>IF(OR(COUNT(J79:L79)&lt;&gt;3,J79&lt;0,J79&gt;10,K79&lt;0,L79&lt;0,COUNTIFS(Library!$B$3:$B$58,C79,Library!$D$3:$D$58,D79)&lt;&gt;1),"",MIN(10,J79*(1+K79*L79)))</x:f>
        <x:v>1</x:v>
      </x:c>
      <x:c r="N79" s="432" t="n">
        <x:f>IF(D79="seconds",IF(AND(ISNUMBER($B$177),$B$177&gt;0),G79/$B$177,""),IF(D79="reps/leg",G79*2,G79))</x:f>
        <x:v>40</x:v>
      </x:c>
      <x:c r="O79" s="432" t="n">
        <x:f>IF(COUNT(M79:N79)&lt;&gt;2,"",M79*N79)</x:f>
        <x:v>40</x:v>
      </x:c>
      <x:c r="P79" s="432" t="n">
        <x:f>IF(COUNT(O79:O81)&lt;&gt;COUNT(N79:N81),"",IF(SUM(N79:N81)=0,0,ROUND(SUM(O79:O81)/SUM(N79:N81),1)))</x:f>
        <x:v>1</x:v>
      </x:c>
      <x:c r="Q79" s="432" t="str">
        <x:f>IF(COUNT(I79:I81)=0,"",MEDIAN(I79:I81))</x:f>
      </x:c>
      <x:c r="R79" s="400" t="n">
        <x:f>COUNT(I79:I81)</x:f>
        <x:v>0</x:v>
      </x:c>
      <x:c r="S79" s="400" t="n">
        <x:v>3</x:v>
      </x:c>
      <x:c r="T79"/>
      <x:c r="U79"/>
      <x:c r="V79"/>
      <x:c r="W79"/>
      <x:c r="X79"/>
      <x:c r="Y79"/>
      <x:c r="Z79"/>
      <x:c r="AA79"/>
      <x:c r="AB79"/>
    </x:row>
    <x:row r="80" ht="38" hidden="0" customHeight="1">
      <x:c r="A80" s="402" t="n">
        <x:f>Daily!A24</x:f>
        <x:v>46357.5</x:v>
      </x:c>
      <x:c r="B80" s="391" t="str">
        <x:f>Daily!D24</x:f>
        <x:v>Handstand technique</x:v>
      </x:c>
      <x:c r="C80" s="400" t="str">
        <x:v>Easy chest-to-wall hold</x:v>
      </x:c>
      <x:c r="D80" s="400" t="str">
        <x:v>seconds</x:v>
      </x:c>
      <x:c r="E80" s="400" t="n">
        <x:v>3</x:v>
      </x:c>
      <x:c r="F80" s="400" t="n">
        <x:v>15</x:v>
      </x:c>
      <x:c r="G80" s="400" t="n">
        <x:f>E80*F80</x:f>
        <x:v>45</x:v>
      </x:c>
      <x:c r="H80" s="400" t="str">
        <x:f>IF(AND(OR(Daily!N24=TRUE,Daily!AB24=TRUE),COUNT(Daily!O24,Daily!P24,Daily!Q24)&gt;0),SUM(Daily!O24,Daily!P24,Daily!Q24)*86400,"")</x:f>
      </x:c>
      <x:c r="I80" s="432" t="str">
        <x:f>IF(AND(ISNUMBER(H80),ISNUMBER(G80),G80&gt;0),100*H80/G80,"")</x:f>
      </x:c>
      <x:c r="J80" s="432" t="n">
        <x:f>IF(COUNTIF(Library!$B$3:$B$58,C80)&lt;&gt;1,"",INDEX(Library!$C$3:$C$58,MATCH(C80,Library!$B$3:$B$58,0)))</x:f>
        <x:v>1</x:v>
      </x:c>
      <x:c r="K80" s="433" t="n">
        <x:f>IF(COUNTIFS(Loads!$A$3:$A$1000,"&gt;="&amp;INT(A80),Loads!$A$3:$A$1000,"&lt;"&amp;(INT(A80)+1),Loads!$B$3:$B$1000,B80,Loads!$C$3:$C$1000,C80)=0,0,IF(OR(COUNTIFS(Loads!$A$3:$A$1000,"&gt;="&amp;INT(A80),Loads!$A$3:$A$1000,"&lt;"&amp;(INT(A80)+1),Loads!$B$3:$B$1000,B80,Loads!$C$3:$C$1000,C80)&lt;&gt;1,COUNTIFS(Loads!$A$3:$A$1000,"&gt;="&amp;INT(A80),Loads!$A$3:$A$1000,"&lt;"&amp;(INT(A80)+1),Loads!$B$3:$B$1000,B80,Loads!$C$3:$C$1000,C80,Loads!$E$3:$E$1000,"&lt;&gt;")&lt;&gt;1),"",SUMIFS(Loads!$E$3:$E$1000,Loads!$A$3:$A$1000,"&gt;="&amp;INT(A80),Loads!$A$3:$A$1000,"&lt;"&amp;(INT(A80)+1),Loads!$B$3:$B$1000,B80,Loads!$C$3:$C$1000,C80)))</x:f>
        <x:v>0</x:v>
      </x:c>
      <x:c r="L80" s="434" t="n">
        <x:f>IF(COUNTIF(Library!$B$3:$B$58,C80)&lt;&gt;1,"",IF(COUNTIFS(Library!$B$3:$B$58,C80,Library!$E$3:$E$58,"&lt;&gt;")=0,0,INDEX(Library!$E$3:$E$58,MATCH(C80,Library!$B$3:$B$58,0))))</x:f>
        <x:v>0</x:v>
      </x:c>
      <x:c r="M80" s="432" t="n">
        <x:f>IF(OR(COUNT(J80:L80)&lt;&gt;3,J80&lt;0,J80&gt;10,K80&lt;0,L80&lt;0,COUNTIFS(Library!$B$3:$B$58,C80,Library!$D$3:$D$58,D80)&lt;&gt;1),"",MIN(10,J80*(1+K80*L80)))</x:f>
        <x:v>1</x:v>
      </x:c>
      <x:c r="N80" s="432" t="n">
        <x:f>IF(D80="seconds",IF(AND(ISNUMBER($B$177),$B$177&gt;0),G80/$B$177,""),IF(D80="reps/leg",G80*2,G80))</x:f>
        <x:v>15</x:v>
      </x:c>
      <x:c r="O80" s="432" t="n">
        <x:f>IF(COUNT(M80:N80)&lt;&gt;2,"",M80*N80)</x:f>
        <x:v>15</x:v>
      </x:c>
      <x:c r="P80" s="432"/>
      <x:c r="Q80" s="432"/>
      <x:c r="R80" s="400"/>
      <x:c r="S80" s="400"/>
      <x:c r="T80"/>
      <x:c r="U80"/>
      <x:c r="V80"/>
      <x:c r="W80"/>
      <x:c r="X80"/>
      <x:c r="Y80"/>
      <x:c r="Z80"/>
      <x:c r="AA80"/>
      <x:c r="AB80"/>
    </x:row>
    <x:row r="81" ht="38" hidden="0" customHeight="1">
      <x:c r="A81" s="402" t="n">
        <x:f>Daily!A24</x:f>
        <x:v>46357.5</x:v>
      </x:c>
      <x:c r="B81" s="391" t="str">
        <x:f>Daily!D24</x:f>
        <x:v>Handstand technique</x:v>
      </x:c>
      <x:c r="C81" s="400" t="str">
        <x:v>Wall handstand line drill</x:v>
      </x:c>
      <x:c r="D81" s="400" t="str">
        <x:v>seconds</x:v>
      </x:c>
      <x:c r="E81" s="400" t="n">
        <x:v>2</x:v>
      </x:c>
      <x:c r="F81" s="400" t="n">
        <x:v>15</x:v>
      </x:c>
      <x:c r="G81" s="400" t="n">
        <x:f>E81*F81</x:f>
        <x:v>30</x:v>
      </x:c>
      <x:c r="H81" s="400" t="str">
        <x:f>IF(AND(OR(Daily!T24=TRUE,Daily!AB24=TRUE),COUNT(Daily!U24,Daily!V24)&gt;0),SUM(Daily!U24,Daily!V24)*86400,"")</x:f>
      </x:c>
      <x:c r="I81" s="432" t="str">
        <x:f>IF(AND(ISNUMBER(H81),ISNUMBER(G81),G81&gt;0),100*H81/G81,"")</x:f>
      </x:c>
      <x:c r="J81" s="432" t="n">
        <x:f>IF(COUNTIF(Library!$B$3:$B$58,C81)&lt;&gt;1,"",INDEX(Library!$C$3:$C$58,MATCH(C81,Library!$B$3:$B$58,0)))</x:f>
        <x:v>1</x:v>
      </x:c>
      <x:c r="K81" s="433" t="n">
        <x:f>IF(COUNTIFS(Loads!$A$3:$A$1000,"&gt;="&amp;INT(A81),Loads!$A$3:$A$1000,"&lt;"&amp;(INT(A81)+1),Loads!$B$3:$B$1000,B81,Loads!$C$3:$C$1000,C81)=0,0,IF(OR(COUNTIFS(Loads!$A$3:$A$1000,"&gt;="&amp;INT(A81),Loads!$A$3:$A$1000,"&lt;"&amp;(INT(A81)+1),Loads!$B$3:$B$1000,B81,Loads!$C$3:$C$1000,C81)&lt;&gt;1,COUNTIFS(Loads!$A$3:$A$1000,"&gt;="&amp;INT(A81),Loads!$A$3:$A$1000,"&lt;"&amp;(INT(A81)+1),Loads!$B$3:$B$1000,B81,Loads!$C$3:$C$1000,C81,Loads!$E$3:$E$1000,"&lt;&gt;")&lt;&gt;1),"",SUMIFS(Loads!$E$3:$E$1000,Loads!$A$3:$A$1000,"&gt;="&amp;INT(A81),Loads!$A$3:$A$1000,"&lt;"&amp;(INT(A81)+1),Loads!$B$3:$B$1000,B81,Loads!$C$3:$C$1000,C81)))</x:f>
        <x:v>0</x:v>
      </x:c>
      <x:c r="L81" s="434" t="n">
        <x:f>IF(COUNTIF(Library!$B$3:$B$58,C81)&lt;&gt;1,"",IF(COUNTIFS(Library!$B$3:$B$58,C81,Library!$E$3:$E$58,"&lt;&gt;")=0,0,INDEX(Library!$E$3:$E$58,MATCH(C81,Library!$B$3:$B$58,0))))</x:f>
        <x:v>0</x:v>
      </x:c>
      <x:c r="M81" s="432" t="n">
        <x:f>IF(OR(COUNT(J81:L81)&lt;&gt;3,J81&lt;0,J81&gt;10,K81&lt;0,L81&lt;0,COUNTIFS(Library!$B$3:$B$58,C81,Library!$D$3:$D$58,D81)&lt;&gt;1),"",MIN(10,J81*(1+K81*L81)))</x:f>
        <x:v>1</x:v>
      </x:c>
      <x:c r="N81" s="432" t="n">
        <x:f>IF(D81="seconds",IF(AND(ISNUMBER($B$177),$B$177&gt;0),G81/$B$177,""),IF(D81="reps/leg",G81*2,G81))</x:f>
        <x:v>10</x:v>
      </x:c>
      <x:c r="O81" s="432" t="n">
        <x:f>IF(COUNT(M81:N81)&lt;&gt;2,"",M81*N81)</x:f>
        <x:v>10</x:v>
      </x:c>
      <x:c r="P81" s="432"/>
      <x:c r="Q81" s="432"/>
      <x:c r="R81" s="400"/>
      <x:c r="S81" s="400"/>
      <x:c r="T81"/>
      <x:c r="U81"/>
      <x:c r="V81"/>
      <x:c r="W81"/>
      <x:c r="X81"/>
      <x:c r="Y81"/>
      <x:c r="Z81"/>
      <x:c r="AA81"/>
      <x:c r="AB81"/>
    </x:row>
    <x:row r="82" ht="38" hidden="0" customHeight="1">
      <x:c r="A82" s="402" t="n">
        <x:f>Daily!A25</x:f>
        <x:v>46359.5</x:v>
      </x:c>
      <x:c r="B82" s="391" t="str">
        <x:f>Daily!D25</x:f>
        <x:v>Skill B + Cal-Intervals</x:v>
      </x:c>
      <x:c r="C82" s="400" t="str">
        <x:v>Partial wall HSPU</x:v>
      </x:c>
      <x:c r="D82" s="400" t="str">
        <x:v>reps</x:v>
      </x:c>
      <x:c r="E82" s="400" t="n">
        <x:v>3</x:v>
      </x:c>
      <x:c r="F82" s="400" t="n">
        <x:v>3</x:v>
      </x:c>
      <x:c r="G82" s="400" t="n">
        <x:f>E82*F82</x:f>
        <x:v>9</x:v>
      </x:c>
      <x:c r="H82" s="400" t="str">
        <x:f>IF(AND(OR(Daily!H25=TRUE,Daily!AB25=TRUE),COUNT(Daily!I25,Daily!J25,Daily!K25)&gt;0),SUM(Daily!I25,Daily!J25,Daily!K25),"")</x:f>
      </x:c>
      <x:c r="I82" s="432" t="str">
        <x:f>IF(AND(ISNUMBER(H82),ISNUMBER(G82),G82&gt;0),100*H82/G82,"")</x:f>
      </x:c>
      <x:c r="J82" s="432" t="n">
        <x:f>IF(COUNTIF(Library!$B$3:$B$58,C82)&lt;&gt;1,"",INDEX(Library!$C$3:$C$58,MATCH(C82,Library!$B$3:$B$58,0)))</x:f>
        <x:v>4</x:v>
      </x:c>
      <x:c r="K82" s="433" t="n">
        <x:f>IF(COUNTIFS(Loads!$A$3:$A$1000,"&gt;="&amp;INT(A82),Loads!$A$3:$A$1000,"&lt;"&amp;(INT(A82)+1),Loads!$B$3:$B$1000,B82,Loads!$C$3:$C$1000,C82)=0,0,IF(OR(COUNTIFS(Loads!$A$3:$A$1000,"&gt;="&amp;INT(A82),Loads!$A$3:$A$1000,"&lt;"&amp;(INT(A82)+1),Loads!$B$3:$B$1000,B82,Loads!$C$3:$C$1000,C82)&lt;&gt;1,COUNTIFS(Loads!$A$3:$A$1000,"&gt;="&amp;INT(A82),Loads!$A$3:$A$1000,"&lt;"&amp;(INT(A82)+1),Loads!$B$3:$B$1000,B82,Loads!$C$3:$C$1000,C82,Loads!$E$3:$E$1000,"&lt;&gt;")&lt;&gt;1),"",SUMIFS(Loads!$E$3:$E$1000,Loads!$A$3:$A$1000,"&gt;="&amp;INT(A82),Loads!$A$3:$A$1000,"&lt;"&amp;(INT(A82)+1),Loads!$B$3:$B$1000,B82,Loads!$C$3:$C$1000,C82)))</x:f>
        <x:v>0</x:v>
      </x:c>
      <x:c r="L82" s="434" t="n">
        <x:f>IF(COUNTIF(Library!$B$3:$B$58,C82)&lt;&gt;1,"",IF(COUNTIFS(Library!$B$3:$B$58,C82,Library!$E$3:$E$58,"&lt;&gt;")=0,0,INDEX(Library!$E$3:$E$58,MATCH(C82,Library!$B$3:$B$58,0))))</x:f>
        <x:v>0</x:v>
      </x:c>
      <x:c r="M82" s="432" t="n">
        <x:f>IF(OR(COUNT(J82:L82)&lt;&gt;3,J82&lt;0,J82&gt;10,K82&lt;0,L82&lt;0,COUNTIFS(Library!$B$3:$B$58,C82,Library!$D$3:$D$58,D82)&lt;&gt;1),"",MIN(10,J82*(1+K82*L82)))</x:f>
        <x:v>4</x:v>
      </x:c>
      <x:c r="N82" s="432" t="n">
        <x:f>IF(D82="seconds",IF(AND(ISNUMBER($B$177),$B$177&gt;0),G82/$B$177,""),IF(D82="reps/leg",G82*2,G82))</x:f>
        <x:v>9</x:v>
      </x:c>
      <x:c r="O82" s="432" t="n">
        <x:f>IF(COUNT(M82:N82)&lt;&gt;2,"",M82*N82)</x:f>
        <x:v>36</x:v>
      </x:c>
      <x:c r="P82" s="432" t="n">
        <x:f>IF(COUNT(O82:O85)&lt;&gt;COUNT(N82:N85),"",IF(SUM(N82:N85)=0,0,ROUND(SUM(O82:O85)/SUM(N82:N85),1)))</x:f>
        <x:v>4.9</x:v>
      </x:c>
      <x:c r="Q82" s="432" t="str">
        <x:f>IF(COUNT(I82:I85)=0,"",MEDIAN(I82:I85))</x:f>
      </x:c>
      <x:c r="R82" s="400" t="n">
        <x:f>COUNT(I82:I85)</x:f>
        <x:v>0</x:v>
      </x:c>
      <x:c r="S82" s="400" t="n">
        <x:v>4</x:v>
      </x:c>
      <x:c r="T82"/>
      <x:c r="U82"/>
      <x:c r="V82"/>
      <x:c r="W82"/>
      <x:c r="X82"/>
      <x:c r="Y82"/>
      <x:c r="Z82"/>
      <x:c r="AA82"/>
      <x:c r="AB82"/>
    </x:row>
    <x:row r="83" ht="38" hidden="0" customHeight="1">
      <x:c r="A83" s="402" t="n">
        <x:f>Daily!A25</x:f>
        <x:v>46359.5</x:v>
      </x:c>
      <x:c r="B83" s="391" t="str">
        <x:f>Daily!D25</x:f>
        <x:v>Skill B + Cal-Intervals</x:v>
      </x:c>
      <x:c r="C83" s="400" t="str">
        <x:v>Wall HSPU negative</x:v>
      </x:c>
      <x:c r="D83" s="400" t="str">
        <x:v>reps</x:v>
      </x:c>
      <x:c r="E83" s="400" t="n">
        <x:v>3</x:v>
      </x:c>
      <x:c r="F83" s="400" t="n">
        <x:v>2</x:v>
      </x:c>
      <x:c r="G83" s="400" t="n">
        <x:f>E83*F83</x:f>
        <x:v>6</x:v>
      </x:c>
      <x:c r="H83" s="400" t="str">
        <x:f>IF(AND(OR(Daily!T25=TRUE,Daily!AB25=TRUE),COUNT(Daily!U25,Daily!V25,Daily!W25)&gt;0),SUM(Daily!U25,Daily!V25,Daily!W25),"")</x:f>
      </x:c>
      <x:c r="I83" s="432" t="str">
        <x:f>IF(AND(ISNUMBER(H83),ISNUMBER(G83),G83&gt;0),100*H83/G83,"")</x:f>
      </x:c>
      <x:c r="J83" s="432" t="n">
        <x:f>IF(COUNTIF(Library!$B$3:$B$58,C83)&lt;&gt;1,"",INDEX(Library!$C$3:$C$58,MATCH(C83,Library!$B$3:$B$58,0)))</x:f>
        <x:v>7</x:v>
      </x:c>
      <x:c r="K83" s="433" t="n">
        <x:f>IF(COUNTIFS(Loads!$A$3:$A$1000,"&gt;="&amp;INT(A83),Loads!$A$3:$A$1000,"&lt;"&amp;(INT(A83)+1),Loads!$B$3:$B$1000,B83,Loads!$C$3:$C$1000,C83)=0,0,IF(OR(COUNTIFS(Loads!$A$3:$A$1000,"&gt;="&amp;INT(A83),Loads!$A$3:$A$1000,"&lt;"&amp;(INT(A83)+1),Loads!$B$3:$B$1000,B83,Loads!$C$3:$C$1000,C83)&lt;&gt;1,COUNTIFS(Loads!$A$3:$A$1000,"&gt;="&amp;INT(A83),Loads!$A$3:$A$1000,"&lt;"&amp;(INT(A83)+1),Loads!$B$3:$B$1000,B83,Loads!$C$3:$C$1000,C83,Loads!$E$3:$E$1000,"&lt;&gt;")&lt;&gt;1),"",SUMIFS(Loads!$E$3:$E$1000,Loads!$A$3:$A$1000,"&gt;="&amp;INT(A83),Loads!$A$3:$A$1000,"&lt;"&amp;(INT(A83)+1),Loads!$B$3:$B$1000,B83,Loads!$C$3:$C$1000,C83)))</x:f>
        <x:v>0</x:v>
      </x:c>
      <x:c r="L83" s="434" t="n">
        <x:f>IF(COUNTIF(Library!$B$3:$B$58,C83)&lt;&gt;1,"",IF(COUNTIFS(Library!$B$3:$B$58,C83,Library!$E$3:$E$58,"&lt;&gt;")=0,0,INDEX(Library!$E$3:$E$58,MATCH(C83,Library!$B$3:$B$58,0))))</x:f>
        <x:v>0</x:v>
      </x:c>
      <x:c r="M83" s="432" t="n">
        <x:f>IF(OR(COUNT(J83:L83)&lt;&gt;3,J83&lt;0,J83&gt;10,K83&lt;0,L83&lt;0,COUNTIFS(Library!$B$3:$B$58,C83,Library!$D$3:$D$58,D83)&lt;&gt;1),"",MIN(10,J83*(1+K83*L83)))</x:f>
        <x:v>7</x:v>
      </x:c>
      <x:c r="N83" s="432" t="n">
        <x:f>IF(D83="seconds",IF(AND(ISNUMBER($B$177),$B$177&gt;0),G83/$B$177,""),IF(D83="reps/leg",G83*2,G83))</x:f>
        <x:v>6</x:v>
      </x:c>
      <x:c r="O83" s="432" t="n">
        <x:f>IF(COUNT(M83:N83)&lt;&gt;2,"",M83*N83)</x:f>
        <x:v>42</x:v>
      </x:c>
      <x:c r="P83" s="432"/>
      <x:c r="Q83" s="432"/>
      <x:c r="R83" s="400"/>
      <x:c r="S83" s="400"/>
      <x:c r="T83"/>
      <x:c r="U83"/>
      <x:c r="V83"/>
      <x:c r="W83"/>
      <x:c r="X83"/>
      <x:c r="Y83"/>
      <x:c r="Z83"/>
      <x:c r="AA83"/>
      <x:c r="AB83"/>
    </x:row>
    <x:row r="84" ht="38" hidden="0" customHeight="1">
      <x:c r="A84" s="402" t="n">
        <x:f>Daily!A25</x:f>
        <x:v>46359.5</x:v>
      </x:c>
      <x:c r="B84" s="391" t="str">
        <x:f>Daily!D25</x:f>
        <x:v>Skill B + Cal-Intervals</x:v>
      </x:c>
      <x:c r="C84" s="400" t="str">
        <x:v>Light-counterweight pistol</x:v>
      </x:c>
      <x:c r="D84" s="400" t="str">
        <x:v>reps/leg</x:v>
      </x:c>
      <x:c r="E84" s="400" t="n">
        <x:v>3</x:v>
      </x:c>
      <x:c r="F84" s="400" t="n">
        <x:v>4</x:v>
      </x:c>
      <x:c r="G84" s="400" t="n">
        <x:f>E84*F84</x:f>
        <x:v>12</x:v>
      </x:c>
      <x:c r="H84" s="400" t="str">
        <x:f>IF(AND(OR(Daily!Z25=TRUE,Daily!AB25=TRUE),COUNT(Daily!AA25)&gt;0),SUM(Daily!AA25),"")</x:f>
      </x:c>
      <x:c r="I84" s="432" t="str">
        <x:f>IF(AND(ISNUMBER(H84),ISNUMBER(G84),G84&gt;0),100*H84/G84,"")</x:f>
      </x:c>
      <x:c r="J84" s="432" t="n">
        <x:f>IF(COUNTIF(Library!$B$3:$B$58,C84)&lt;&gt;1,"",INDEX(Library!$C$3:$C$58,MATCH(C84,Library!$B$3:$B$58,0)))</x:f>
        <x:v>4</x:v>
      </x:c>
      <x:c r="K84" s="433" t="n">
        <x:f>IF(COUNTIFS(Loads!$A$3:$A$1000,"&gt;="&amp;INT(A84),Loads!$A$3:$A$1000,"&lt;"&amp;(INT(A84)+1),Loads!$B$3:$B$1000,B84,Loads!$C$3:$C$1000,C84)=0,0,IF(OR(COUNTIFS(Loads!$A$3:$A$1000,"&gt;="&amp;INT(A84),Loads!$A$3:$A$1000,"&lt;"&amp;(INT(A84)+1),Loads!$B$3:$B$1000,B84,Loads!$C$3:$C$1000,C84)&lt;&gt;1,COUNTIFS(Loads!$A$3:$A$1000,"&gt;="&amp;INT(A84),Loads!$A$3:$A$1000,"&lt;"&amp;(INT(A84)+1),Loads!$B$3:$B$1000,B84,Loads!$C$3:$C$1000,C84,Loads!$E$3:$E$1000,"&lt;&gt;")&lt;&gt;1),"",SUMIFS(Loads!$E$3:$E$1000,Loads!$A$3:$A$1000,"&gt;="&amp;INT(A84),Loads!$A$3:$A$1000,"&lt;"&amp;(INT(A84)+1),Loads!$B$3:$B$1000,B84,Loads!$C$3:$C$1000,C84)))</x:f>
        <x:v>0</x:v>
      </x:c>
      <x:c r="L84" s="434" t="n">
        <x:f>IF(COUNTIF(Library!$B$3:$B$58,C84)&lt;&gt;1,"",IF(COUNTIFS(Library!$B$3:$B$58,C84,Library!$E$3:$E$58,"&lt;&gt;")=0,0,INDEX(Library!$E$3:$E$58,MATCH(C84,Library!$B$3:$B$58,0))))</x:f>
        <x:v>0.03</x:v>
      </x:c>
      <x:c r="M84" s="432" t="n">
        <x:f>IF(OR(COUNT(J84:L84)&lt;&gt;3,J84&lt;0,J84&gt;10,K84&lt;0,L84&lt;0,COUNTIFS(Library!$B$3:$B$58,C84,Library!$D$3:$D$58,D84)&lt;&gt;1),"",MIN(10,J84*(1+K84*L84)))</x:f>
        <x:v>4</x:v>
      </x:c>
      <x:c r="N84" s="432" t="n">
        <x:f>IF(D84="seconds",IF(AND(ISNUMBER($B$177),$B$177&gt;0),G84/$B$177,""),IF(D84="reps/leg",G84*2,G84))</x:f>
        <x:v>24</x:v>
      </x:c>
      <x:c r="O84" s="432" t="n">
        <x:f>IF(COUNT(M84:N84)&lt;&gt;2,"",M84*N84)</x:f>
        <x:v>96</x:v>
      </x:c>
      <x:c r="P84" s="432"/>
      <x:c r="Q84" s="432"/>
      <x:c r="R84" s="400"/>
      <x:c r="S84" s="400"/>
      <x:c r="T84"/>
      <x:c r="U84"/>
      <x:c r="V84"/>
      <x:c r="W84"/>
      <x:c r="X84"/>
      <x:c r="Y84"/>
      <x:c r="Z84"/>
      <x:c r="AA84"/>
      <x:c r="AB84"/>
    </x:row>
    <x:row r="85" ht="38" hidden="0" customHeight="1">
      <x:c r="A85" s="402" t="n">
        <x:f>Daily!A25</x:f>
        <x:v>46359.5</x:v>
      </x:c>
      <x:c r="B85" s="391" t="str">
        <x:f>Daily!D25</x:f>
        <x:v>Skill B + Cal-Intervals</x:v>
      </x:c>
      <x:c r="C85" s="400" t="str">
        <x:v>Cal-Intervals</x:v>
      </x:c>
      <x:c r="D85" s="400" t="str">
        <x:v>rounds</x:v>
      </x:c>
      <x:c r="E85" s="400" t="n">
        <x:v>1</x:v>
      </x:c>
      <x:c r="F85" s="400" t="n">
        <x:v>5</x:v>
      </x:c>
      <x:c r="G85" s="400" t="n">
        <x:v>5</x:v>
      </x:c>
      <x:c r="H85" s="400" t="str">
        <x:f>IF(AND(OR(Daily!Z25=TRUE,Daily!AB25=TRUE),ISNUMBER(Daily!AA25)),Daily!AA25,"")</x:f>
      </x:c>
      <x:c r="I85" s="432" t="str">
        <x:f>IF(AND(ISNUMBER(H85),G85&gt;0),100*H85/G85,"")</x:f>
      </x:c>
      <x:c r="J85" s="432" t="n">
        <x:f>IF(OR(COUNT(Library!F67:F70)&lt;&gt;4,COUNT(Library!E67:E70)&lt;&gt;4,SUM(Library!E67:E70)=0),"",SUM(Library!F67:F70)/SUM(Library!E67:E70))</x:f>
        <x:v>5</x:v>
      </x:c>
      <x:c r="K85" s="433"/>
      <x:c r="L85" s="434"/>
      <x:c r="M85" s="432" t="n">
        <x:f>IF(ISNUMBER(J85),J85,"")</x:f>
        <x:v>5</x:v>
      </x:c>
      <x:c r="N85" s="432" t="n">
        <x:f>IF(COUNT(Library!E67:E70)&lt;&gt;4,"",G85*SUM(Library!E67:E70))</x:f>
        <x:v>200</x:v>
      </x:c>
      <x:c r="O85" s="432" t="n">
        <x:f>IF(COUNT(Library!F67:F70)&lt;&gt;4,"",G85*SUM(Library!F67:F70))</x:f>
        <x:v>1000</x:v>
      </x:c>
      <x:c r="P85" s="432"/>
      <x:c r="Q85" s="432"/>
      <x:c r="R85" s="400"/>
      <x:c r="S85" s="400"/>
      <x:c r="T85"/>
      <x:c r="U85"/>
      <x:c r="V85"/>
      <x:c r="W85"/>
      <x:c r="X85"/>
      <x:c r="Y85"/>
      <x:c r="Z85"/>
      <x:c r="AA85"/>
      <x:c r="AB85"/>
    </x:row>
    <x:row r="86" ht="38" hidden="0" customHeight="1">
      <x:c r="A86" s="402" t="n">
        <x:f>Daily!A26</x:f>
        <x:v>46361.5</x:v>
      </x:c>
      <x:c r="B86" s="391" t="str">
        <x:f>Daily!D26</x:f>
        <x:v>Skill micro-session</x:v>
      </x:c>
      <x:c r="C86" s="400" t="str">
        <x:v>Wrist/shoulder mobility</x:v>
      </x:c>
      <x:c r="D86" s="400" t="str">
        <x:v>seconds</x:v>
      </x:c>
      <x:c r="E86" s="400" t="n">
        <x:v>1</x:v>
      </x:c>
      <x:c r="F86" s="400" t="n">
        <x:v>120</x:v>
      </x:c>
      <x:c r="G86" s="400" t="n">
        <x:f>E86*F86</x:f>
        <x:v>120</x:v>
      </x:c>
      <x:c r="H86" s="400" t="str">
        <x:f>IF(AND(OR(Daily!H26=TRUE,Daily!AB26=TRUE),COUNT(Daily!I26)&gt;0),SUM(Daily!I26)*86400,"")</x:f>
      </x:c>
      <x:c r="I86" s="432" t="str">
        <x:f>IF(AND(ISNUMBER(H86),ISNUMBER(G86),G86&gt;0),100*H86/G86,"")</x:f>
      </x:c>
      <x:c r="J86" s="432" t="n">
        <x:f>IF(COUNTIF(Library!$B$3:$B$58,C86)&lt;&gt;1,"",INDEX(Library!$C$3:$C$58,MATCH(C86,Library!$B$3:$B$58,0)))</x:f>
        <x:v>1</x:v>
      </x:c>
      <x:c r="K86" s="433" t="n">
        <x:f>IF(COUNTIFS(Loads!$A$3:$A$1000,"&gt;="&amp;INT(A86),Loads!$A$3:$A$1000,"&lt;"&amp;(INT(A86)+1),Loads!$B$3:$B$1000,B86,Loads!$C$3:$C$1000,C86)=0,0,IF(OR(COUNTIFS(Loads!$A$3:$A$1000,"&gt;="&amp;INT(A86),Loads!$A$3:$A$1000,"&lt;"&amp;(INT(A86)+1),Loads!$B$3:$B$1000,B86,Loads!$C$3:$C$1000,C86)&lt;&gt;1,COUNTIFS(Loads!$A$3:$A$1000,"&gt;="&amp;INT(A86),Loads!$A$3:$A$1000,"&lt;"&amp;(INT(A86)+1),Loads!$B$3:$B$1000,B86,Loads!$C$3:$C$1000,C86,Loads!$E$3:$E$1000,"&lt;&gt;")&lt;&gt;1),"",SUMIFS(Loads!$E$3:$E$1000,Loads!$A$3:$A$1000,"&gt;="&amp;INT(A86),Loads!$A$3:$A$1000,"&lt;"&amp;(INT(A86)+1),Loads!$B$3:$B$1000,B86,Loads!$C$3:$C$1000,C86)))</x:f>
        <x:v>0</x:v>
      </x:c>
      <x:c r="L86" s="434" t="n">
        <x:f>IF(COUNTIF(Library!$B$3:$B$58,C86)&lt;&gt;1,"",IF(COUNTIFS(Library!$B$3:$B$58,C86,Library!$E$3:$E$58,"&lt;&gt;")=0,0,INDEX(Library!$E$3:$E$58,MATCH(C86,Library!$B$3:$B$58,0))))</x:f>
        <x:v>0</x:v>
      </x:c>
      <x:c r="M86" s="432" t="n">
        <x:f>IF(OR(COUNT(J86:L86)&lt;&gt;3,J86&lt;0,J86&gt;10,K86&lt;0,L86&lt;0,COUNTIFS(Library!$B$3:$B$58,C86,Library!$D$3:$D$58,D86)&lt;&gt;1),"",MIN(10,J86*(1+K86*L86)))</x:f>
        <x:v>1</x:v>
      </x:c>
      <x:c r="N86" s="432" t="n">
        <x:f>IF(D86="seconds",IF(AND(ISNUMBER($B$177),$B$177&gt;0),G86/$B$177,""),IF(D86="reps/leg",G86*2,G86))</x:f>
        <x:v>40</x:v>
      </x:c>
      <x:c r="O86" s="432" t="n">
        <x:f>IF(COUNT(M86:N86)&lt;&gt;2,"",M86*N86)</x:f>
        <x:v>40</x:v>
      </x:c>
      <x:c r="P86" s="432" t="n">
        <x:f>IF(COUNT(O86:O88)&lt;&gt;COUNT(N86:N88),"",IF(SUM(N86:N88)=0,0,ROUND(SUM(O86:O88)/SUM(N86:N88),1)))</x:f>
        <x:v>1</x:v>
      </x:c>
      <x:c r="Q86" s="432" t="str">
        <x:f>IF(COUNT(I86:I88)=0,"",MEDIAN(I86:I88))</x:f>
      </x:c>
      <x:c r="R86" s="400" t="n">
        <x:f>COUNT(I86:I88)</x:f>
        <x:v>0</x:v>
      </x:c>
      <x:c r="S86" s="400" t="n">
        <x:v>3</x:v>
      </x:c>
      <x:c r="T86"/>
      <x:c r="U86"/>
      <x:c r="V86"/>
      <x:c r="W86"/>
      <x:c r="X86"/>
      <x:c r="Y86"/>
      <x:c r="Z86"/>
      <x:c r="AA86"/>
      <x:c r="AB86"/>
    </x:row>
    <x:row r="87" ht="38" hidden="0" customHeight="1">
      <x:c r="A87" s="402" t="n">
        <x:f>Daily!A26</x:f>
        <x:v>46361.5</x:v>
      </x:c>
      <x:c r="B87" s="391" t="str">
        <x:f>Daily!D26</x:f>
        <x:v>Skill micro-session</x:v>
      </x:c>
      <x:c r="C87" s="400" t="str">
        <x:v>Easy chest-to-wall hold</x:v>
      </x:c>
      <x:c r="D87" s="400" t="str">
        <x:v>seconds</x:v>
      </x:c>
      <x:c r="E87" s="400" t="n">
        <x:v>3</x:v>
      </x:c>
      <x:c r="F87" s="400" t="n">
        <x:v>15</x:v>
      </x:c>
      <x:c r="G87" s="400" t="n">
        <x:f>E87*F87</x:f>
        <x:v>45</x:v>
      </x:c>
      <x:c r="H87" s="400" t="str">
        <x:f>IF(AND(OR(Daily!N26=TRUE,Daily!AB26=TRUE),COUNT(Daily!O26,Daily!P26,Daily!Q26)&gt;0),SUM(Daily!O26,Daily!P26,Daily!Q26)*86400,"")</x:f>
      </x:c>
      <x:c r="I87" s="432" t="str">
        <x:f>IF(AND(ISNUMBER(H87),ISNUMBER(G87),G87&gt;0),100*H87/G87,"")</x:f>
      </x:c>
      <x:c r="J87" s="432" t="n">
        <x:f>IF(COUNTIF(Library!$B$3:$B$58,C87)&lt;&gt;1,"",INDEX(Library!$C$3:$C$58,MATCH(C87,Library!$B$3:$B$58,0)))</x:f>
        <x:v>1</x:v>
      </x:c>
      <x:c r="K87" s="433" t="n">
        <x:f>IF(COUNTIFS(Loads!$A$3:$A$1000,"&gt;="&amp;INT(A87),Loads!$A$3:$A$1000,"&lt;"&amp;(INT(A87)+1),Loads!$B$3:$B$1000,B87,Loads!$C$3:$C$1000,C87)=0,0,IF(OR(COUNTIFS(Loads!$A$3:$A$1000,"&gt;="&amp;INT(A87),Loads!$A$3:$A$1000,"&lt;"&amp;(INT(A87)+1),Loads!$B$3:$B$1000,B87,Loads!$C$3:$C$1000,C87)&lt;&gt;1,COUNTIFS(Loads!$A$3:$A$1000,"&gt;="&amp;INT(A87),Loads!$A$3:$A$1000,"&lt;"&amp;(INT(A87)+1),Loads!$B$3:$B$1000,B87,Loads!$C$3:$C$1000,C87,Loads!$E$3:$E$1000,"&lt;&gt;")&lt;&gt;1),"",SUMIFS(Loads!$E$3:$E$1000,Loads!$A$3:$A$1000,"&gt;="&amp;INT(A87),Loads!$A$3:$A$1000,"&lt;"&amp;(INT(A87)+1),Loads!$B$3:$B$1000,B87,Loads!$C$3:$C$1000,C87)))</x:f>
        <x:v>0</x:v>
      </x:c>
      <x:c r="L87" s="434" t="n">
        <x:f>IF(COUNTIF(Library!$B$3:$B$58,C87)&lt;&gt;1,"",IF(COUNTIFS(Library!$B$3:$B$58,C87,Library!$E$3:$E$58,"&lt;&gt;")=0,0,INDEX(Library!$E$3:$E$58,MATCH(C87,Library!$B$3:$B$58,0))))</x:f>
        <x:v>0</x:v>
      </x:c>
      <x:c r="M87" s="432" t="n">
        <x:f>IF(OR(COUNT(J87:L87)&lt;&gt;3,J87&lt;0,J87&gt;10,K87&lt;0,L87&lt;0,COUNTIFS(Library!$B$3:$B$58,C87,Library!$D$3:$D$58,D87)&lt;&gt;1),"",MIN(10,J87*(1+K87*L87)))</x:f>
        <x:v>1</x:v>
      </x:c>
      <x:c r="N87" s="432" t="n">
        <x:f>IF(D87="seconds",IF(AND(ISNUMBER($B$177),$B$177&gt;0),G87/$B$177,""),IF(D87="reps/leg",G87*2,G87))</x:f>
        <x:v>15</x:v>
      </x:c>
      <x:c r="O87" s="432" t="n">
        <x:f>IF(COUNT(M87:N87)&lt;&gt;2,"",M87*N87)</x:f>
        <x:v>15</x:v>
      </x:c>
      <x:c r="P87" s="432"/>
      <x:c r="Q87" s="432"/>
      <x:c r="R87" s="400"/>
      <x:c r="S87" s="400"/>
      <x:c r="T87"/>
      <x:c r="U87"/>
      <x:c r="V87"/>
      <x:c r="W87"/>
      <x:c r="X87"/>
      <x:c r="Y87"/>
      <x:c r="Z87"/>
      <x:c r="AA87"/>
      <x:c r="AB87"/>
    </x:row>
    <x:row r="88" ht="38" hidden="0" customHeight="1">
      <x:c r="A88" s="402" t="n">
        <x:f>Daily!A26</x:f>
        <x:v>46361.5</x:v>
      </x:c>
      <x:c r="B88" s="391" t="str">
        <x:f>Daily!D26</x:f>
        <x:v>Skill micro-session</x:v>
      </x:c>
      <x:c r="C88" s="400" t="str">
        <x:v>Wall handstand line drill</x:v>
      </x:c>
      <x:c r="D88" s="400" t="str">
        <x:v>seconds</x:v>
      </x:c>
      <x:c r="E88" s="400" t="n">
        <x:v>3</x:v>
      </x:c>
      <x:c r="F88" s="400" t="n">
        <x:v>15</x:v>
      </x:c>
      <x:c r="G88" s="400" t="n">
        <x:f>E88*F88</x:f>
        <x:v>45</x:v>
      </x:c>
      <x:c r="H88" s="400" t="str">
        <x:f>IF(AND(OR(Daily!T26=TRUE,Daily!AB26=TRUE),COUNT(Daily!U26,Daily!V26,Daily!W26)&gt;0),SUM(Daily!U26,Daily!V26,Daily!W26)*86400,"")</x:f>
      </x:c>
      <x:c r="I88" s="432" t="str">
        <x:f>IF(AND(ISNUMBER(H88),ISNUMBER(G88),G88&gt;0),100*H88/G88,"")</x:f>
      </x:c>
      <x:c r="J88" s="432" t="n">
        <x:f>IF(COUNTIF(Library!$B$3:$B$58,C88)&lt;&gt;1,"",INDEX(Library!$C$3:$C$58,MATCH(C88,Library!$B$3:$B$58,0)))</x:f>
        <x:v>1</x:v>
      </x:c>
      <x:c r="K88" s="433" t="n">
        <x:f>IF(COUNTIFS(Loads!$A$3:$A$1000,"&gt;="&amp;INT(A88),Loads!$A$3:$A$1000,"&lt;"&amp;(INT(A88)+1),Loads!$B$3:$B$1000,B88,Loads!$C$3:$C$1000,C88)=0,0,IF(OR(COUNTIFS(Loads!$A$3:$A$1000,"&gt;="&amp;INT(A88),Loads!$A$3:$A$1000,"&lt;"&amp;(INT(A88)+1),Loads!$B$3:$B$1000,B88,Loads!$C$3:$C$1000,C88)&lt;&gt;1,COUNTIFS(Loads!$A$3:$A$1000,"&gt;="&amp;INT(A88),Loads!$A$3:$A$1000,"&lt;"&amp;(INT(A88)+1),Loads!$B$3:$B$1000,B88,Loads!$C$3:$C$1000,C88,Loads!$E$3:$E$1000,"&lt;&gt;")&lt;&gt;1),"",SUMIFS(Loads!$E$3:$E$1000,Loads!$A$3:$A$1000,"&gt;="&amp;INT(A88),Loads!$A$3:$A$1000,"&lt;"&amp;(INT(A88)+1),Loads!$B$3:$B$1000,B88,Loads!$C$3:$C$1000,C88)))</x:f>
        <x:v>0</x:v>
      </x:c>
      <x:c r="L88" s="434" t="n">
        <x:f>IF(COUNTIF(Library!$B$3:$B$58,C88)&lt;&gt;1,"",IF(COUNTIFS(Library!$B$3:$B$58,C88,Library!$E$3:$E$58,"&lt;&gt;")=0,0,INDEX(Library!$E$3:$E$58,MATCH(C88,Library!$B$3:$B$58,0))))</x:f>
        <x:v>0</x:v>
      </x:c>
      <x:c r="M88" s="432" t="n">
        <x:f>IF(OR(COUNT(J88:L88)&lt;&gt;3,J88&lt;0,J88&gt;10,K88&lt;0,L88&lt;0,COUNTIFS(Library!$B$3:$B$58,C88,Library!$D$3:$D$58,D88)&lt;&gt;1),"",MIN(10,J88*(1+K88*L88)))</x:f>
        <x:v>1</x:v>
      </x:c>
      <x:c r="N88" s="432" t="n">
        <x:f>IF(D88="seconds",IF(AND(ISNUMBER($B$177),$B$177&gt;0),G88/$B$177,""),IF(D88="reps/leg",G88*2,G88))</x:f>
        <x:v>15</x:v>
      </x:c>
      <x:c r="O88" s="432" t="n">
        <x:f>IF(COUNT(M88:N88)&lt;&gt;2,"",M88*N88)</x:f>
        <x:v>15</x:v>
      </x:c>
      <x:c r="P88" s="432"/>
      <x:c r="Q88" s="432"/>
      <x:c r="R88" s="400"/>
      <x:c r="S88" s="400"/>
      <x:c r="T88"/>
      <x:c r="U88"/>
      <x:c r="V88"/>
      <x:c r="W88"/>
      <x:c r="X88"/>
      <x:c r="Y88"/>
      <x:c r="Z88"/>
      <x:c r="AA88"/>
      <x:c r="AB88"/>
    </x:row>
    <x:row r="89" ht="38" hidden="0" customHeight="1">
      <x:c r="A89" s="402" t="n">
        <x:f>Daily!A27</x:f>
        <x:v>46363.5</x:v>
      </x:c>
      <x:c r="B89" s="391" t="str">
        <x:f>Daily!D27</x:f>
        <x:v>Skill A (weighted)</x:v>
      </x:c>
      <x:c r="C89" s="400" t="str">
        <x:v>Pull-up</x:v>
      </x:c>
      <x:c r="D89" s="400" t="str">
        <x:v>reps</x:v>
      </x:c>
      <x:c r="E89" s="400" t="n">
        <x:v>3</x:v>
      </x:c>
      <x:c r="F89" s="400" t="n">
        <x:v>3</x:v>
      </x:c>
      <x:c r="G89" s="400" t="n">
        <x:f>E89*F89</x:f>
        <x:v>9</x:v>
      </x:c>
      <x:c r="H89" s="400" t="str">
        <x:f>IF(AND(OR(Daily!H27=TRUE,Daily!AB27=TRUE),COUNT(Daily!I27,Daily!J27,Daily!K27)&gt;0),SUM(Daily!I27,Daily!J27,Daily!K27),"")</x:f>
      </x:c>
      <x:c r="I89" s="432" t="str">
        <x:f>IF(AND(ISNUMBER(H89),ISNUMBER(G89),G89&gt;0),100*H89/G89,"")</x:f>
      </x:c>
      <x:c r="J89" s="432" t="n">
        <x:f>IF(COUNTIF(Library!$B$3:$B$58,C89)&lt;&gt;1,"",INDEX(Library!$C$3:$C$58,MATCH(C89,Library!$B$3:$B$58,0)))</x:f>
        <x:v>6</x:v>
      </x:c>
      <x:c r="K89" s="433" t="n">
        <x:f>IF(COUNTIFS(Loads!$A$3:$A$1000,"&gt;="&amp;INT(A89),Loads!$A$3:$A$1000,"&lt;"&amp;(INT(A89)+1),Loads!$B$3:$B$1000,B89,Loads!$C$3:$C$1000,C89)=0,0,IF(OR(COUNTIFS(Loads!$A$3:$A$1000,"&gt;="&amp;INT(A89),Loads!$A$3:$A$1000,"&lt;"&amp;(INT(A89)+1),Loads!$B$3:$B$1000,B89,Loads!$C$3:$C$1000,C89)&lt;&gt;1,COUNTIFS(Loads!$A$3:$A$1000,"&gt;="&amp;INT(A89),Loads!$A$3:$A$1000,"&lt;"&amp;(INT(A89)+1),Loads!$B$3:$B$1000,B89,Loads!$C$3:$C$1000,C89,Loads!$E$3:$E$1000,"&lt;&gt;")&lt;&gt;1),"",SUMIFS(Loads!$E$3:$E$1000,Loads!$A$3:$A$1000,"&gt;="&amp;INT(A89),Loads!$A$3:$A$1000,"&lt;"&amp;(INT(A89)+1),Loads!$B$3:$B$1000,B89,Loads!$C$3:$C$1000,C89)))</x:f>
        <x:v>6</x:v>
      </x:c>
      <x:c r="L89" s="434" t="n">
        <x:f>IF(COUNTIF(Library!$B$3:$B$58,C89)&lt;&gt;1,"",IF(COUNTIFS(Library!$B$3:$B$58,C89,Library!$E$3:$E$58,"&lt;&gt;")=0,0,INDEX(Library!$E$3:$E$58,MATCH(C89,Library!$B$3:$B$58,0))))</x:f>
        <x:v>0.04</x:v>
      </x:c>
      <x:c r="M89" s="432" t="n">
        <x:f>IF(OR(COUNT(J89:L89)&lt;&gt;3,J89&lt;0,J89&gt;10,K89&lt;0,L89&lt;0,COUNTIFS(Library!$B$3:$B$58,C89,Library!$D$3:$D$58,D89)&lt;&gt;1),"",MIN(10,J89*(1+K89*L89)))</x:f>
        <x:v>7.4399999999999995</x:v>
      </x:c>
      <x:c r="N89" s="432" t="n">
        <x:f>IF(D89="seconds",IF(AND(ISNUMBER($B$177),$B$177&gt;0),G89/$B$177,""),IF(D89="reps/leg",G89*2,G89))</x:f>
        <x:v>9</x:v>
      </x:c>
      <x:c r="O89" s="432" t="n">
        <x:f>IF(COUNT(M89:N89)&lt;&gt;2,"",M89*N89)</x:f>
        <x:v>66.96</x:v>
      </x:c>
      <x:c r="P89" s="432" t="n">
        <x:f>IF(COUNT(O89:O92)&lt;&gt;COUNT(N89:N92),"",IF(SUM(N89:N92)=0,0,ROUND(SUM(O89:O92)/SUM(N89:N92),1)))</x:f>
        <x:v>5</x:v>
      </x:c>
      <x:c r="Q89" s="432" t="str">
        <x:f>IF(COUNT(I89:I92)=0,"",MEDIAN(I89:I92))</x:f>
      </x:c>
      <x:c r="R89" s="400" t="n">
        <x:f>COUNT(I89:I92)</x:f>
        <x:v>0</x:v>
      </x:c>
      <x:c r="S89" s="400" t="n">
        <x:v>4</x:v>
      </x:c>
      <x:c r="T89"/>
      <x:c r="U89"/>
      <x:c r="V89"/>
      <x:c r="W89"/>
      <x:c r="X89"/>
      <x:c r="Y89"/>
      <x:c r="Z89"/>
      <x:c r="AA89"/>
      <x:c r="AB89"/>
    </x:row>
    <x:row r="90" ht="38" hidden="0" customHeight="1">
      <x:c r="A90" s="402" t="n">
        <x:f>Daily!A27</x:f>
        <x:v>46363.5</x:v>
      </x:c>
      <x:c r="B90" s="391" t="str">
        <x:f>Daily!D27</x:f>
        <x:v>Skill A (weighted)</x:v>
      </x:c>
      <x:c r="C90" s="400" t="str">
        <x:v>Dip</x:v>
      </x:c>
      <x:c r="D90" s="400" t="str">
        <x:v>reps</x:v>
      </x:c>
      <x:c r="E90" s="400" t="n">
        <x:v>3</x:v>
      </x:c>
      <x:c r="F90" s="400" t="n">
        <x:v>5</x:v>
      </x:c>
      <x:c r="G90" s="400" t="n">
        <x:f>E90*F90</x:f>
        <x:v>15</x:v>
      </x:c>
      <x:c r="H90" s="400" t="str">
        <x:f>IF(AND(OR(Daily!N27=TRUE,Daily!AB27=TRUE),COUNT(Daily!O27,Daily!P27,Daily!Q27)&gt;0),SUM(Daily!O27,Daily!P27,Daily!Q27),"")</x:f>
      </x:c>
      <x:c r="I90" s="432" t="str">
        <x:f>IF(AND(ISNUMBER(H90),ISNUMBER(G90),G90&gt;0),100*H90/G90,"")</x:f>
      </x:c>
      <x:c r="J90" s="432" t="n">
        <x:f>IF(COUNTIF(Library!$B$3:$B$58,C90)&lt;&gt;1,"",INDEX(Library!$C$3:$C$58,MATCH(C90,Library!$B$3:$B$58,0)))</x:f>
        <x:v>4</x:v>
      </x:c>
      <x:c r="K90" s="433" t="n">
        <x:f>IF(COUNTIFS(Loads!$A$3:$A$1000,"&gt;="&amp;INT(A90),Loads!$A$3:$A$1000,"&lt;"&amp;(INT(A90)+1),Loads!$B$3:$B$1000,B90,Loads!$C$3:$C$1000,C90)=0,0,IF(OR(COUNTIFS(Loads!$A$3:$A$1000,"&gt;="&amp;INT(A90),Loads!$A$3:$A$1000,"&lt;"&amp;(INT(A90)+1),Loads!$B$3:$B$1000,B90,Loads!$C$3:$C$1000,C90)&lt;&gt;1,COUNTIFS(Loads!$A$3:$A$1000,"&gt;="&amp;INT(A90),Loads!$A$3:$A$1000,"&lt;"&amp;(INT(A90)+1),Loads!$B$3:$B$1000,B90,Loads!$C$3:$C$1000,C90,Loads!$E$3:$E$1000,"&lt;&gt;")&lt;&gt;1),"",SUMIFS(Loads!$E$3:$E$1000,Loads!$A$3:$A$1000,"&gt;="&amp;INT(A90),Loads!$A$3:$A$1000,"&lt;"&amp;(INT(A90)+1),Loads!$B$3:$B$1000,B90,Loads!$C$3:$C$1000,C90)))</x:f>
        <x:v>6</x:v>
      </x:c>
      <x:c r="L90" s="434" t="n">
        <x:f>IF(COUNTIF(Library!$B$3:$B$58,C90)&lt;&gt;1,"",IF(COUNTIFS(Library!$B$3:$B$58,C90,Library!$E$3:$E$58,"&lt;&gt;")=0,0,INDEX(Library!$E$3:$E$58,MATCH(C90,Library!$B$3:$B$58,0))))</x:f>
        <x:v>0.02</x:v>
      </x:c>
      <x:c r="M90" s="432" t="n">
        <x:f>IF(OR(COUNT(J90:L90)&lt;&gt;3,J90&lt;0,J90&gt;10,K90&lt;0,L90&lt;0,COUNTIFS(Library!$B$3:$B$58,C90,Library!$D$3:$D$58,D90)&lt;&gt;1),"",MIN(10,J90*(1+K90*L90)))</x:f>
        <x:v>4.48</x:v>
      </x:c>
      <x:c r="N90" s="432" t="n">
        <x:f>IF(D90="seconds",IF(AND(ISNUMBER($B$177),$B$177&gt;0),G90/$B$177,""),IF(D90="reps/leg",G90*2,G90))</x:f>
        <x:v>15</x:v>
      </x:c>
      <x:c r="O90" s="432" t="n">
        <x:f>IF(COUNT(M90:N90)&lt;&gt;2,"",M90*N90)</x:f>
        <x:v>67.2</x:v>
      </x:c>
      <x:c r="P90" s="432"/>
      <x:c r="Q90" s="432"/>
      <x:c r="R90" s="400"/>
      <x:c r="S90" s="400"/>
      <x:c r="T90"/>
      <x:c r="U90"/>
      <x:c r="V90"/>
      <x:c r="W90"/>
      <x:c r="X90"/>
      <x:c r="Y90"/>
      <x:c r="Z90"/>
      <x:c r="AA90"/>
      <x:c r="AB90"/>
    </x:row>
    <x:row r="91" ht="38" hidden="0" customHeight="1">
      <x:c r="A91" s="402" t="n">
        <x:f>Daily!A27</x:f>
        <x:v>46363.5</x:v>
      </x:c>
      <x:c r="B91" s="391" t="str">
        <x:f>Daily!D27</x:f>
        <x:v>Skill A (weighted)</x:v>
      </x:c>
      <x:c r="C91" s="400" t="str">
        <x:v>Unassisted pistol to target</x:v>
      </x:c>
      <x:c r="D91" s="400" t="str">
        <x:v>reps/leg</x:v>
      </x:c>
      <x:c r="E91" s="400" t="n">
        <x:v>3</x:v>
      </x:c>
      <x:c r="F91" s="400" t="n">
        <x:v>1</x:v>
      </x:c>
      <x:c r="G91" s="400" t="n">
        <x:f>E91*F91</x:f>
        <x:v>3</x:v>
      </x:c>
      <x:c r="H91" s="400" t="str">
        <x:f>IF(AND(OR(Daily!T27=TRUE,Daily!AB27=TRUE),COUNT(Daily!U27,Daily!V27,Daily!W27)&gt;0),SUM(Daily!U27,Daily!V27,Daily!W27),"")</x:f>
      </x:c>
      <x:c r="I91" s="432" t="str">
        <x:f>IF(AND(ISNUMBER(H91),ISNUMBER(G91),G91&gt;0),100*H91/G91,"")</x:f>
      </x:c>
      <x:c r="J91" s="432" t="n">
        <x:f>IF(COUNTIF(Library!$B$3:$B$58,C91)&lt;&gt;1,"",INDEX(Library!$C$3:$C$58,MATCH(C91,Library!$B$3:$B$58,0)))</x:f>
        <x:v>2</x:v>
      </x:c>
      <x:c r="K91" s="433" t="n">
        <x:f>IF(COUNTIFS(Loads!$A$3:$A$1000,"&gt;="&amp;INT(A91),Loads!$A$3:$A$1000,"&lt;"&amp;(INT(A91)+1),Loads!$B$3:$B$1000,B91,Loads!$C$3:$C$1000,C91)=0,0,IF(OR(COUNTIFS(Loads!$A$3:$A$1000,"&gt;="&amp;INT(A91),Loads!$A$3:$A$1000,"&lt;"&amp;(INT(A91)+1),Loads!$B$3:$B$1000,B91,Loads!$C$3:$C$1000,C91)&lt;&gt;1,COUNTIFS(Loads!$A$3:$A$1000,"&gt;="&amp;INT(A91),Loads!$A$3:$A$1000,"&lt;"&amp;(INT(A91)+1),Loads!$B$3:$B$1000,B91,Loads!$C$3:$C$1000,C91,Loads!$E$3:$E$1000,"&lt;&gt;")&lt;&gt;1),"",SUMIFS(Loads!$E$3:$E$1000,Loads!$A$3:$A$1000,"&gt;="&amp;INT(A91),Loads!$A$3:$A$1000,"&lt;"&amp;(INT(A91)+1),Loads!$B$3:$B$1000,B91,Loads!$C$3:$C$1000,C91)))</x:f>
        <x:v>0</x:v>
      </x:c>
      <x:c r="L91" s="434" t="n">
        <x:f>IF(COUNTIF(Library!$B$3:$B$58,C91)&lt;&gt;1,"",IF(COUNTIFS(Library!$B$3:$B$58,C91,Library!$E$3:$E$58,"&lt;&gt;")=0,0,INDEX(Library!$E$3:$E$58,MATCH(C91,Library!$B$3:$B$58,0))))</x:f>
        <x:v>0.03</x:v>
      </x:c>
      <x:c r="M91" s="432" t="n">
        <x:f>IF(OR(COUNT(J91:L91)&lt;&gt;3,J91&lt;0,J91&gt;10,K91&lt;0,L91&lt;0,COUNTIFS(Library!$B$3:$B$58,C91,Library!$D$3:$D$58,D91)&lt;&gt;1),"",MIN(10,J91*(1+K91*L91)))</x:f>
        <x:v>2</x:v>
      </x:c>
      <x:c r="N91" s="432" t="n">
        <x:f>IF(D91="seconds",IF(AND(ISNUMBER($B$177),$B$177&gt;0),G91/$B$177,""),IF(D91="reps/leg",G91*2,G91))</x:f>
        <x:v>6</x:v>
      </x:c>
      <x:c r="O91" s="432" t="n">
        <x:f>IF(COUNT(M91:N91)&lt;&gt;2,"",M91*N91)</x:f>
        <x:v>12</x:v>
      </x:c>
      <x:c r="P91" s="432"/>
      <x:c r="Q91" s="432"/>
      <x:c r="R91" s="400"/>
      <x:c r="S91" s="400"/>
      <x:c r="T91"/>
      <x:c r="U91"/>
      <x:c r="V91"/>
      <x:c r="W91"/>
      <x:c r="X91"/>
      <x:c r="Y91"/>
      <x:c r="Z91"/>
      <x:c r="AA91"/>
      <x:c r="AB91"/>
    </x:row>
    <x:row r="92" ht="38" hidden="0" customHeight="1">
      <x:c r="A92" s="402" t="n">
        <x:f>Daily!A27</x:f>
        <x:v>46363.5</x:v>
      </x:c>
      <x:c r="B92" s="391" t="str">
        <x:f>Daily!D27</x:f>
        <x:v>Skill A (weighted)</x:v>
      </x:c>
      <x:c r="C92" s="400" t="str">
        <x:v>Cal-Intervals</x:v>
      </x:c>
      <x:c r="D92" s="400" t="str">
        <x:v>rounds</x:v>
      </x:c>
      <x:c r="E92" s="400" t="n">
        <x:v>1</x:v>
      </x:c>
      <x:c r="F92" s="400" t="n">
        <x:v>5</x:v>
      </x:c>
      <x:c r="G92" s="400" t="n">
        <x:v>5</x:v>
      </x:c>
      <x:c r="H92" s="400" t="str">
        <x:f>IF(AND(OR(Daily!Z27=TRUE,Daily!AB27=TRUE),ISNUMBER(Daily!AA27)),Daily!AA27,"")</x:f>
      </x:c>
      <x:c r="I92" s="432" t="str">
        <x:f>IF(AND(ISNUMBER(H92),G92&gt;0),100*H92/G92,"")</x:f>
      </x:c>
      <x:c r="J92" s="432" t="n">
        <x:f>IF(OR(COUNT(Library!F67:F70)&lt;&gt;4,COUNT(Library!E67:E70)&lt;&gt;4,SUM(Library!E67:E70)=0),"",SUM(Library!F67:F70)/SUM(Library!E67:E70))</x:f>
        <x:v>5</x:v>
      </x:c>
      <x:c r="K92" s="433"/>
      <x:c r="L92" s="434"/>
      <x:c r="M92" s="432" t="n">
        <x:f>IF(ISNUMBER(J92),J92,"")</x:f>
        <x:v>5</x:v>
      </x:c>
      <x:c r="N92" s="432" t="n">
        <x:f>IF(COUNT(Library!E67:E70)&lt;&gt;4,"",G92*SUM(Library!E67:E70))</x:f>
        <x:v>200</x:v>
      </x:c>
      <x:c r="O92" s="432" t="n">
        <x:f>IF(COUNT(Library!F67:F70)&lt;&gt;4,"",G92*SUM(Library!F67:F70))</x:f>
        <x:v>1000</x:v>
      </x:c>
      <x:c r="P92" s="432"/>
      <x:c r="Q92" s="432"/>
      <x:c r="R92" s="400"/>
      <x:c r="S92" s="400"/>
      <x:c r="T92"/>
      <x:c r="U92"/>
      <x:c r="V92"/>
      <x:c r="W92"/>
      <x:c r="X92"/>
      <x:c r="Y92"/>
      <x:c r="Z92"/>
      <x:c r="AA92"/>
      <x:c r="AB92"/>
    </x:row>
    <x:row r="93" ht="38" hidden="0" customHeight="1">
      <x:c r="A93" s="402" t="n">
        <x:f>Daily!A28</x:f>
        <x:v>46364.5</x:v>
      </x:c>
      <x:c r="B93" s="391" t="str">
        <x:f>Daily!D28</x:f>
        <x:v>Handstand technique</x:v>
      </x:c>
      <x:c r="C93" s="400" t="str">
        <x:v>Wrist/shoulder mobility</x:v>
      </x:c>
      <x:c r="D93" s="400" t="str">
        <x:v>seconds</x:v>
      </x:c>
      <x:c r="E93" s="400" t="n">
        <x:v>1</x:v>
      </x:c>
      <x:c r="F93" s="400" t="n">
        <x:v>120</x:v>
      </x:c>
      <x:c r="G93" s="400" t="n">
        <x:f>E93*F93</x:f>
        <x:v>120</x:v>
      </x:c>
      <x:c r="H93" s="400" t="str">
        <x:f>IF(AND(OR(Daily!H28=TRUE,Daily!AB28=TRUE),COUNT(Daily!I28)&gt;0),SUM(Daily!I28)*86400,"")</x:f>
      </x:c>
      <x:c r="I93" s="432" t="str">
        <x:f>IF(AND(ISNUMBER(H93),ISNUMBER(G93),G93&gt;0),100*H93/G93,"")</x:f>
      </x:c>
      <x:c r="J93" s="432" t="n">
        <x:f>IF(COUNTIF(Library!$B$3:$B$58,C93)&lt;&gt;1,"",INDEX(Library!$C$3:$C$58,MATCH(C93,Library!$B$3:$B$58,0)))</x:f>
        <x:v>1</x:v>
      </x:c>
      <x:c r="K93" s="433" t="n">
        <x:f>IF(COUNTIFS(Loads!$A$3:$A$1000,"&gt;="&amp;INT(A93),Loads!$A$3:$A$1000,"&lt;"&amp;(INT(A93)+1),Loads!$B$3:$B$1000,B93,Loads!$C$3:$C$1000,C93)=0,0,IF(OR(COUNTIFS(Loads!$A$3:$A$1000,"&gt;="&amp;INT(A93),Loads!$A$3:$A$1000,"&lt;"&amp;(INT(A93)+1),Loads!$B$3:$B$1000,B93,Loads!$C$3:$C$1000,C93)&lt;&gt;1,COUNTIFS(Loads!$A$3:$A$1000,"&gt;="&amp;INT(A93),Loads!$A$3:$A$1000,"&lt;"&amp;(INT(A93)+1),Loads!$B$3:$B$1000,B93,Loads!$C$3:$C$1000,C93,Loads!$E$3:$E$1000,"&lt;&gt;")&lt;&gt;1),"",SUMIFS(Loads!$E$3:$E$1000,Loads!$A$3:$A$1000,"&gt;="&amp;INT(A93),Loads!$A$3:$A$1000,"&lt;"&amp;(INT(A93)+1),Loads!$B$3:$B$1000,B93,Loads!$C$3:$C$1000,C93)))</x:f>
        <x:v>0</x:v>
      </x:c>
      <x:c r="L93" s="434" t="n">
        <x:f>IF(COUNTIF(Library!$B$3:$B$58,C93)&lt;&gt;1,"",IF(COUNTIFS(Library!$B$3:$B$58,C93,Library!$E$3:$E$58,"&lt;&gt;")=0,0,INDEX(Library!$E$3:$E$58,MATCH(C93,Library!$B$3:$B$58,0))))</x:f>
        <x:v>0</x:v>
      </x:c>
      <x:c r="M93" s="432" t="n">
        <x:f>IF(OR(COUNT(J93:L93)&lt;&gt;3,J93&lt;0,J93&gt;10,K93&lt;0,L93&lt;0,COUNTIFS(Library!$B$3:$B$58,C93,Library!$D$3:$D$58,D93)&lt;&gt;1),"",MIN(10,J93*(1+K93*L93)))</x:f>
        <x:v>1</x:v>
      </x:c>
      <x:c r="N93" s="432" t="n">
        <x:f>IF(D93="seconds",IF(AND(ISNUMBER($B$177),$B$177&gt;0),G93/$B$177,""),IF(D93="reps/leg",G93*2,G93))</x:f>
        <x:v>40</x:v>
      </x:c>
      <x:c r="O93" s="432" t="n">
        <x:f>IF(COUNT(M93:N93)&lt;&gt;2,"",M93*N93)</x:f>
        <x:v>40</x:v>
      </x:c>
      <x:c r="P93" s="432" t="n">
        <x:f>IF(COUNT(O93:O95)&lt;&gt;COUNT(N93:N95),"",IF(SUM(N93:N95)=0,0,ROUND(SUM(O93:O95)/SUM(N93:N95),1)))</x:f>
        <x:v>1</x:v>
      </x:c>
      <x:c r="Q93" s="432" t="str">
        <x:f>IF(COUNT(I93:I95)=0,"",MEDIAN(I93:I95))</x:f>
      </x:c>
      <x:c r="R93" s="400" t="n">
        <x:f>COUNT(I93:I95)</x:f>
        <x:v>0</x:v>
      </x:c>
      <x:c r="S93" s="400" t="n">
        <x:v>3</x:v>
      </x:c>
      <x:c r="T93"/>
      <x:c r="U93"/>
      <x:c r="V93"/>
      <x:c r="W93"/>
      <x:c r="X93"/>
      <x:c r="Y93"/>
      <x:c r="Z93"/>
      <x:c r="AA93"/>
      <x:c r="AB93"/>
    </x:row>
    <x:row r="94" ht="38" hidden="0" customHeight="1">
      <x:c r="A94" s="402" t="n">
        <x:f>Daily!A28</x:f>
        <x:v>46364.5</x:v>
      </x:c>
      <x:c r="B94" s="391" t="str">
        <x:f>Daily!D28</x:f>
        <x:v>Handstand technique</x:v>
      </x:c>
      <x:c r="C94" s="400" t="str">
        <x:v>Easy chest-to-wall hold</x:v>
      </x:c>
      <x:c r="D94" s="400" t="str">
        <x:v>seconds</x:v>
      </x:c>
      <x:c r="E94" s="400" t="n">
        <x:v>3</x:v>
      </x:c>
      <x:c r="F94" s="400" t="n">
        <x:v>15</x:v>
      </x:c>
      <x:c r="G94" s="400" t="n">
        <x:f>E94*F94</x:f>
        <x:v>45</x:v>
      </x:c>
      <x:c r="H94" s="400" t="str">
        <x:f>IF(AND(OR(Daily!N28=TRUE,Daily!AB28=TRUE),COUNT(Daily!O28,Daily!P28,Daily!Q28)&gt;0),SUM(Daily!O28,Daily!P28,Daily!Q28)*86400,"")</x:f>
      </x:c>
      <x:c r="I94" s="432" t="str">
        <x:f>IF(AND(ISNUMBER(H94),ISNUMBER(G94),G94&gt;0),100*H94/G94,"")</x:f>
      </x:c>
      <x:c r="J94" s="432" t="n">
        <x:f>IF(COUNTIF(Library!$B$3:$B$58,C94)&lt;&gt;1,"",INDEX(Library!$C$3:$C$58,MATCH(C94,Library!$B$3:$B$58,0)))</x:f>
        <x:v>1</x:v>
      </x:c>
      <x:c r="K94" s="433" t="n">
        <x:f>IF(COUNTIFS(Loads!$A$3:$A$1000,"&gt;="&amp;INT(A94),Loads!$A$3:$A$1000,"&lt;"&amp;(INT(A94)+1),Loads!$B$3:$B$1000,B94,Loads!$C$3:$C$1000,C94)=0,0,IF(OR(COUNTIFS(Loads!$A$3:$A$1000,"&gt;="&amp;INT(A94),Loads!$A$3:$A$1000,"&lt;"&amp;(INT(A94)+1),Loads!$B$3:$B$1000,B94,Loads!$C$3:$C$1000,C94)&lt;&gt;1,COUNTIFS(Loads!$A$3:$A$1000,"&gt;="&amp;INT(A94),Loads!$A$3:$A$1000,"&lt;"&amp;(INT(A94)+1),Loads!$B$3:$B$1000,B94,Loads!$C$3:$C$1000,C94,Loads!$E$3:$E$1000,"&lt;&gt;")&lt;&gt;1),"",SUMIFS(Loads!$E$3:$E$1000,Loads!$A$3:$A$1000,"&gt;="&amp;INT(A94),Loads!$A$3:$A$1000,"&lt;"&amp;(INT(A94)+1),Loads!$B$3:$B$1000,B94,Loads!$C$3:$C$1000,C94)))</x:f>
        <x:v>0</x:v>
      </x:c>
      <x:c r="L94" s="434" t="n">
        <x:f>IF(COUNTIF(Library!$B$3:$B$58,C94)&lt;&gt;1,"",IF(COUNTIFS(Library!$B$3:$B$58,C94,Library!$E$3:$E$58,"&lt;&gt;")=0,0,INDEX(Library!$E$3:$E$58,MATCH(C94,Library!$B$3:$B$58,0))))</x:f>
        <x:v>0</x:v>
      </x:c>
      <x:c r="M94" s="432" t="n">
        <x:f>IF(OR(COUNT(J94:L94)&lt;&gt;3,J94&lt;0,J94&gt;10,K94&lt;0,L94&lt;0,COUNTIFS(Library!$B$3:$B$58,C94,Library!$D$3:$D$58,D94)&lt;&gt;1),"",MIN(10,J94*(1+K94*L94)))</x:f>
        <x:v>1</x:v>
      </x:c>
      <x:c r="N94" s="432" t="n">
        <x:f>IF(D94="seconds",IF(AND(ISNUMBER($B$177),$B$177&gt;0),G94/$B$177,""),IF(D94="reps/leg",G94*2,G94))</x:f>
        <x:v>15</x:v>
      </x:c>
      <x:c r="O94" s="432" t="n">
        <x:f>IF(COUNT(M94:N94)&lt;&gt;2,"",M94*N94)</x:f>
        <x:v>15</x:v>
      </x:c>
      <x:c r="P94" s="432"/>
      <x:c r="Q94" s="432"/>
      <x:c r="R94" s="400"/>
      <x:c r="S94" s="400"/>
      <x:c r="T94"/>
      <x:c r="U94"/>
      <x:c r="V94"/>
      <x:c r="W94"/>
      <x:c r="X94"/>
      <x:c r="Y94"/>
      <x:c r="Z94"/>
      <x:c r="AA94"/>
      <x:c r="AB94"/>
    </x:row>
    <x:row r="95" ht="38" hidden="0" customHeight="1">
      <x:c r="A95" s="402" t="n">
        <x:f>Daily!A28</x:f>
        <x:v>46364.5</x:v>
      </x:c>
      <x:c r="B95" s="391" t="str">
        <x:f>Daily!D28</x:f>
        <x:v>Handstand technique</x:v>
      </x:c>
      <x:c r="C95" s="400" t="str">
        <x:v>Wall handstand line drill</x:v>
      </x:c>
      <x:c r="D95" s="400" t="str">
        <x:v>seconds</x:v>
      </x:c>
      <x:c r="E95" s="400" t="n">
        <x:v>2</x:v>
      </x:c>
      <x:c r="F95" s="400" t="n">
        <x:v>15</x:v>
      </x:c>
      <x:c r="G95" s="400" t="n">
        <x:f>E95*F95</x:f>
        <x:v>30</x:v>
      </x:c>
      <x:c r="H95" s="400" t="str">
        <x:f>IF(AND(OR(Daily!T28=TRUE,Daily!AB28=TRUE),COUNT(Daily!U28,Daily!V28)&gt;0),SUM(Daily!U28,Daily!V28)*86400,"")</x:f>
      </x:c>
      <x:c r="I95" s="432" t="str">
        <x:f>IF(AND(ISNUMBER(H95),ISNUMBER(G95),G95&gt;0),100*H95/G95,"")</x:f>
      </x:c>
      <x:c r="J95" s="432" t="n">
        <x:f>IF(COUNTIF(Library!$B$3:$B$58,C95)&lt;&gt;1,"",INDEX(Library!$C$3:$C$58,MATCH(C95,Library!$B$3:$B$58,0)))</x:f>
        <x:v>1</x:v>
      </x:c>
      <x:c r="K95" s="433" t="n">
        <x:f>IF(COUNTIFS(Loads!$A$3:$A$1000,"&gt;="&amp;INT(A95),Loads!$A$3:$A$1000,"&lt;"&amp;(INT(A95)+1),Loads!$B$3:$B$1000,B95,Loads!$C$3:$C$1000,C95)=0,0,IF(OR(COUNTIFS(Loads!$A$3:$A$1000,"&gt;="&amp;INT(A95),Loads!$A$3:$A$1000,"&lt;"&amp;(INT(A95)+1),Loads!$B$3:$B$1000,B95,Loads!$C$3:$C$1000,C95)&lt;&gt;1,COUNTIFS(Loads!$A$3:$A$1000,"&gt;="&amp;INT(A95),Loads!$A$3:$A$1000,"&lt;"&amp;(INT(A95)+1),Loads!$B$3:$B$1000,B95,Loads!$C$3:$C$1000,C95,Loads!$E$3:$E$1000,"&lt;&gt;")&lt;&gt;1),"",SUMIFS(Loads!$E$3:$E$1000,Loads!$A$3:$A$1000,"&gt;="&amp;INT(A95),Loads!$A$3:$A$1000,"&lt;"&amp;(INT(A95)+1),Loads!$B$3:$B$1000,B95,Loads!$C$3:$C$1000,C95)))</x:f>
        <x:v>0</x:v>
      </x:c>
      <x:c r="L95" s="434" t="n">
        <x:f>IF(COUNTIF(Library!$B$3:$B$58,C95)&lt;&gt;1,"",IF(COUNTIFS(Library!$B$3:$B$58,C95,Library!$E$3:$E$58,"&lt;&gt;")=0,0,INDEX(Library!$E$3:$E$58,MATCH(C95,Library!$B$3:$B$58,0))))</x:f>
        <x:v>0</x:v>
      </x:c>
      <x:c r="M95" s="432" t="n">
        <x:f>IF(OR(COUNT(J95:L95)&lt;&gt;3,J95&lt;0,J95&gt;10,K95&lt;0,L95&lt;0,COUNTIFS(Library!$B$3:$B$58,C95,Library!$D$3:$D$58,D95)&lt;&gt;1),"",MIN(10,J95*(1+K95*L95)))</x:f>
        <x:v>1</x:v>
      </x:c>
      <x:c r="N95" s="432" t="n">
        <x:f>IF(D95="seconds",IF(AND(ISNUMBER($B$177),$B$177&gt;0),G95/$B$177,""),IF(D95="reps/leg",G95*2,G95))</x:f>
        <x:v>10</x:v>
      </x:c>
      <x:c r="O95" s="432" t="n">
        <x:f>IF(COUNT(M95:N95)&lt;&gt;2,"",M95*N95)</x:f>
        <x:v>10</x:v>
      </x:c>
      <x:c r="P95" s="432"/>
      <x:c r="Q95" s="432"/>
      <x:c r="R95" s="400"/>
      <x:c r="S95" s="400"/>
      <x:c r="T95"/>
      <x:c r="U95"/>
      <x:c r="V95"/>
      <x:c r="W95"/>
      <x:c r="X95"/>
      <x:c r="Y95"/>
      <x:c r="Z95"/>
      <x:c r="AA95"/>
      <x:c r="AB95"/>
    </x:row>
    <x:row r="96" ht="38" hidden="0" customHeight="1">
      <x:c r="A96" s="402" t="n">
        <x:f>Daily!A29</x:f>
        <x:v>46366.5</x:v>
      </x:c>
      <x:c r="B96" s="391" t="str">
        <x:f>Daily!D29</x:f>
        <x:v>Skill B + Cal-Intervals</x:v>
      </x:c>
      <x:c r="C96" s="400" t="str">
        <x:v>Deeper wall HSPU</x:v>
      </x:c>
      <x:c r="D96" s="400" t="str">
        <x:v>reps</x:v>
      </x:c>
      <x:c r="E96" s="400" t="n">
        <x:v>3</x:v>
      </x:c>
      <x:c r="F96" s="400" t="n">
        <x:v>2</x:v>
      </x:c>
      <x:c r="G96" s="400" t="n">
        <x:f>E96*F96</x:f>
        <x:v>6</x:v>
      </x:c>
      <x:c r="H96" s="400" t="str">
        <x:f>IF(AND(OR(Daily!H29=TRUE,Daily!AB29=TRUE),COUNT(Daily!I29,Daily!J29,Daily!K29)&gt;0),SUM(Daily!I29,Daily!J29,Daily!K29),"")</x:f>
      </x:c>
      <x:c r="I96" s="432" t="str">
        <x:f>IF(AND(ISNUMBER(H96),ISNUMBER(G96),G96&gt;0),100*H96/G96,"")</x:f>
      </x:c>
      <x:c r="J96" s="432" t="n">
        <x:f>IF(COUNTIF(Library!$B$3:$B$58,C96)&lt;&gt;1,"",INDEX(Library!$C$3:$C$58,MATCH(C96,Library!$B$3:$B$58,0)))</x:f>
        <x:v>7</x:v>
      </x:c>
      <x:c r="K96" s="433" t="n">
        <x:f>IF(COUNTIFS(Loads!$A$3:$A$1000,"&gt;="&amp;INT(A96),Loads!$A$3:$A$1000,"&lt;"&amp;(INT(A96)+1),Loads!$B$3:$B$1000,B96,Loads!$C$3:$C$1000,C96)=0,0,IF(OR(COUNTIFS(Loads!$A$3:$A$1000,"&gt;="&amp;INT(A96),Loads!$A$3:$A$1000,"&lt;"&amp;(INT(A96)+1),Loads!$B$3:$B$1000,B96,Loads!$C$3:$C$1000,C96)&lt;&gt;1,COUNTIFS(Loads!$A$3:$A$1000,"&gt;="&amp;INT(A96),Loads!$A$3:$A$1000,"&lt;"&amp;(INT(A96)+1),Loads!$B$3:$B$1000,B96,Loads!$C$3:$C$1000,C96,Loads!$E$3:$E$1000,"&lt;&gt;")&lt;&gt;1),"",SUMIFS(Loads!$E$3:$E$1000,Loads!$A$3:$A$1000,"&gt;="&amp;INT(A96),Loads!$A$3:$A$1000,"&lt;"&amp;(INT(A96)+1),Loads!$B$3:$B$1000,B96,Loads!$C$3:$C$1000,C96)))</x:f>
        <x:v>0</x:v>
      </x:c>
      <x:c r="L96" s="434" t="n">
        <x:f>IF(COUNTIF(Library!$B$3:$B$58,C96)&lt;&gt;1,"",IF(COUNTIFS(Library!$B$3:$B$58,C96,Library!$E$3:$E$58,"&lt;&gt;")=0,0,INDEX(Library!$E$3:$E$58,MATCH(C96,Library!$B$3:$B$58,0))))</x:f>
        <x:v>0</x:v>
      </x:c>
      <x:c r="M96" s="432" t="n">
        <x:f>IF(OR(COUNT(J96:L96)&lt;&gt;3,J96&lt;0,J96&gt;10,K96&lt;0,L96&lt;0,COUNTIFS(Library!$B$3:$B$58,C96,Library!$D$3:$D$58,D96)&lt;&gt;1),"",MIN(10,J96*(1+K96*L96)))</x:f>
        <x:v>7</x:v>
      </x:c>
      <x:c r="N96" s="432" t="n">
        <x:f>IF(D96="seconds",IF(AND(ISNUMBER($B$177),$B$177&gt;0),G96/$B$177,""),IF(D96="reps/leg",G96*2,G96))</x:f>
        <x:v>6</x:v>
      </x:c>
      <x:c r="O96" s="432" t="n">
        <x:f>IF(COUNT(M96:N96)&lt;&gt;2,"",M96*N96)</x:f>
        <x:v>42</x:v>
      </x:c>
      <x:c r="P96" s="432" t="n">
        <x:f>IF(COUNT(O96:O99)&lt;&gt;COUNT(N96:N99),"",IF(SUM(N96:N99)=0,0,ROUND(SUM(O96:O99)/SUM(N96:N99),1)))</x:f>
        <x:v>4.7</x:v>
      </x:c>
      <x:c r="Q96" s="432" t="str">
        <x:f>IF(COUNT(I96:I99)=0,"",MEDIAN(I96:I99))</x:f>
      </x:c>
      <x:c r="R96" s="400" t="n">
        <x:f>COUNT(I96:I99)</x:f>
        <x:v>0</x:v>
      </x:c>
      <x:c r="S96" s="400" t="n">
        <x:v>4</x:v>
      </x:c>
      <x:c r="T96"/>
      <x:c r="U96"/>
      <x:c r="V96"/>
      <x:c r="W96"/>
      <x:c r="X96"/>
      <x:c r="Y96"/>
      <x:c r="Z96"/>
      <x:c r="AA96"/>
      <x:c r="AB96"/>
    </x:row>
    <x:row r="97" ht="38" hidden="0" customHeight="1">
      <x:c r="A97" s="402" t="n">
        <x:f>Daily!A29</x:f>
        <x:v>46366.5</x:v>
      </x:c>
      <x:c r="B97" s="391" t="str">
        <x:f>Daily!D29</x:f>
        <x:v>Skill B + Cal-Intervals</x:v>
      </x:c>
      <x:c r="C97" s="400" t="str">
        <x:v>Easy wall handstand</x:v>
      </x:c>
      <x:c r="D97" s="400" t="str">
        <x:v>seconds</x:v>
      </x:c>
      <x:c r="E97" s="400" t="n">
        <x:v>2</x:v>
      </x:c>
      <x:c r="F97" s="400" t="n">
        <x:v>20</x:v>
      </x:c>
      <x:c r="G97" s="400" t="n">
        <x:f>E97*F97</x:f>
        <x:v>40</x:v>
      </x:c>
      <x:c r="H97" s="400" t="str">
        <x:f>IF(AND(OR(Daily!N29=TRUE,Daily!AB29=TRUE),COUNT(Daily!O29,Daily!P29)&gt;0),SUM(Daily!O29,Daily!P29)*86400,"")</x:f>
      </x:c>
      <x:c r="I97" s="432" t="str">
        <x:f>IF(AND(ISNUMBER(H97),ISNUMBER(G97),G97&gt;0),100*H97/G97,"")</x:f>
      </x:c>
      <x:c r="J97" s="432" t="n">
        <x:f>IF(COUNTIF(Library!$B$3:$B$58,C97)&lt;&gt;1,"",INDEX(Library!$C$3:$C$58,MATCH(C97,Library!$B$3:$B$58,0)))</x:f>
        <x:v>1</x:v>
      </x:c>
      <x:c r="K97" s="433" t="n">
        <x:f>IF(COUNTIFS(Loads!$A$3:$A$1000,"&gt;="&amp;INT(A97),Loads!$A$3:$A$1000,"&lt;"&amp;(INT(A97)+1),Loads!$B$3:$B$1000,B97,Loads!$C$3:$C$1000,C97)=0,0,IF(OR(COUNTIFS(Loads!$A$3:$A$1000,"&gt;="&amp;INT(A97),Loads!$A$3:$A$1000,"&lt;"&amp;(INT(A97)+1),Loads!$B$3:$B$1000,B97,Loads!$C$3:$C$1000,C97)&lt;&gt;1,COUNTIFS(Loads!$A$3:$A$1000,"&gt;="&amp;INT(A97),Loads!$A$3:$A$1000,"&lt;"&amp;(INT(A97)+1),Loads!$B$3:$B$1000,B97,Loads!$C$3:$C$1000,C97,Loads!$E$3:$E$1000,"&lt;&gt;")&lt;&gt;1),"",SUMIFS(Loads!$E$3:$E$1000,Loads!$A$3:$A$1000,"&gt;="&amp;INT(A97),Loads!$A$3:$A$1000,"&lt;"&amp;(INT(A97)+1),Loads!$B$3:$B$1000,B97,Loads!$C$3:$C$1000,C97)))</x:f>
        <x:v>0</x:v>
      </x:c>
      <x:c r="L97" s="434" t="n">
        <x:f>IF(COUNTIF(Library!$B$3:$B$58,C97)&lt;&gt;1,"",IF(COUNTIFS(Library!$B$3:$B$58,C97,Library!$E$3:$E$58,"&lt;&gt;")=0,0,INDEX(Library!$E$3:$E$58,MATCH(C97,Library!$B$3:$B$58,0))))</x:f>
        <x:v>0</x:v>
      </x:c>
      <x:c r="M97" s="432" t="n">
        <x:f>IF(OR(COUNT(J97:L97)&lt;&gt;3,J97&lt;0,J97&gt;10,K97&lt;0,L97&lt;0,COUNTIFS(Library!$B$3:$B$58,C97,Library!$D$3:$D$58,D97)&lt;&gt;1),"",MIN(10,J97*(1+K97*L97)))</x:f>
        <x:v>1</x:v>
      </x:c>
      <x:c r="N97" s="432" t="n">
        <x:f>IF(D97="seconds",IF(AND(ISNUMBER($B$177),$B$177&gt;0),G97/$B$177,""),IF(D97="reps/leg",G97*2,G97))</x:f>
        <x:v>13.333333333333334</x:v>
      </x:c>
      <x:c r="O97" s="432" t="n">
        <x:f>IF(COUNT(M97:N97)&lt;&gt;2,"",M97*N97)</x:f>
        <x:v>13.333333333333334</x:v>
      </x:c>
      <x:c r="P97" s="432"/>
      <x:c r="Q97" s="432"/>
      <x:c r="R97" s="400"/>
      <x:c r="S97" s="400"/>
      <x:c r="T97"/>
      <x:c r="U97"/>
      <x:c r="V97"/>
      <x:c r="W97"/>
      <x:c r="X97"/>
      <x:c r="Y97"/>
      <x:c r="Z97"/>
      <x:c r="AA97"/>
      <x:c r="AB97"/>
    </x:row>
    <x:row r="98" ht="38" hidden="0" customHeight="1">
      <x:c r="A98" s="402" t="n">
        <x:f>Daily!A29</x:f>
        <x:v>46366.5</x:v>
      </x:c>
      <x:c r="B98" s="391" t="str">
        <x:f>Daily!D29</x:f>
        <x:v>Skill B + Cal-Intervals</x:v>
      </x:c>
      <x:c r="C98" s="400" t="str">
        <x:v>Unassisted pistol to target</x:v>
      </x:c>
      <x:c r="D98" s="400" t="str">
        <x:v>reps/leg</x:v>
      </x:c>
      <x:c r="E98" s="400" t="n">
        <x:v>3</x:v>
      </x:c>
      <x:c r="F98" s="400" t="n">
        <x:v>1</x:v>
      </x:c>
      <x:c r="G98" s="400" t="n">
        <x:f>E98*F98</x:f>
        <x:v>3</x:v>
      </x:c>
      <x:c r="H98" s="400" t="str">
        <x:f>IF(AND(OR(Daily!T29=TRUE,Daily!AB29=TRUE),COUNT(Daily!U29,Daily!V29,Daily!W29)&gt;0),SUM(Daily!U29,Daily!V29,Daily!W29),"")</x:f>
      </x:c>
      <x:c r="I98" s="432" t="str">
        <x:f>IF(AND(ISNUMBER(H98),ISNUMBER(G98),G98&gt;0),100*H98/G98,"")</x:f>
      </x:c>
      <x:c r="J98" s="432" t="n">
        <x:f>IF(COUNTIF(Library!$B$3:$B$58,C98)&lt;&gt;1,"",INDEX(Library!$C$3:$C$58,MATCH(C98,Library!$B$3:$B$58,0)))</x:f>
        <x:v>2</x:v>
      </x:c>
      <x:c r="K98" s="433" t="n">
        <x:f>IF(COUNTIFS(Loads!$A$3:$A$1000,"&gt;="&amp;INT(A98),Loads!$A$3:$A$1000,"&lt;"&amp;(INT(A98)+1),Loads!$B$3:$B$1000,B98,Loads!$C$3:$C$1000,C98)=0,0,IF(OR(COUNTIFS(Loads!$A$3:$A$1000,"&gt;="&amp;INT(A98),Loads!$A$3:$A$1000,"&lt;"&amp;(INT(A98)+1),Loads!$B$3:$B$1000,B98,Loads!$C$3:$C$1000,C98)&lt;&gt;1,COUNTIFS(Loads!$A$3:$A$1000,"&gt;="&amp;INT(A98),Loads!$A$3:$A$1000,"&lt;"&amp;(INT(A98)+1),Loads!$B$3:$B$1000,B98,Loads!$C$3:$C$1000,C98,Loads!$E$3:$E$1000,"&lt;&gt;")&lt;&gt;1),"",SUMIFS(Loads!$E$3:$E$1000,Loads!$A$3:$A$1000,"&gt;="&amp;INT(A98),Loads!$A$3:$A$1000,"&lt;"&amp;(INT(A98)+1),Loads!$B$3:$B$1000,B98,Loads!$C$3:$C$1000,C98)))</x:f>
        <x:v>0</x:v>
      </x:c>
      <x:c r="L98" s="434" t="n">
        <x:f>IF(COUNTIF(Library!$B$3:$B$58,C98)&lt;&gt;1,"",IF(COUNTIFS(Library!$B$3:$B$58,C98,Library!$E$3:$E$58,"&lt;&gt;")=0,0,INDEX(Library!$E$3:$E$58,MATCH(C98,Library!$B$3:$B$58,0))))</x:f>
        <x:v>0.03</x:v>
      </x:c>
      <x:c r="M98" s="432" t="n">
        <x:f>IF(OR(COUNT(J98:L98)&lt;&gt;3,J98&lt;0,J98&gt;10,K98&lt;0,L98&lt;0,COUNTIFS(Library!$B$3:$B$58,C98,Library!$D$3:$D$58,D98)&lt;&gt;1),"",MIN(10,J98*(1+K98*L98)))</x:f>
        <x:v>2</x:v>
      </x:c>
      <x:c r="N98" s="432" t="n">
        <x:f>IF(D98="seconds",IF(AND(ISNUMBER($B$177),$B$177&gt;0),G98/$B$177,""),IF(D98="reps/leg",G98*2,G98))</x:f>
        <x:v>6</x:v>
      </x:c>
      <x:c r="O98" s="432" t="n">
        <x:f>IF(COUNT(M98:N98)&lt;&gt;2,"",M98*N98)</x:f>
        <x:v>12</x:v>
      </x:c>
      <x:c r="P98" s="432"/>
      <x:c r="Q98" s="432"/>
      <x:c r="R98" s="400"/>
      <x:c r="S98" s="400"/>
      <x:c r="T98"/>
      <x:c r="U98"/>
      <x:c r="V98"/>
      <x:c r="W98"/>
      <x:c r="X98"/>
      <x:c r="Y98"/>
      <x:c r="Z98"/>
      <x:c r="AA98"/>
      <x:c r="AB98"/>
    </x:row>
    <x:row r="99" ht="38" hidden="0" customHeight="1">
      <x:c r="A99" s="402" t="n">
        <x:f>Daily!A29</x:f>
        <x:v>46366.5</x:v>
      </x:c>
      <x:c r="B99" s="391" t="str">
        <x:f>Daily!D29</x:f>
        <x:v>Skill B + Cal-Intervals</x:v>
      </x:c>
      <x:c r="C99" s="400" t="str">
        <x:v>Cal-Intervals</x:v>
      </x:c>
      <x:c r="D99" s="400" t="str">
        <x:v>rounds</x:v>
      </x:c>
      <x:c r="E99" s="400" t="n">
        <x:v>1</x:v>
      </x:c>
      <x:c r="F99" s="400" t="n">
        <x:v>5</x:v>
      </x:c>
      <x:c r="G99" s="400" t="n">
        <x:v>5</x:v>
      </x:c>
      <x:c r="H99" s="400" t="str">
        <x:f>IF(AND(OR(Daily!Z29=TRUE,Daily!AB29=TRUE),ISNUMBER(Daily!AA29)),Daily!AA29,"")</x:f>
      </x:c>
      <x:c r="I99" s="432" t="str">
        <x:f>IF(AND(ISNUMBER(H99),G99&gt;0),100*H99/G99,"")</x:f>
      </x:c>
      <x:c r="J99" s="432" t="n">
        <x:f>IF(OR(COUNT(Library!F67:F70)&lt;&gt;4,COUNT(Library!E67:E70)&lt;&gt;4,SUM(Library!E67:E70)=0),"",SUM(Library!F67:F70)/SUM(Library!E67:E70))</x:f>
        <x:v>5</x:v>
      </x:c>
      <x:c r="K99" s="433"/>
      <x:c r="L99" s="434"/>
      <x:c r="M99" s="432" t="n">
        <x:f>IF(ISNUMBER(J99),J99,"")</x:f>
        <x:v>5</x:v>
      </x:c>
      <x:c r="N99" s="432" t="n">
        <x:f>IF(COUNT(Library!E67:E70)&lt;&gt;4,"",G99*SUM(Library!E67:E70))</x:f>
        <x:v>200</x:v>
      </x:c>
      <x:c r="O99" s="432" t="n">
        <x:f>IF(COUNT(Library!F67:F70)&lt;&gt;4,"",G99*SUM(Library!F67:F70))</x:f>
        <x:v>1000</x:v>
      </x:c>
      <x:c r="P99" s="432"/>
      <x:c r="Q99" s="432"/>
      <x:c r="R99" s="400"/>
      <x:c r="S99" s="400"/>
      <x:c r="T99"/>
      <x:c r="U99"/>
      <x:c r="V99"/>
      <x:c r="W99"/>
      <x:c r="X99"/>
      <x:c r="Y99"/>
      <x:c r="Z99"/>
      <x:c r="AA99"/>
      <x:c r="AB99"/>
    </x:row>
    <x:row r="100" ht="38" hidden="0" customHeight="1">
      <x:c r="A100" s="402" t="n">
        <x:f>Daily!A30</x:f>
        <x:v>46368.5</x:v>
      </x:c>
      <x:c r="B100" s="391" t="str">
        <x:f>Daily!D30</x:f>
        <x:v>Skill micro-session</x:v>
      </x:c>
      <x:c r="C100" s="400" t="str">
        <x:v>Wrist/shoulder mobility</x:v>
      </x:c>
      <x:c r="D100" s="400" t="str">
        <x:v>seconds</x:v>
      </x:c>
      <x:c r="E100" s="400" t="n">
        <x:v>1</x:v>
      </x:c>
      <x:c r="F100" s="400" t="n">
        <x:v>120</x:v>
      </x:c>
      <x:c r="G100" s="400" t="n">
        <x:f>E100*F100</x:f>
        <x:v>120</x:v>
      </x:c>
      <x:c r="H100" s="400" t="str">
        <x:f>IF(AND(OR(Daily!H30=TRUE,Daily!AB30=TRUE),COUNT(Daily!I30)&gt;0),SUM(Daily!I30)*86400,"")</x:f>
      </x:c>
      <x:c r="I100" s="432" t="str">
        <x:f>IF(AND(ISNUMBER(H100),ISNUMBER(G100),G100&gt;0),100*H100/G100,"")</x:f>
      </x:c>
      <x:c r="J100" s="432" t="n">
        <x:f>IF(COUNTIF(Library!$B$3:$B$58,C100)&lt;&gt;1,"",INDEX(Library!$C$3:$C$58,MATCH(C100,Library!$B$3:$B$58,0)))</x:f>
        <x:v>1</x:v>
      </x:c>
      <x:c r="K100" s="433" t="n">
        <x:f>IF(COUNTIFS(Loads!$A$3:$A$1000,"&gt;="&amp;INT(A100),Loads!$A$3:$A$1000,"&lt;"&amp;(INT(A100)+1),Loads!$B$3:$B$1000,B100,Loads!$C$3:$C$1000,C100)=0,0,IF(OR(COUNTIFS(Loads!$A$3:$A$1000,"&gt;="&amp;INT(A100),Loads!$A$3:$A$1000,"&lt;"&amp;(INT(A100)+1),Loads!$B$3:$B$1000,B100,Loads!$C$3:$C$1000,C100)&lt;&gt;1,COUNTIFS(Loads!$A$3:$A$1000,"&gt;="&amp;INT(A100),Loads!$A$3:$A$1000,"&lt;"&amp;(INT(A100)+1),Loads!$B$3:$B$1000,B100,Loads!$C$3:$C$1000,C100,Loads!$E$3:$E$1000,"&lt;&gt;")&lt;&gt;1),"",SUMIFS(Loads!$E$3:$E$1000,Loads!$A$3:$A$1000,"&gt;="&amp;INT(A100),Loads!$A$3:$A$1000,"&lt;"&amp;(INT(A100)+1),Loads!$B$3:$B$1000,B100,Loads!$C$3:$C$1000,C100)))</x:f>
        <x:v>0</x:v>
      </x:c>
      <x:c r="L100" s="434" t="n">
        <x:f>IF(COUNTIF(Library!$B$3:$B$58,C100)&lt;&gt;1,"",IF(COUNTIFS(Library!$B$3:$B$58,C100,Library!$E$3:$E$58,"&lt;&gt;")=0,0,INDEX(Library!$E$3:$E$58,MATCH(C100,Library!$B$3:$B$58,0))))</x:f>
        <x:v>0</x:v>
      </x:c>
      <x:c r="M100" s="432" t="n">
        <x:f>IF(OR(COUNT(J100:L100)&lt;&gt;3,J100&lt;0,J100&gt;10,K100&lt;0,L100&lt;0,COUNTIFS(Library!$B$3:$B$58,C100,Library!$D$3:$D$58,D100)&lt;&gt;1),"",MIN(10,J100*(1+K100*L100)))</x:f>
        <x:v>1</x:v>
      </x:c>
      <x:c r="N100" s="432" t="n">
        <x:f>IF(D100="seconds",IF(AND(ISNUMBER($B$177),$B$177&gt;0),G100/$B$177,""),IF(D100="reps/leg",G100*2,G100))</x:f>
        <x:v>40</x:v>
      </x:c>
      <x:c r="O100" s="432" t="n">
        <x:f>IF(COUNT(M100:N100)&lt;&gt;2,"",M100*N100)</x:f>
        <x:v>40</x:v>
      </x:c>
      <x:c r="P100" s="432" t="n">
        <x:f>IF(COUNT(O100:O102)&lt;&gt;COUNT(N100:N102),"",IF(SUM(N100:N102)=0,0,ROUND(SUM(O100:O102)/SUM(N100:N102),1)))</x:f>
        <x:v>1</x:v>
      </x:c>
      <x:c r="Q100" s="432" t="str">
        <x:f>IF(COUNT(I100:I102)=0,"",MEDIAN(I100:I102))</x:f>
      </x:c>
      <x:c r="R100" s="400" t="n">
        <x:f>COUNT(I100:I102)</x:f>
        <x:v>0</x:v>
      </x:c>
      <x:c r="S100" s="400" t="n">
        <x:v>3</x:v>
      </x:c>
      <x:c r="T100"/>
      <x:c r="U100"/>
      <x:c r="V100"/>
      <x:c r="W100"/>
      <x:c r="X100"/>
      <x:c r="Y100"/>
      <x:c r="Z100"/>
      <x:c r="AA100"/>
      <x:c r="AB100"/>
    </x:row>
    <x:row r="101" ht="38" hidden="0" customHeight="1">
      <x:c r="A101" s="402" t="n">
        <x:f>Daily!A30</x:f>
        <x:v>46368.5</x:v>
      </x:c>
      <x:c r="B101" s="391" t="str">
        <x:f>Daily!D30</x:f>
        <x:v>Skill micro-session</x:v>
      </x:c>
      <x:c r="C101" s="400" t="str">
        <x:v>Easy chest-to-wall hold</x:v>
      </x:c>
      <x:c r="D101" s="400" t="str">
        <x:v>seconds</x:v>
      </x:c>
      <x:c r="E101" s="400" t="n">
        <x:v>3</x:v>
      </x:c>
      <x:c r="F101" s="400" t="n">
        <x:v>15</x:v>
      </x:c>
      <x:c r="G101" s="400" t="n">
        <x:f>E101*F101</x:f>
        <x:v>45</x:v>
      </x:c>
      <x:c r="H101" s="400" t="str">
        <x:f>IF(AND(OR(Daily!N30=TRUE,Daily!AB30=TRUE),COUNT(Daily!O30,Daily!P30,Daily!Q30)&gt;0),SUM(Daily!O30,Daily!P30,Daily!Q30)*86400,"")</x:f>
      </x:c>
      <x:c r="I101" s="432" t="str">
        <x:f>IF(AND(ISNUMBER(H101),ISNUMBER(G101),G101&gt;0),100*H101/G101,"")</x:f>
      </x:c>
      <x:c r="J101" s="432" t="n">
        <x:f>IF(COUNTIF(Library!$B$3:$B$58,C101)&lt;&gt;1,"",INDEX(Library!$C$3:$C$58,MATCH(C101,Library!$B$3:$B$58,0)))</x:f>
        <x:v>1</x:v>
      </x:c>
      <x:c r="K101" s="433" t="n">
        <x:f>IF(COUNTIFS(Loads!$A$3:$A$1000,"&gt;="&amp;INT(A101),Loads!$A$3:$A$1000,"&lt;"&amp;(INT(A101)+1),Loads!$B$3:$B$1000,B101,Loads!$C$3:$C$1000,C101)=0,0,IF(OR(COUNTIFS(Loads!$A$3:$A$1000,"&gt;="&amp;INT(A101),Loads!$A$3:$A$1000,"&lt;"&amp;(INT(A101)+1),Loads!$B$3:$B$1000,B101,Loads!$C$3:$C$1000,C101)&lt;&gt;1,COUNTIFS(Loads!$A$3:$A$1000,"&gt;="&amp;INT(A101),Loads!$A$3:$A$1000,"&lt;"&amp;(INT(A101)+1),Loads!$B$3:$B$1000,B101,Loads!$C$3:$C$1000,C101,Loads!$E$3:$E$1000,"&lt;&gt;")&lt;&gt;1),"",SUMIFS(Loads!$E$3:$E$1000,Loads!$A$3:$A$1000,"&gt;="&amp;INT(A101),Loads!$A$3:$A$1000,"&lt;"&amp;(INT(A101)+1),Loads!$B$3:$B$1000,B101,Loads!$C$3:$C$1000,C101)))</x:f>
        <x:v>0</x:v>
      </x:c>
      <x:c r="L101" s="434" t="n">
        <x:f>IF(COUNTIF(Library!$B$3:$B$58,C101)&lt;&gt;1,"",IF(COUNTIFS(Library!$B$3:$B$58,C101,Library!$E$3:$E$58,"&lt;&gt;")=0,0,INDEX(Library!$E$3:$E$58,MATCH(C101,Library!$B$3:$B$58,0))))</x:f>
        <x:v>0</x:v>
      </x:c>
      <x:c r="M101" s="432" t="n">
        <x:f>IF(OR(COUNT(J101:L101)&lt;&gt;3,J101&lt;0,J101&gt;10,K101&lt;0,L101&lt;0,COUNTIFS(Library!$B$3:$B$58,C101,Library!$D$3:$D$58,D101)&lt;&gt;1),"",MIN(10,J101*(1+K101*L101)))</x:f>
        <x:v>1</x:v>
      </x:c>
      <x:c r="N101" s="432" t="n">
        <x:f>IF(D101="seconds",IF(AND(ISNUMBER($B$177),$B$177&gt;0),G101/$B$177,""),IF(D101="reps/leg",G101*2,G101))</x:f>
        <x:v>15</x:v>
      </x:c>
      <x:c r="O101" s="432" t="n">
        <x:f>IF(COUNT(M101:N101)&lt;&gt;2,"",M101*N101)</x:f>
        <x:v>15</x:v>
      </x:c>
      <x:c r="P101" s="432"/>
      <x:c r="Q101" s="432"/>
      <x:c r="R101" s="400"/>
      <x:c r="S101" s="400"/>
      <x:c r="T101"/>
      <x:c r="U101"/>
      <x:c r="V101"/>
      <x:c r="W101"/>
      <x:c r="X101"/>
      <x:c r="Y101"/>
      <x:c r="Z101"/>
      <x:c r="AA101"/>
      <x:c r="AB101"/>
    </x:row>
    <x:row r="102" ht="38" hidden="0" customHeight="1">
      <x:c r="A102" s="402" t="n">
        <x:f>Daily!A30</x:f>
        <x:v>46368.5</x:v>
      </x:c>
      <x:c r="B102" s="391" t="str">
        <x:f>Daily!D30</x:f>
        <x:v>Skill micro-session</x:v>
      </x:c>
      <x:c r="C102" s="400" t="str">
        <x:v>Wall handstand line drill</x:v>
      </x:c>
      <x:c r="D102" s="400" t="str">
        <x:v>seconds</x:v>
      </x:c>
      <x:c r="E102" s="400" t="n">
        <x:v>3</x:v>
      </x:c>
      <x:c r="F102" s="400" t="n">
        <x:v>15</x:v>
      </x:c>
      <x:c r="G102" s="400" t="n">
        <x:f>E102*F102</x:f>
        <x:v>45</x:v>
      </x:c>
      <x:c r="H102" s="400" t="str">
        <x:f>IF(AND(OR(Daily!T30=TRUE,Daily!AB30=TRUE),COUNT(Daily!U30,Daily!V30,Daily!W30)&gt;0),SUM(Daily!U30,Daily!V30,Daily!W30)*86400,"")</x:f>
      </x:c>
      <x:c r="I102" s="432" t="str">
        <x:f>IF(AND(ISNUMBER(H102),ISNUMBER(G102),G102&gt;0),100*H102/G102,"")</x:f>
      </x:c>
      <x:c r="J102" s="432" t="n">
        <x:f>IF(COUNTIF(Library!$B$3:$B$58,C102)&lt;&gt;1,"",INDEX(Library!$C$3:$C$58,MATCH(C102,Library!$B$3:$B$58,0)))</x:f>
        <x:v>1</x:v>
      </x:c>
      <x:c r="K102" s="433" t="n">
        <x:f>IF(COUNTIFS(Loads!$A$3:$A$1000,"&gt;="&amp;INT(A102),Loads!$A$3:$A$1000,"&lt;"&amp;(INT(A102)+1),Loads!$B$3:$B$1000,B102,Loads!$C$3:$C$1000,C102)=0,0,IF(OR(COUNTIFS(Loads!$A$3:$A$1000,"&gt;="&amp;INT(A102),Loads!$A$3:$A$1000,"&lt;"&amp;(INT(A102)+1),Loads!$B$3:$B$1000,B102,Loads!$C$3:$C$1000,C102)&lt;&gt;1,COUNTIFS(Loads!$A$3:$A$1000,"&gt;="&amp;INT(A102),Loads!$A$3:$A$1000,"&lt;"&amp;(INT(A102)+1),Loads!$B$3:$B$1000,B102,Loads!$C$3:$C$1000,C102,Loads!$E$3:$E$1000,"&lt;&gt;")&lt;&gt;1),"",SUMIFS(Loads!$E$3:$E$1000,Loads!$A$3:$A$1000,"&gt;="&amp;INT(A102),Loads!$A$3:$A$1000,"&lt;"&amp;(INT(A102)+1),Loads!$B$3:$B$1000,B102,Loads!$C$3:$C$1000,C102)))</x:f>
        <x:v>0</x:v>
      </x:c>
      <x:c r="L102" s="434" t="n">
        <x:f>IF(COUNTIF(Library!$B$3:$B$58,C102)&lt;&gt;1,"",IF(COUNTIFS(Library!$B$3:$B$58,C102,Library!$E$3:$E$58,"&lt;&gt;")=0,0,INDEX(Library!$E$3:$E$58,MATCH(C102,Library!$B$3:$B$58,0))))</x:f>
        <x:v>0</x:v>
      </x:c>
      <x:c r="M102" s="432" t="n">
        <x:f>IF(OR(COUNT(J102:L102)&lt;&gt;3,J102&lt;0,J102&gt;10,K102&lt;0,L102&lt;0,COUNTIFS(Library!$B$3:$B$58,C102,Library!$D$3:$D$58,D102)&lt;&gt;1),"",MIN(10,J102*(1+K102*L102)))</x:f>
        <x:v>1</x:v>
      </x:c>
      <x:c r="N102" s="432" t="n">
        <x:f>IF(D102="seconds",IF(AND(ISNUMBER($B$177),$B$177&gt;0),G102/$B$177,""),IF(D102="reps/leg",G102*2,G102))</x:f>
        <x:v>15</x:v>
      </x:c>
      <x:c r="O102" s="432" t="n">
        <x:f>IF(COUNT(M102:N102)&lt;&gt;2,"",M102*N102)</x:f>
        <x:v>15</x:v>
      </x:c>
      <x:c r="P102" s="432"/>
      <x:c r="Q102" s="432"/>
      <x:c r="R102" s="400"/>
      <x:c r="S102" s="400"/>
      <x:c r="T102"/>
      <x:c r="U102"/>
      <x:c r="V102"/>
      <x:c r="W102"/>
      <x:c r="X102"/>
      <x:c r="Y102"/>
      <x:c r="Z102"/>
      <x:c r="AA102"/>
      <x:c r="AB102"/>
    </x:row>
    <x:row r="103" ht="38" hidden="0" customHeight="1">
      <x:c r="A103" s="402" t="n">
        <x:f>Daily!A31</x:f>
        <x:v>46370.5</x:v>
      </x:c>
      <x:c r="B103" s="391" t="str">
        <x:f>Daily!D31</x:f>
        <x:v>Skill A + Cal-Intervals</x:v>
      </x:c>
      <x:c r="C103" s="400" t="str">
        <x:v>Easy high pull</x:v>
      </x:c>
      <x:c r="D103" s="400" t="str">
        <x:v>reps</x:v>
      </x:c>
      <x:c r="E103" s="400" t="n">
        <x:v>1</x:v>
      </x:c>
      <x:c r="F103" s="400" t="n">
        <x:v>3</x:v>
      </x:c>
      <x:c r="G103" s="400" t="n">
        <x:f>E103*F103</x:f>
        <x:v>3</x:v>
      </x:c>
      <x:c r="H103" s="400" t="str">
        <x:f>IF(AND(OR(Daily!H31=TRUE,Daily!AB31=TRUE),COUNT(Daily!I31)&gt;0),SUM(Daily!I31),"")</x:f>
      </x:c>
      <x:c r="I103" s="432" t="str">
        <x:f>IF(AND(ISNUMBER(H103),ISNUMBER(G103),G103&gt;0),100*H103/G103,"")</x:f>
      </x:c>
      <x:c r="J103" s="432" t="n">
        <x:f>IF(COUNTIF(Library!$B$3:$B$58,C103)&lt;&gt;1,"",INDEX(Library!$C$3:$C$58,MATCH(C103,Library!$B$3:$B$58,0)))</x:f>
        <x:v>1</x:v>
      </x:c>
      <x:c r="K103" s="433" t="n">
        <x:f>IF(COUNTIFS(Loads!$A$3:$A$1000,"&gt;="&amp;INT(A103),Loads!$A$3:$A$1000,"&lt;"&amp;(INT(A103)+1),Loads!$B$3:$B$1000,B103,Loads!$C$3:$C$1000,C103)=0,0,IF(OR(COUNTIFS(Loads!$A$3:$A$1000,"&gt;="&amp;INT(A103),Loads!$A$3:$A$1000,"&lt;"&amp;(INT(A103)+1),Loads!$B$3:$B$1000,B103,Loads!$C$3:$C$1000,C103)&lt;&gt;1,COUNTIFS(Loads!$A$3:$A$1000,"&gt;="&amp;INT(A103),Loads!$A$3:$A$1000,"&lt;"&amp;(INT(A103)+1),Loads!$B$3:$B$1000,B103,Loads!$C$3:$C$1000,C103,Loads!$E$3:$E$1000,"&lt;&gt;")&lt;&gt;1),"",SUMIFS(Loads!$E$3:$E$1000,Loads!$A$3:$A$1000,"&gt;="&amp;INT(A103),Loads!$A$3:$A$1000,"&lt;"&amp;(INT(A103)+1),Loads!$B$3:$B$1000,B103,Loads!$C$3:$C$1000,C103)))</x:f>
        <x:v>0</x:v>
      </x:c>
      <x:c r="L103" s="434" t="n">
        <x:f>IF(COUNTIF(Library!$B$3:$B$58,C103)&lt;&gt;1,"",IF(COUNTIFS(Library!$B$3:$B$58,C103,Library!$E$3:$E$58,"&lt;&gt;")=0,0,INDEX(Library!$E$3:$E$58,MATCH(C103,Library!$B$3:$B$58,0))))</x:f>
        <x:v>0.04</x:v>
      </x:c>
      <x:c r="M103" s="432" t="n">
        <x:f>IF(OR(COUNT(J103:L103)&lt;&gt;3,J103&lt;0,J103&gt;10,K103&lt;0,L103&lt;0,COUNTIFS(Library!$B$3:$B$58,C103,Library!$D$3:$D$58,D103)&lt;&gt;1),"",MIN(10,J103*(1+K103*L103)))</x:f>
        <x:v>1</x:v>
      </x:c>
      <x:c r="N103" s="432" t="n">
        <x:f>IF(D103="seconds",IF(AND(ISNUMBER($B$177),$B$177&gt;0),G103/$B$177,""),IF(D103="reps/leg",G103*2,G103))</x:f>
        <x:v>3</x:v>
      </x:c>
      <x:c r="O103" s="432" t="n">
        <x:f>IF(COUNT(M103:N103)&lt;&gt;2,"",M103*N103)</x:f>
        <x:v>3</x:v>
      </x:c>
      <x:c r="P103" s="432" t="n">
        <x:f>IF(COUNT(O103:O106)&lt;&gt;COUNT(N103:N106),"",IF(SUM(N103:N106)=0,0,ROUND(SUM(O103:O106)/SUM(N103:N106),1)))</x:f>
        <x:v>4.7</x:v>
      </x:c>
      <x:c r="Q103" s="432" t="str">
        <x:f>IF(COUNT(I103:I106)=0,"",MEDIAN(I103:I106))</x:f>
      </x:c>
      <x:c r="R103" s="400" t="n">
        <x:f>COUNT(I103:I106)</x:f>
        <x:v>0</x:v>
      </x:c>
      <x:c r="S103" s="400" t="n">
        <x:v>4</x:v>
      </x:c>
      <x:c r="T103"/>
      <x:c r="U103"/>
      <x:c r="V103"/>
      <x:c r="W103"/>
      <x:c r="X103"/>
      <x:c r="Y103"/>
      <x:c r="Z103"/>
      <x:c r="AA103"/>
      <x:c r="AB103"/>
    </x:row>
    <x:row r="104" ht="38" hidden="0" customHeight="1">
      <x:c r="A104" s="402" t="n">
        <x:f>Daily!A31</x:f>
        <x:v>46370.5</x:v>
      </x:c>
      <x:c r="B104" s="391" t="str">
        <x:f>Daily!D31</x:f>
        <x:v>Skill A + Cal-Intervals</x:v>
      </x:c>
      <x:c r="C104" s="400" t="str">
        <x:v>Easy low-bar transition</x:v>
      </x:c>
      <x:c r="D104" s="400" t="str">
        <x:v>reps</x:v>
      </x:c>
      <x:c r="E104" s="400" t="n">
        <x:v>1</x:v>
      </x:c>
      <x:c r="F104" s="400" t="n">
        <x:v>3</x:v>
      </x:c>
      <x:c r="G104" s="400" t="n">
        <x:f>E104*F104</x:f>
        <x:v>3</x:v>
      </x:c>
      <x:c r="H104" s="400" t="str">
        <x:f>IF(AND(OR(Daily!N31=TRUE,Daily!AB31=TRUE),COUNT(Daily!O31)&gt;0),SUM(Daily!O31),"")</x:f>
      </x:c>
      <x:c r="I104" s="432" t="str">
        <x:f>IF(AND(ISNUMBER(H104),ISNUMBER(G104),G104&gt;0),100*H104/G104,"")</x:f>
      </x:c>
      <x:c r="J104" s="432" t="n">
        <x:f>IF(COUNTIF(Library!$B$3:$B$58,C104)&lt;&gt;1,"",INDEX(Library!$C$3:$C$58,MATCH(C104,Library!$B$3:$B$58,0)))</x:f>
        <x:v>1</x:v>
      </x:c>
      <x:c r="K104" s="433" t="n">
        <x:f>IF(COUNTIFS(Loads!$A$3:$A$1000,"&gt;="&amp;INT(A104),Loads!$A$3:$A$1000,"&lt;"&amp;(INT(A104)+1),Loads!$B$3:$B$1000,B104,Loads!$C$3:$C$1000,C104)=0,0,IF(OR(COUNTIFS(Loads!$A$3:$A$1000,"&gt;="&amp;INT(A104),Loads!$A$3:$A$1000,"&lt;"&amp;(INT(A104)+1),Loads!$B$3:$B$1000,B104,Loads!$C$3:$C$1000,C104)&lt;&gt;1,COUNTIFS(Loads!$A$3:$A$1000,"&gt;="&amp;INT(A104),Loads!$A$3:$A$1000,"&lt;"&amp;(INT(A104)+1),Loads!$B$3:$B$1000,B104,Loads!$C$3:$C$1000,C104,Loads!$E$3:$E$1000,"&lt;&gt;")&lt;&gt;1),"",SUMIFS(Loads!$E$3:$E$1000,Loads!$A$3:$A$1000,"&gt;="&amp;INT(A104),Loads!$A$3:$A$1000,"&lt;"&amp;(INT(A104)+1),Loads!$B$3:$B$1000,B104,Loads!$C$3:$C$1000,C104)))</x:f>
        <x:v>0</x:v>
      </x:c>
      <x:c r="L104" s="434" t="n">
        <x:f>IF(COUNTIF(Library!$B$3:$B$58,C104)&lt;&gt;1,"",IF(COUNTIFS(Library!$B$3:$B$58,C104,Library!$E$3:$E$58,"&lt;&gt;")=0,0,INDEX(Library!$E$3:$E$58,MATCH(C104,Library!$B$3:$B$58,0))))</x:f>
        <x:v>0</x:v>
      </x:c>
      <x:c r="M104" s="432" t="n">
        <x:f>IF(OR(COUNT(J104:L104)&lt;&gt;3,J104&lt;0,J104&gt;10,K104&lt;0,L104&lt;0,COUNTIFS(Library!$B$3:$B$58,C104,Library!$D$3:$D$58,D104)&lt;&gt;1),"",MIN(10,J104*(1+K104*L104)))</x:f>
        <x:v>1</x:v>
      </x:c>
      <x:c r="N104" s="432" t="n">
        <x:f>IF(D104="seconds",IF(AND(ISNUMBER($B$177),$B$177&gt;0),G104/$B$177,""),IF(D104="reps/leg",G104*2,G104))</x:f>
        <x:v>3</x:v>
      </x:c>
      <x:c r="O104" s="432" t="n">
        <x:f>IF(COUNT(M104:N104)&lt;&gt;2,"",M104*N104)</x:f>
        <x:v>3</x:v>
      </x:c>
      <x:c r="P104" s="432"/>
      <x:c r="Q104" s="432"/>
      <x:c r="R104" s="400"/>
      <x:c r="S104" s="400"/>
      <x:c r="T104"/>
      <x:c r="U104"/>
      <x:c r="V104"/>
      <x:c r="W104"/>
      <x:c r="X104"/>
      <x:c r="Y104"/>
      <x:c r="Z104"/>
      <x:c r="AA104"/>
      <x:c r="AB104"/>
    </x:row>
    <x:row r="105" ht="38" hidden="0" customHeight="1">
      <x:c r="A105" s="402" t="n">
        <x:f>Daily!A31</x:f>
        <x:v>46370.5</x:v>
      </x:c>
      <x:c r="B105" s="391" t="str">
        <x:f>Daily!D31</x:f>
        <x:v>Skill A + Cal-Intervals</x:v>
      </x:c>
      <x:c r="C105" s="400" t="str">
        <x:v>Assisted smooth pistol</x:v>
      </x:c>
      <x:c r="D105" s="400" t="str">
        <x:v>reps/leg</x:v>
      </x:c>
      <x:c r="E105" s="400" t="n">
        <x:v>1</x:v>
      </x:c>
      <x:c r="F105" s="400" t="n">
        <x:v>3</x:v>
      </x:c>
      <x:c r="G105" s="400" t="n">
        <x:f>E105*F105</x:f>
        <x:v>3</x:v>
      </x:c>
      <x:c r="H105" s="400" t="str">
        <x:f>IF(AND(OR(Daily!T31=TRUE,Daily!AB31=TRUE),COUNT(Daily!U31)&gt;0),SUM(Daily!U31),"")</x:f>
      </x:c>
      <x:c r="I105" s="432" t="str">
        <x:f>IF(AND(ISNUMBER(H105),ISNUMBER(G105),G105&gt;0),100*H105/G105,"")</x:f>
      </x:c>
      <x:c r="J105" s="432" t="n">
        <x:f>IF(COUNTIF(Library!$B$3:$B$58,C105)&lt;&gt;1,"",INDEX(Library!$C$3:$C$58,MATCH(C105,Library!$B$3:$B$58,0)))</x:f>
        <x:v>2</x:v>
      </x:c>
      <x:c r="K105" s="433" t="n">
        <x:f>IF(COUNTIFS(Loads!$A$3:$A$1000,"&gt;="&amp;INT(A105),Loads!$A$3:$A$1000,"&lt;"&amp;(INT(A105)+1),Loads!$B$3:$B$1000,B105,Loads!$C$3:$C$1000,C105)=0,0,IF(OR(COUNTIFS(Loads!$A$3:$A$1000,"&gt;="&amp;INT(A105),Loads!$A$3:$A$1000,"&lt;"&amp;(INT(A105)+1),Loads!$B$3:$B$1000,B105,Loads!$C$3:$C$1000,C105)&lt;&gt;1,COUNTIFS(Loads!$A$3:$A$1000,"&gt;="&amp;INT(A105),Loads!$A$3:$A$1000,"&lt;"&amp;(INT(A105)+1),Loads!$B$3:$B$1000,B105,Loads!$C$3:$C$1000,C105,Loads!$E$3:$E$1000,"&lt;&gt;")&lt;&gt;1),"",SUMIFS(Loads!$E$3:$E$1000,Loads!$A$3:$A$1000,"&gt;="&amp;INT(A105),Loads!$A$3:$A$1000,"&lt;"&amp;(INT(A105)+1),Loads!$B$3:$B$1000,B105,Loads!$C$3:$C$1000,C105)))</x:f>
        <x:v>0</x:v>
      </x:c>
      <x:c r="L105" s="434" t="n">
        <x:f>IF(COUNTIF(Library!$B$3:$B$58,C105)&lt;&gt;1,"",IF(COUNTIFS(Library!$B$3:$B$58,C105,Library!$E$3:$E$58,"&lt;&gt;")=0,0,INDEX(Library!$E$3:$E$58,MATCH(C105,Library!$B$3:$B$58,0))))</x:f>
        <x:v>0.03</x:v>
      </x:c>
      <x:c r="M105" s="432" t="n">
        <x:f>IF(OR(COUNT(J105:L105)&lt;&gt;3,J105&lt;0,J105&gt;10,K105&lt;0,L105&lt;0,COUNTIFS(Library!$B$3:$B$58,C105,Library!$D$3:$D$58,D105)&lt;&gt;1),"",MIN(10,J105*(1+K105*L105)))</x:f>
        <x:v>2</x:v>
      </x:c>
      <x:c r="N105" s="432" t="n">
        <x:f>IF(D105="seconds",IF(AND(ISNUMBER($B$177),$B$177&gt;0),G105/$B$177,""),IF(D105="reps/leg",G105*2,G105))</x:f>
        <x:v>6</x:v>
      </x:c>
      <x:c r="O105" s="432" t="n">
        <x:f>IF(COUNT(M105:N105)&lt;&gt;2,"",M105*N105)</x:f>
        <x:v>12</x:v>
      </x:c>
      <x:c r="P105" s="432"/>
      <x:c r="Q105" s="432"/>
      <x:c r="R105" s="400"/>
      <x:c r="S105" s="400"/>
      <x:c r="T105"/>
      <x:c r="U105"/>
      <x:c r="V105"/>
      <x:c r="W105"/>
      <x:c r="X105"/>
      <x:c r="Y105"/>
      <x:c r="Z105"/>
      <x:c r="AA105"/>
      <x:c r="AB105"/>
    </x:row>
    <x:row r="106" ht="38" hidden="0" customHeight="1">
      <x:c r="A106" s="402" t="n">
        <x:f>Daily!A31</x:f>
        <x:v>46370.5</x:v>
      </x:c>
      <x:c r="B106" s="391" t="str">
        <x:f>Daily!D31</x:f>
        <x:v>Skill A + Cal-Intervals</x:v>
      </x:c>
      <x:c r="C106" s="400" t="str">
        <x:v>Cal-Intervals</x:v>
      </x:c>
      <x:c r="D106" s="400" t="str">
        <x:v>rounds</x:v>
      </x:c>
      <x:c r="E106" s="400" t="n">
        <x:v>1</x:v>
      </x:c>
      <x:c r="F106" s="400" t="n">
        <x:v>3</x:v>
      </x:c>
      <x:c r="G106" s="400" t="n">
        <x:v>3</x:v>
      </x:c>
      <x:c r="H106" s="400" t="str">
        <x:f>IF(AND(OR(Daily!Z31=TRUE,Daily!AB31=TRUE),ISNUMBER(Daily!AA31)),Daily!AA31,"")</x:f>
      </x:c>
      <x:c r="I106" s="432" t="str">
        <x:f>IF(AND(ISNUMBER(H106),G106&gt;0),100*H106/G106,"")</x:f>
      </x:c>
      <x:c r="J106" s="432" t="n">
        <x:f>IF(OR(COUNT(Library!F67:F70)&lt;&gt;4,COUNT(Library!E67:E70)&lt;&gt;4,SUM(Library!E67:E70)=0),"",SUM(Library!F67:F70)/SUM(Library!E67:E70))</x:f>
        <x:v>5</x:v>
      </x:c>
      <x:c r="K106" s="433"/>
      <x:c r="L106" s="434"/>
      <x:c r="M106" s="432" t="n">
        <x:f>IF(ISNUMBER(J106),J106,"")</x:f>
        <x:v>5</x:v>
      </x:c>
      <x:c r="N106" s="432" t="n">
        <x:f>IF(COUNT(Library!E67:E70)&lt;&gt;4,"",G106*SUM(Library!E67:E70))</x:f>
        <x:v>120</x:v>
      </x:c>
      <x:c r="O106" s="432" t="n">
        <x:f>IF(COUNT(Library!F67:F70)&lt;&gt;4,"",G106*SUM(Library!F67:F70))</x:f>
        <x:v>600</x:v>
      </x:c>
      <x:c r="P106" s="432"/>
      <x:c r="Q106" s="432"/>
      <x:c r="R106" s="400"/>
      <x:c r="S106" s="400"/>
      <x:c r="T106"/>
      <x:c r="U106"/>
      <x:c r="V106"/>
      <x:c r="W106"/>
      <x:c r="X106"/>
      <x:c r="Y106"/>
      <x:c r="Z106"/>
      <x:c r="AA106"/>
      <x:c r="AB106"/>
    </x:row>
    <x:row r="107" ht="38" hidden="0" customHeight="1">
      <x:c r="A107" s="402" t="n">
        <x:f>Daily!A32</x:f>
        <x:v>46371.5</x:v>
      </x:c>
      <x:c r="B107" s="391" t="str">
        <x:f>Daily!D32</x:f>
        <x:v>Handstand technique</x:v>
      </x:c>
      <x:c r="C107" s="400" t="str">
        <x:v>Wrist/shoulder mobility</x:v>
      </x:c>
      <x:c r="D107" s="400" t="str">
        <x:v>seconds</x:v>
      </x:c>
      <x:c r="E107" s="400" t="n">
        <x:v>1</x:v>
      </x:c>
      <x:c r="F107" s="400" t="n">
        <x:v>60</x:v>
      </x:c>
      <x:c r="G107" s="400" t="n">
        <x:f>E107*F107</x:f>
        <x:v>60</x:v>
      </x:c>
      <x:c r="H107" s="400" t="str">
        <x:f>IF(AND(OR(Daily!H32=TRUE,Daily!AB32=TRUE),COUNT(Daily!I32)&gt;0),SUM(Daily!I32)*86400,"")</x:f>
      </x:c>
      <x:c r="I107" s="432" t="str">
        <x:f>IF(AND(ISNUMBER(H107),ISNUMBER(G107),G107&gt;0),100*H107/G107,"")</x:f>
      </x:c>
      <x:c r="J107" s="432" t="n">
        <x:f>IF(COUNTIF(Library!$B$3:$B$58,C107)&lt;&gt;1,"",INDEX(Library!$C$3:$C$58,MATCH(C107,Library!$B$3:$B$58,0)))</x:f>
        <x:v>1</x:v>
      </x:c>
      <x:c r="K107" s="433" t="n">
        <x:f>IF(COUNTIFS(Loads!$A$3:$A$1000,"&gt;="&amp;INT(A107),Loads!$A$3:$A$1000,"&lt;"&amp;(INT(A107)+1),Loads!$B$3:$B$1000,B107,Loads!$C$3:$C$1000,C107)=0,0,IF(OR(COUNTIFS(Loads!$A$3:$A$1000,"&gt;="&amp;INT(A107),Loads!$A$3:$A$1000,"&lt;"&amp;(INT(A107)+1),Loads!$B$3:$B$1000,B107,Loads!$C$3:$C$1000,C107)&lt;&gt;1,COUNTIFS(Loads!$A$3:$A$1000,"&gt;="&amp;INT(A107),Loads!$A$3:$A$1000,"&lt;"&amp;(INT(A107)+1),Loads!$B$3:$B$1000,B107,Loads!$C$3:$C$1000,C107,Loads!$E$3:$E$1000,"&lt;&gt;")&lt;&gt;1),"",SUMIFS(Loads!$E$3:$E$1000,Loads!$A$3:$A$1000,"&gt;="&amp;INT(A107),Loads!$A$3:$A$1000,"&lt;"&amp;(INT(A107)+1),Loads!$B$3:$B$1000,B107,Loads!$C$3:$C$1000,C107)))</x:f>
        <x:v>0</x:v>
      </x:c>
      <x:c r="L107" s="434" t="n">
        <x:f>IF(COUNTIF(Library!$B$3:$B$58,C107)&lt;&gt;1,"",IF(COUNTIFS(Library!$B$3:$B$58,C107,Library!$E$3:$E$58,"&lt;&gt;")=0,0,INDEX(Library!$E$3:$E$58,MATCH(C107,Library!$B$3:$B$58,0))))</x:f>
        <x:v>0</x:v>
      </x:c>
      <x:c r="M107" s="432" t="n">
        <x:f>IF(OR(COUNT(J107:L107)&lt;&gt;3,J107&lt;0,J107&gt;10,K107&lt;0,L107&lt;0,COUNTIFS(Library!$B$3:$B$58,C107,Library!$D$3:$D$58,D107)&lt;&gt;1),"",MIN(10,J107*(1+K107*L107)))</x:f>
        <x:v>1</x:v>
      </x:c>
      <x:c r="N107" s="432" t="n">
        <x:f>IF(D107="seconds",IF(AND(ISNUMBER($B$177),$B$177&gt;0),G107/$B$177,""),IF(D107="reps/leg",G107*2,G107))</x:f>
        <x:v>20</x:v>
      </x:c>
      <x:c r="O107" s="432" t="n">
        <x:f>IF(COUNT(M107:N107)&lt;&gt;2,"",M107*N107)</x:f>
        <x:v>20</x:v>
      </x:c>
      <x:c r="P107" s="432" t="n">
        <x:f>IF(COUNT(O107:O109)&lt;&gt;COUNT(N107:N109),"",IF(SUM(N107:N109)=0,0,ROUND(SUM(O107:O109)/SUM(N107:N109),1)))</x:f>
        <x:v>1</x:v>
      </x:c>
      <x:c r="Q107" s="432" t="str">
        <x:f>IF(COUNT(I107:I109)=0,"",MEDIAN(I107:I109))</x:f>
      </x:c>
      <x:c r="R107" s="400" t="n">
        <x:f>COUNT(I107:I109)</x:f>
        <x:v>0</x:v>
      </x:c>
      <x:c r="S107" s="400" t="n">
        <x:v>3</x:v>
      </x:c>
      <x:c r="T107"/>
      <x:c r="U107"/>
      <x:c r="V107"/>
      <x:c r="W107"/>
      <x:c r="X107"/>
      <x:c r="Y107"/>
      <x:c r="Z107"/>
      <x:c r="AA107"/>
      <x:c r="AB107"/>
    </x:row>
    <x:row r="108" ht="38" hidden="0" customHeight="1">
      <x:c r="A108" s="402" t="n">
        <x:f>Daily!A32</x:f>
        <x:v>46371.5</x:v>
      </x:c>
      <x:c r="B108" s="391" t="str">
        <x:f>Daily!D32</x:f>
        <x:v>Handstand technique</x:v>
      </x:c>
      <x:c r="C108" s="400" t="str">
        <x:v>Easy chest-to-wall hold</x:v>
      </x:c>
      <x:c r="D108" s="400" t="str">
        <x:v>seconds</x:v>
      </x:c>
      <x:c r="E108" s="400" t="n">
        <x:v>2</x:v>
      </x:c>
      <x:c r="F108" s="400" t="n">
        <x:v>10</x:v>
      </x:c>
      <x:c r="G108" s="400" t="n">
        <x:f>E108*F108</x:f>
        <x:v>20</x:v>
      </x:c>
      <x:c r="H108" s="400" t="str">
        <x:f>IF(AND(OR(Daily!N32=TRUE,Daily!AB32=TRUE),COUNT(Daily!O32,Daily!P32)&gt;0),SUM(Daily!O32,Daily!P32)*86400,"")</x:f>
      </x:c>
      <x:c r="I108" s="432" t="str">
        <x:f>IF(AND(ISNUMBER(H108),ISNUMBER(G108),G108&gt;0),100*H108/G108,"")</x:f>
      </x:c>
      <x:c r="J108" s="432" t="n">
        <x:f>IF(COUNTIF(Library!$B$3:$B$58,C108)&lt;&gt;1,"",INDEX(Library!$C$3:$C$58,MATCH(C108,Library!$B$3:$B$58,0)))</x:f>
        <x:v>1</x:v>
      </x:c>
      <x:c r="K108" s="433" t="n">
        <x:f>IF(COUNTIFS(Loads!$A$3:$A$1000,"&gt;="&amp;INT(A108),Loads!$A$3:$A$1000,"&lt;"&amp;(INT(A108)+1),Loads!$B$3:$B$1000,B108,Loads!$C$3:$C$1000,C108)=0,0,IF(OR(COUNTIFS(Loads!$A$3:$A$1000,"&gt;="&amp;INT(A108),Loads!$A$3:$A$1000,"&lt;"&amp;(INT(A108)+1),Loads!$B$3:$B$1000,B108,Loads!$C$3:$C$1000,C108)&lt;&gt;1,COUNTIFS(Loads!$A$3:$A$1000,"&gt;="&amp;INT(A108),Loads!$A$3:$A$1000,"&lt;"&amp;(INT(A108)+1),Loads!$B$3:$B$1000,B108,Loads!$C$3:$C$1000,C108,Loads!$E$3:$E$1000,"&lt;&gt;")&lt;&gt;1),"",SUMIFS(Loads!$E$3:$E$1000,Loads!$A$3:$A$1000,"&gt;="&amp;INT(A108),Loads!$A$3:$A$1000,"&lt;"&amp;(INT(A108)+1),Loads!$B$3:$B$1000,B108,Loads!$C$3:$C$1000,C108)))</x:f>
        <x:v>0</x:v>
      </x:c>
      <x:c r="L108" s="434" t="n">
        <x:f>IF(COUNTIF(Library!$B$3:$B$58,C108)&lt;&gt;1,"",IF(COUNTIFS(Library!$B$3:$B$58,C108,Library!$E$3:$E$58,"&lt;&gt;")=0,0,INDEX(Library!$E$3:$E$58,MATCH(C108,Library!$B$3:$B$58,0))))</x:f>
        <x:v>0</x:v>
      </x:c>
      <x:c r="M108" s="432" t="n">
        <x:f>IF(OR(COUNT(J108:L108)&lt;&gt;3,J108&lt;0,J108&gt;10,K108&lt;0,L108&lt;0,COUNTIFS(Library!$B$3:$B$58,C108,Library!$D$3:$D$58,D108)&lt;&gt;1),"",MIN(10,J108*(1+K108*L108)))</x:f>
        <x:v>1</x:v>
      </x:c>
      <x:c r="N108" s="432" t="n">
        <x:f>IF(D108="seconds",IF(AND(ISNUMBER($B$177),$B$177&gt;0),G108/$B$177,""),IF(D108="reps/leg",G108*2,G108))</x:f>
        <x:v>6.666666666666667</x:v>
      </x:c>
      <x:c r="O108" s="432" t="n">
        <x:f>IF(COUNT(M108:N108)&lt;&gt;2,"",M108*N108)</x:f>
        <x:v>6.666666666666667</x:v>
      </x:c>
      <x:c r="P108" s="432"/>
      <x:c r="Q108" s="432"/>
      <x:c r="R108" s="400"/>
      <x:c r="S108" s="400"/>
      <x:c r="T108"/>
      <x:c r="U108"/>
      <x:c r="V108"/>
      <x:c r="W108"/>
      <x:c r="X108"/>
      <x:c r="Y108"/>
      <x:c r="Z108"/>
      <x:c r="AA108"/>
      <x:c r="AB108"/>
    </x:row>
    <x:row r="109" ht="38" hidden="0" customHeight="1">
      <x:c r="A109" s="402" t="n">
        <x:f>Daily!A32</x:f>
        <x:v>46371.5</x:v>
      </x:c>
      <x:c r="B109" s="391" t="str">
        <x:f>Daily!D32</x:f>
        <x:v>Handstand technique</x:v>
      </x:c>
      <x:c r="C109" s="400" t="str">
        <x:v>Wall handstand line drill</x:v>
      </x:c>
      <x:c r="D109" s="400" t="str">
        <x:v>seconds</x:v>
      </x:c>
      <x:c r="E109" s="400" t="n">
        <x:v>1</x:v>
      </x:c>
      <x:c r="F109" s="400" t="n">
        <x:v>10</x:v>
      </x:c>
      <x:c r="G109" s="400" t="n">
        <x:f>E109*F109</x:f>
        <x:v>10</x:v>
      </x:c>
      <x:c r="H109" s="400" t="str">
        <x:f>IF(AND(OR(Daily!T32=TRUE,Daily!AB32=TRUE),COUNT(Daily!U32)&gt;0),SUM(Daily!U32)*86400,"")</x:f>
      </x:c>
      <x:c r="I109" s="432" t="str">
        <x:f>IF(AND(ISNUMBER(H109),ISNUMBER(G109),G109&gt;0),100*H109/G109,"")</x:f>
      </x:c>
      <x:c r="J109" s="432" t="n">
        <x:f>IF(COUNTIF(Library!$B$3:$B$58,C109)&lt;&gt;1,"",INDEX(Library!$C$3:$C$58,MATCH(C109,Library!$B$3:$B$58,0)))</x:f>
        <x:v>1</x:v>
      </x:c>
      <x:c r="K109" s="433" t="n">
        <x:f>IF(COUNTIFS(Loads!$A$3:$A$1000,"&gt;="&amp;INT(A109),Loads!$A$3:$A$1000,"&lt;"&amp;(INT(A109)+1),Loads!$B$3:$B$1000,B109,Loads!$C$3:$C$1000,C109)=0,0,IF(OR(COUNTIFS(Loads!$A$3:$A$1000,"&gt;="&amp;INT(A109),Loads!$A$3:$A$1000,"&lt;"&amp;(INT(A109)+1),Loads!$B$3:$B$1000,B109,Loads!$C$3:$C$1000,C109)&lt;&gt;1,COUNTIFS(Loads!$A$3:$A$1000,"&gt;="&amp;INT(A109),Loads!$A$3:$A$1000,"&lt;"&amp;(INT(A109)+1),Loads!$B$3:$B$1000,B109,Loads!$C$3:$C$1000,C109,Loads!$E$3:$E$1000,"&lt;&gt;")&lt;&gt;1),"",SUMIFS(Loads!$E$3:$E$1000,Loads!$A$3:$A$1000,"&gt;="&amp;INT(A109),Loads!$A$3:$A$1000,"&lt;"&amp;(INT(A109)+1),Loads!$B$3:$B$1000,B109,Loads!$C$3:$C$1000,C109)))</x:f>
        <x:v>0</x:v>
      </x:c>
      <x:c r="L109" s="434" t="n">
        <x:f>IF(COUNTIF(Library!$B$3:$B$58,C109)&lt;&gt;1,"",IF(COUNTIFS(Library!$B$3:$B$58,C109,Library!$E$3:$E$58,"&lt;&gt;")=0,0,INDEX(Library!$E$3:$E$58,MATCH(C109,Library!$B$3:$B$58,0))))</x:f>
        <x:v>0</x:v>
      </x:c>
      <x:c r="M109" s="432" t="n">
        <x:f>IF(OR(COUNT(J109:L109)&lt;&gt;3,J109&lt;0,J109&gt;10,K109&lt;0,L109&lt;0,COUNTIFS(Library!$B$3:$B$58,C109,Library!$D$3:$D$58,D109)&lt;&gt;1),"",MIN(10,J109*(1+K109*L109)))</x:f>
        <x:v>1</x:v>
      </x:c>
      <x:c r="N109" s="432" t="n">
        <x:f>IF(D109="seconds",IF(AND(ISNUMBER($B$177),$B$177&gt;0),G109/$B$177,""),IF(D109="reps/leg",G109*2,G109))</x:f>
        <x:v>3.3333333333333335</x:v>
      </x:c>
      <x:c r="O109" s="432" t="n">
        <x:f>IF(COUNT(M109:N109)&lt;&gt;2,"",M109*N109)</x:f>
        <x:v>3.3333333333333335</x:v>
      </x:c>
      <x:c r="P109" s="432"/>
      <x:c r="Q109" s="432"/>
      <x:c r="R109" s="400"/>
      <x:c r="S109" s="400"/>
      <x:c r="T109"/>
      <x:c r="U109"/>
      <x:c r="V109"/>
      <x:c r="W109"/>
      <x:c r="X109"/>
      <x:c r="Y109"/>
      <x:c r="Z109"/>
      <x:c r="AA109"/>
      <x:c r="AB109"/>
    </x:row>
    <x:row r="110" ht="38" hidden="0" customHeight="1">
      <x:c r="A110" s="402" t="n">
        <x:f>Daily!A33</x:f>
        <x:v>46373.5</x:v>
      </x:c>
      <x:c r="B110" s="391" t="str">
        <x:f>Daily!D33</x:f>
        <x:v>Skill B + Cal-Intervals</x:v>
      </x:c>
      <x:c r="C110" s="400" t="str">
        <x:v>Easy wall handstand</x:v>
      </x:c>
      <x:c r="D110" s="400" t="str">
        <x:v>seconds</x:v>
      </x:c>
      <x:c r="E110" s="400" t="n">
        <x:v>1</x:v>
      </x:c>
      <x:c r="F110" s="400" t="n">
        <x:v>15</x:v>
      </x:c>
      <x:c r="G110" s="400" t="n">
        <x:f>E110*F110</x:f>
        <x:v>15</x:v>
      </x:c>
      <x:c r="H110" s="400" t="str">
        <x:f>IF(AND(OR(Daily!H33=TRUE,Daily!AB33=TRUE),COUNT(Daily!I33)&gt;0),SUM(Daily!I33)*86400,"")</x:f>
      </x:c>
      <x:c r="I110" s="432" t="str">
        <x:f>IF(AND(ISNUMBER(H110),ISNUMBER(G110),G110&gt;0),100*H110/G110,"")</x:f>
      </x:c>
      <x:c r="J110" s="432" t="n">
        <x:f>IF(COUNTIF(Library!$B$3:$B$58,C110)&lt;&gt;1,"",INDEX(Library!$C$3:$C$58,MATCH(C110,Library!$B$3:$B$58,0)))</x:f>
        <x:v>1</x:v>
      </x:c>
      <x:c r="K110" s="433" t="n">
        <x:f>IF(COUNTIFS(Loads!$A$3:$A$1000,"&gt;="&amp;INT(A110),Loads!$A$3:$A$1000,"&lt;"&amp;(INT(A110)+1),Loads!$B$3:$B$1000,B110,Loads!$C$3:$C$1000,C110)=0,0,IF(OR(COUNTIFS(Loads!$A$3:$A$1000,"&gt;="&amp;INT(A110),Loads!$A$3:$A$1000,"&lt;"&amp;(INT(A110)+1),Loads!$B$3:$B$1000,B110,Loads!$C$3:$C$1000,C110)&lt;&gt;1,COUNTIFS(Loads!$A$3:$A$1000,"&gt;="&amp;INT(A110),Loads!$A$3:$A$1000,"&lt;"&amp;(INT(A110)+1),Loads!$B$3:$B$1000,B110,Loads!$C$3:$C$1000,C110,Loads!$E$3:$E$1000,"&lt;&gt;")&lt;&gt;1),"",SUMIFS(Loads!$E$3:$E$1000,Loads!$A$3:$A$1000,"&gt;="&amp;INT(A110),Loads!$A$3:$A$1000,"&lt;"&amp;(INT(A110)+1),Loads!$B$3:$B$1000,B110,Loads!$C$3:$C$1000,C110)))</x:f>
        <x:v>0</x:v>
      </x:c>
      <x:c r="L110" s="434" t="n">
        <x:f>IF(COUNTIF(Library!$B$3:$B$58,C110)&lt;&gt;1,"",IF(COUNTIFS(Library!$B$3:$B$58,C110,Library!$E$3:$E$58,"&lt;&gt;")=0,0,INDEX(Library!$E$3:$E$58,MATCH(C110,Library!$B$3:$B$58,0))))</x:f>
        <x:v>0</x:v>
      </x:c>
      <x:c r="M110" s="432" t="n">
        <x:f>IF(OR(COUNT(J110:L110)&lt;&gt;3,J110&lt;0,J110&gt;10,K110&lt;0,L110&lt;0,COUNTIFS(Library!$B$3:$B$58,C110,Library!$D$3:$D$58,D110)&lt;&gt;1),"",MIN(10,J110*(1+K110*L110)))</x:f>
        <x:v>1</x:v>
      </x:c>
      <x:c r="N110" s="432" t="n">
        <x:f>IF(D110="seconds",IF(AND(ISNUMBER($B$177),$B$177&gt;0),G110/$B$177,""),IF(D110="reps/leg",G110*2,G110))</x:f>
        <x:v>5</x:v>
      </x:c>
      <x:c r="O110" s="432" t="n">
        <x:f>IF(COUNT(M110:N110)&lt;&gt;2,"",M110*N110)</x:f>
        <x:v>5</x:v>
      </x:c>
      <x:c r="P110" s="432" t="n">
        <x:f>IF(COUNT(O110:O113)&lt;&gt;COUNT(N110:N113),"",IF(SUM(N110:N113)=0,0,ROUND(SUM(O110:O113)/SUM(N110:N113),1)))</x:f>
        <x:v>4.6</x:v>
      </x:c>
      <x:c r="Q110" s="432" t="str">
        <x:f>IF(COUNT(I110:I113)=0,"",MEDIAN(I110:I113))</x:f>
      </x:c>
      <x:c r="R110" s="400" t="n">
        <x:f>COUNT(I110:I113)</x:f>
        <x:v>0</x:v>
      </x:c>
      <x:c r="S110" s="400" t="n">
        <x:v>4</x:v>
      </x:c>
      <x:c r="T110"/>
      <x:c r="U110"/>
      <x:c r="V110"/>
      <x:c r="W110"/>
      <x:c r="X110"/>
      <x:c r="Y110"/>
      <x:c r="Z110"/>
      <x:c r="AA110"/>
      <x:c r="AB110"/>
    </x:row>
    <x:row r="111" ht="38" hidden="0" customHeight="1">
      <x:c r="A111" s="402" t="n">
        <x:f>Daily!A33</x:f>
        <x:v>46373.5</x:v>
      </x:c>
      <x:c r="B111" s="391" t="str">
        <x:f>Daily!D33</x:f>
        <x:v>Skill B + Cal-Intervals</x:v>
      </x:c>
      <x:c r="C111" s="400" t="str">
        <x:v>Easy pike push-up</x:v>
      </x:c>
      <x:c r="D111" s="400" t="str">
        <x:v>reps</x:v>
      </x:c>
      <x:c r="E111" s="400" t="n">
        <x:v>1</x:v>
      </x:c>
      <x:c r="F111" s="400" t="n">
        <x:v>4</x:v>
      </x:c>
      <x:c r="G111" s="400" t="n">
        <x:f>E111*F111</x:f>
        <x:v>4</x:v>
      </x:c>
      <x:c r="H111" s="400" t="str">
        <x:f>IF(AND(OR(Daily!N33=TRUE,Daily!AB33=TRUE),COUNT(Daily!O33)&gt;0),SUM(Daily!O33),"")</x:f>
      </x:c>
      <x:c r="I111" s="432" t="str">
        <x:f>IF(AND(ISNUMBER(H111),ISNUMBER(G111),G111&gt;0),100*H111/G111,"")</x:f>
      </x:c>
      <x:c r="J111" s="432" t="n">
        <x:f>IF(COUNTIF(Library!$B$3:$B$58,C111)&lt;&gt;1,"",INDEX(Library!$C$3:$C$58,MATCH(C111,Library!$B$3:$B$58,0)))</x:f>
        <x:v>1</x:v>
      </x:c>
      <x:c r="K111" s="433" t="n">
        <x:f>IF(COUNTIFS(Loads!$A$3:$A$1000,"&gt;="&amp;INT(A111),Loads!$A$3:$A$1000,"&lt;"&amp;(INT(A111)+1),Loads!$B$3:$B$1000,B111,Loads!$C$3:$C$1000,C111)=0,0,IF(OR(COUNTIFS(Loads!$A$3:$A$1000,"&gt;="&amp;INT(A111),Loads!$A$3:$A$1000,"&lt;"&amp;(INT(A111)+1),Loads!$B$3:$B$1000,B111,Loads!$C$3:$C$1000,C111)&lt;&gt;1,COUNTIFS(Loads!$A$3:$A$1000,"&gt;="&amp;INT(A111),Loads!$A$3:$A$1000,"&lt;"&amp;(INT(A111)+1),Loads!$B$3:$B$1000,B111,Loads!$C$3:$C$1000,C111,Loads!$E$3:$E$1000,"&lt;&gt;")&lt;&gt;1),"",SUMIFS(Loads!$E$3:$E$1000,Loads!$A$3:$A$1000,"&gt;="&amp;INT(A111),Loads!$A$3:$A$1000,"&lt;"&amp;(INT(A111)+1),Loads!$B$3:$B$1000,B111,Loads!$C$3:$C$1000,C111)))</x:f>
        <x:v>0</x:v>
      </x:c>
      <x:c r="L111" s="434" t="n">
        <x:f>IF(COUNTIF(Library!$B$3:$B$58,C111)&lt;&gt;1,"",IF(COUNTIFS(Library!$B$3:$B$58,C111,Library!$E$3:$E$58,"&lt;&gt;")=0,0,INDEX(Library!$E$3:$E$58,MATCH(C111,Library!$B$3:$B$58,0))))</x:f>
        <x:v>0</x:v>
      </x:c>
      <x:c r="M111" s="432" t="n">
        <x:f>IF(OR(COUNT(J111:L111)&lt;&gt;3,J111&lt;0,J111&gt;10,K111&lt;0,L111&lt;0,COUNTIFS(Library!$B$3:$B$58,C111,Library!$D$3:$D$58,D111)&lt;&gt;1),"",MIN(10,J111*(1+K111*L111)))</x:f>
        <x:v>1</x:v>
      </x:c>
      <x:c r="N111" s="432" t="n">
        <x:f>IF(D111="seconds",IF(AND(ISNUMBER($B$177),$B$177&gt;0),G111/$B$177,""),IF(D111="reps/leg",G111*2,G111))</x:f>
        <x:v>4</x:v>
      </x:c>
      <x:c r="O111" s="432" t="n">
        <x:f>IF(COUNT(M111:N111)&lt;&gt;2,"",M111*N111)</x:f>
        <x:v>4</x:v>
      </x:c>
      <x:c r="P111" s="432"/>
      <x:c r="Q111" s="432"/>
      <x:c r="R111" s="400"/>
      <x:c r="S111" s="400"/>
      <x:c r="T111"/>
      <x:c r="U111"/>
      <x:c r="V111"/>
      <x:c r="W111"/>
      <x:c r="X111"/>
      <x:c r="Y111"/>
      <x:c r="Z111"/>
      <x:c r="AA111"/>
      <x:c r="AB111"/>
    </x:row>
    <x:row r="112" ht="38" hidden="0" customHeight="1">
      <x:c r="A112" s="402" t="n">
        <x:f>Daily!A33</x:f>
        <x:v>46373.5</x:v>
      </x:c>
      <x:c r="B112" s="391" t="str">
        <x:f>Daily!D33</x:f>
        <x:v>Skill B + Cal-Intervals</x:v>
      </x:c>
      <x:c r="C112" s="400" t="str">
        <x:v>Assisted smooth pistol</x:v>
      </x:c>
      <x:c r="D112" s="400" t="str">
        <x:v>reps/leg</x:v>
      </x:c>
      <x:c r="E112" s="400" t="n">
        <x:v>1</x:v>
      </x:c>
      <x:c r="F112" s="400" t="n">
        <x:v>3</x:v>
      </x:c>
      <x:c r="G112" s="400" t="n">
        <x:f>E112*F112</x:f>
        <x:v>3</x:v>
      </x:c>
      <x:c r="H112" s="400" t="str">
        <x:f>IF(AND(OR(Daily!T33=TRUE,Daily!AB33=TRUE),COUNT(Daily!U33)&gt;0),SUM(Daily!U33),"")</x:f>
      </x:c>
      <x:c r="I112" s="432" t="str">
        <x:f>IF(AND(ISNUMBER(H112),ISNUMBER(G112),G112&gt;0),100*H112/G112,"")</x:f>
      </x:c>
      <x:c r="J112" s="432" t="n">
        <x:f>IF(COUNTIF(Library!$B$3:$B$58,C112)&lt;&gt;1,"",INDEX(Library!$C$3:$C$58,MATCH(C112,Library!$B$3:$B$58,0)))</x:f>
        <x:v>2</x:v>
      </x:c>
      <x:c r="K112" s="433" t="n">
        <x:f>IF(COUNTIFS(Loads!$A$3:$A$1000,"&gt;="&amp;INT(A112),Loads!$A$3:$A$1000,"&lt;"&amp;(INT(A112)+1),Loads!$B$3:$B$1000,B112,Loads!$C$3:$C$1000,C112)=0,0,IF(OR(COUNTIFS(Loads!$A$3:$A$1000,"&gt;="&amp;INT(A112),Loads!$A$3:$A$1000,"&lt;"&amp;(INT(A112)+1),Loads!$B$3:$B$1000,B112,Loads!$C$3:$C$1000,C112)&lt;&gt;1,COUNTIFS(Loads!$A$3:$A$1000,"&gt;="&amp;INT(A112),Loads!$A$3:$A$1000,"&lt;"&amp;(INT(A112)+1),Loads!$B$3:$B$1000,B112,Loads!$C$3:$C$1000,C112,Loads!$E$3:$E$1000,"&lt;&gt;")&lt;&gt;1),"",SUMIFS(Loads!$E$3:$E$1000,Loads!$A$3:$A$1000,"&gt;="&amp;INT(A112),Loads!$A$3:$A$1000,"&lt;"&amp;(INT(A112)+1),Loads!$B$3:$B$1000,B112,Loads!$C$3:$C$1000,C112)))</x:f>
        <x:v>0</x:v>
      </x:c>
      <x:c r="L112" s="434" t="n">
        <x:f>IF(COUNTIF(Library!$B$3:$B$58,C112)&lt;&gt;1,"",IF(COUNTIFS(Library!$B$3:$B$58,C112,Library!$E$3:$E$58,"&lt;&gt;")=0,0,INDEX(Library!$E$3:$E$58,MATCH(C112,Library!$B$3:$B$58,0))))</x:f>
        <x:v>0.03</x:v>
      </x:c>
      <x:c r="M112" s="432" t="n">
        <x:f>IF(OR(COUNT(J112:L112)&lt;&gt;3,J112&lt;0,J112&gt;10,K112&lt;0,L112&lt;0,COUNTIFS(Library!$B$3:$B$58,C112,Library!$D$3:$D$58,D112)&lt;&gt;1),"",MIN(10,J112*(1+K112*L112)))</x:f>
        <x:v>2</x:v>
      </x:c>
      <x:c r="N112" s="432" t="n">
        <x:f>IF(D112="seconds",IF(AND(ISNUMBER($B$177),$B$177&gt;0),G112/$B$177,""),IF(D112="reps/leg",G112*2,G112))</x:f>
        <x:v>6</x:v>
      </x:c>
      <x:c r="O112" s="432" t="n">
        <x:f>IF(COUNT(M112:N112)&lt;&gt;2,"",M112*N112)</x:f>
        <x:v>12</x:v>
      </x:c>
      <x:c r="P112" s="432"/>
      <x:c r="Q112" s="432"/>
      <x:c r="R112" s="400"/>
      <x:c r="S112" s="400"/>
      <x:c r="T112"/>
      <x:c r="U112"/>
      <x:c r="V112"/>
      <x:c r="W112"/>
      <x:c r="X112"/>
      <x:c r="Y112"/>
      <x:c r="Z112"/>
      <x:c r="AA112"/>
      <x:c r="AB112"/>
    </x:row>
    <x:row r="113" ht="38" hidden="0" customHeight="1">
      <x:c r="A113" s="402" t="n">
        <x:f>Daily!A33</x:f>
        <x:v>46373.5</x:v>
      </x:c>
      <x:c r="B113" s="391" t="str">
        <x:f>Daily!D33</x:f>
        <x:v>Skill B + Cal-Intervals</x:v>
      </x:c>
      <x:c r="C113" s="400" t="str">
        <x:v>Cal-Intervals</x:v>
      </x:c>
      <x:c r="D113" s="400" t="str">
        <x:v>rounds</x:v>
      </x:c>
      <x:c r="E113" s="400" t="n">
        <x:v>1</x:v>
      </x:c>
      <x:c r="F113" s="400" t="n">
        <x:v>3</x:v>
      </x:c>
      <x:c r="G113" s="400" t="n">
        <x:v>3</x:v>
      </x:c>
      <x:c r="H113" s="400" t="str">
        <x:f>IF(AND(OR(Daily!Z33=TRUE,Daily!AB33=TRUE),ISNUMBER(Daily!AA33)),Daily!AA33,"")</x:f>
      </x:c>
      <x:c r="I113" s="432" t="str">
        <x:f>IF(AND(ISNUMBER(H113),G113&gt;0),100*H113/G113,"")</x:f>
      </x:c>
      <x:c r="J113" s="432" t="n">
        <x:f>IF(OR(COUNT(Library!F67:F70)&lt;&gt;4,COUNT(Library!E67:E70)&lt;&gt;4,SUM(Library!E67:E70)=0),"",SUM(Library!F67:F70)/SUM(Library!E67:E70))</x:f>
        <x:v>5</x:v>
      </x:c>
      <x:c r="K113" s="433"/>
      <x:c r="L113" s="434"/>
      <x:c r="M113" s="432" t="n">
        <x:f>IF(ISNUMBER(J113),J113,"")</x:f>
        <x:v>5</x:v>
      </x:c>
      <x:c r="N113" s="432" t="n">
        <x:f>IF(COUNT(Library!E67:E70)&lt;&gt;4,"",G113*SUM(Library!E67:E70))</x:f>
        <x:v>120</x:v>
      </x:c>
      <x:c r="O113" s="432" t="n">
        <x:f>IF(COUNT(Library!F67:F70)&lt;&gt;4,"",G113*SUM(Library!F67:F70))</x:f>
        <x:v>600</x:v>
      </x:c>
      <x:c r="P113" s="432"/>
      <x:c r="Q113" s="432"/>
      <x:c r="R113" s="400"/>
      <x:c r="S113" s="400"/>
      <x:c r="T113"/>
      <x:c r="U113"/>
      <x:c r="V113"/>
      <x:c r="W113"/>
      <x:c r="X113"/>
      <x:c r="Y113"/>
      <x:c r="Z113"/>
      <x:c r="AA113"/>
      <x:c r="AB113"/>
    </x:row>
    <x:row r="114" ht="38" hidden="0" customHeight="1">
      <x:c r="A114" s="402" t="n">
        <x:f>Daily!A34</x:f>
        <x:v>46375.5</x:v>
      </x:c>
      <x:c r="B114" s="391" t="str">
        <x:f>Daily!D34</x:f>
        <x:v>Skill micro-session</x:v>
      </x:c>
      <x:c r="C114" s="400" t="str">
        <x:v>Wrist/shoulder mobility</x:v>
      </x:c>
      <x:c r="D114" s="400" t="str">
        <x:v>seconds</x:v>
      </x:c>
      <x:c r="E114" s="400" t="n">
        <x:v>1</x:v>
      </x:c>
      <x:c r="F114" s="400" t="n">
        <x:v>60</x:v>
      </x:c>
      <x:c r="G114" s="400" t="n">
        <x:f>E114*F114</x:f>
        <x:v>60</x:v>
      </x:c>
      <x:c r="H114" s="400" t="str">
        <x:f>IF(AND(OR(Daily!H34=TRUE,Daily!AB34=TRUE),COUNT(Daily!I34)&gt;0),SUM(Daily!I34)*86400,"")</x:f>
      </x:c>
      <x:c r="I114" s="432" t="str">
        <x:f>IF(AND(ISNUMBER(H114),ISNUMBER(G114),G114&gt;0),100*H114/G114,"")</x:f>
      </x:c>
      <x:c r="J114" s="432" t="n">
        <x:f>IF(COUNTIF(Library!$B$3:$B$58,C114)&lt;&gt;1,"",INDEX(Library!$C$3:$C$58,MATCH(C114,Library!$B$3:$B$58,0)))</x:f>
        <x:v>1</x:v>
      </x:c>
      <x:c r="K114" s="433" t="n">
        <x:f>IF(COUNTIFS(Loads!$A$3:$A$1000,"&gt;="&amp;INT(A114),Loads!$A$3:$A$1000,"&lt;"&amp;(INT(A114)+1),Loads!$B$3:$B$1000,B114,Loads!$C$3:$C$1000,C114)=0,0,IF(OR(COUNTIFS(Loads!$A$3:$A$1000,"&gt;="&amp;INT(A114),Loads!$A$3:$A$1000,"&lt;"&amp;(INT(A114)+1),Loads!$B$3:$B$1000,B114,Loads!$C$3:$C$1000,C114)&lt;&gt;1,COUNTIFS(Loads!$A$3:$A$1000,"&gt;="&amp;INT(A114),Loads!$A$3:$A$1000,"&lt;"&amp;(INT(A114)+1),Loads!$B$3:$B$1000,B114,Loads!$C$3:$C$1000,C114,Loads!$E$3:$E$1000,"&lt;&gt;")&lt;&gt;1),"",SUMIFS(Loads!$E$3:$E$1000,Loads!$A$3:$A$1000,"&gt;="&amp;INT(A114),Loads!$A$3:$A$1000,"&lt;"&amp;(INT(A114)+1),Loads!$B$3:$B$1000,B114,Loads!$C$3:$C$1000,C114)))</x:f>
        <x:v>0</x:v>
      </x:c>
      <x:c r="L114" s="434" t="n">
        <x:f>IF(COUNTIF(Library!$B$3:$B$58,C114)&lt;&gt;1,"",IF(COUNTIFS(Library!$B$3:$B$58,C114,Library!$E$3:$E$58,"&lt;&gt;")=0,0,INDEX(Library!$E$3:$E$58,MATCH(C114,Library!$B$3:$B$58,0))))</x:f>
        <x:v>0</x:v>
      </x:c>
      <x:c r="M114" s="432" t="n">
        <x:f>IF(OR(COUNT(J114:L114)&lt;&gt;3,J114&lt;0,J114&gt;10,K114&lt;0,L114&lt;0,COUNTIFS(Library!$B$3:$B$58,C114,Library!$D$3:$D$58,D114)&lt;&gt;1),"",MIN(10,J114*(1+K114*L114)))</x:f>
        <x:v>1</x:v>
      </x:c>
      <x:c r="N114" s="432" t="n">
        <x:f>IF(D114="seconds",IF(AND(ISNUMBER($B$177),$B$177&gt;0),G114/$B$177,""),IF(D114="reps/leg",G114*2,G114))</x:f>
        <x:v>20</x:v>
      </x:c>
      <x:c r="O114" s="432" t="n">
        <x:f>IF(COUNT(M114:N114)&lt;&gt;2,"",M114*N114)</x:f>
        <x:v>20</x:v>
      </x:c>
      <x:c r="P114" s="432" t="n">
        <x:f>IF(COUNT(O114:O116)&lt;&gt;COUNT(N114:N116),"",IF(SUM(N114:N116)=0,0,ROUND(SUM(O114:O116)/SUM(N114:N116),1)))</x:f>
        <x:v>1</x:v>
      </x:c>
      <x:c r="Q114" s="432" t="str">
        <x:f>IF(COUNT(I114:I116)=0,"",MEDIAN(I114:I116))</x:f>
      </x:c>
      <x:c r="R114" s="400" t="n">
        <x:f>COUNT(I114:I116)</x:f>
        <x:v>0</x:v>
      </x:c>
      <x:c r="S114" s="400" t="n">
        <x:v>3</x:v>
      </x:c>
      <x:c r="T114"/>
      <x:c r="U114"/>
      <x:c r="V114"/>
      <x:c r="W114"/>
      <x:c r="X114"/>
      <x:c r="Y114"/>
      <x:c r="Z114"/>
      <x:c r="AA114"/>
      <x:c r="AB114"/>
    </x:row>
    <x:row r="115" ht="38" hidden="0" customHeight="1">
      <x:c r="A115" s="402" t="n">
        <x:f>Daily!A34</x:f>
        <x:v>46375.5</x:v>
      </x:c>
      <x:c r="B115" s="391" t="str">
        <x:f>Daily!D34</x:f>
        <x:v>Skill micro-session</x:v>
      </x:c>
      <x:c r="C115" s="400" t="str">
        <x:v>Easy chest-to-wall hold</x:v>
      </x:c>
      <x:c r="D115" s="400" t="str">
        <x:v>seconds</x:v>
      </x:c>
      <x:c r="E115" s="400" t="n">
        <x:v>2</x:v>
      </x:c>
      <x:c r="F115" s="400" t="n">
        <x:v>10</x:v>
      </x:c>
      <x:c r="G115" s="400" t="n">
        <x:f>E115*F115</x:f>
        <x:v>20</x:v>
      </x:c>
      <x:c r="H115" s="400" t="str">
        <x:f>IF(AND(OR(Daily!N34=TRUE,Daily!AB34=TRUE),COUNT(Daily!O34,Daily!P34)&gt;0),SUM(Daily!O34,Daily!P34)*86400,"")</x:f>
      </x:c>
      <x:c r="I115" s="432" t="str">
        <x:f>IF(AND(ISNUMBER(H115),ISNUMBER(G115),G115&gt;0),100*H115/G115,"")</x:f>
      </x:c>
      <x:c r="J115" s="432" t="n">
        <x:f>IF(COUNTIF(Library!$B$3:$B$58,C115)&lt;&gt;1,"",INDEX(Library!$C$3:$C$58,MATCH(C115,Library!$B$3:$B$58,0)))</x:f>
        <x:v>1</x:v>
      </x:c>
      <x:c r="K115" s="433" t="n">
        <x:f>IF(COUNTIFS(Loads!$A$3:$A$1000,"&gt;="&amp;INT(A115),Loads!$A$3:$A$1000,"&lt;"&amp;(INT(A115)+1),Loads!$B$3:$B$1000,B115,Loads!$C$3:$C$1000,C115)=0,0,IF(OR(COUNTIFS(Loads!$A$3:$A$1000,"&gt;="&amp;INT(A115),Loads!$A$3:$A$1000,"&lt;"&amp;(INT(A115)+1),Loads!$B$3:$B$1000,B115,Loads!$C$3:$C$1000,C115)&lt;&gt;1,COUNTIFS(Loads!$A$3:$A$1000,"&gt;="&amp;INT(A115),Loads!$A$3:$A$1000,"&lt;"&amp;(INT(A115)+1),Loads!$B$3:$B$1000,B115,Loads!$C$3:$C$1000,C115,Loads!$E$3:$E$1000,"&lt;&gt;")&lt;&gt;1),"",SUMIFS(Loads!$E$3:$E$1000,Loads!$A$3:$A$1000,"&gt;="&amp;INT(A115),Loads!$A$3:$A$1000,"&lt;"&amp;(INT(A115)+1),Loads!$B$3:$B$1000,B115,Loads!$C$3:$C$1000,C115)))</x:f>
        <x:v>0</x:v>
      </x:c>
      <x:c r="L115" s="434" t="n">
        <x:f>IF(COUNTIF(Library!$B$3:$B$58,C115)&lt;&gt;1,"",IF(COUNTIFS(Library!$B$3:$B$58,C115,Library!$E$3:$E$58,"&lt;&gt;")=0,0,INDEX(Library!$E$3:$E$58,MATCH(C115,Library!$B$3:$B$58,0))))</x:f>
        <x:v>0</x:v>
      </x:c>
      <x:c r="M115" s="432" t="n">
        <x:f>IF(OR(COUNT(J115:L115)&lt;&gt;3,J115&lt;0,J115&gt;10,K115&lt;0,L115&lt;0,COUNTIFS(Library!$B$3:$B$58,C115,Library!$D$3:$D$58,D115)&lt;&gt;1),"",MIN(10,J115*(1+K115*L115)))</x:f>
        <x:v>1</x:v>
      </x:c>
      <x:c r="N115" s="432" t="n">
        <x:f>IF(D115="seconds",IF(AND(ISNUMBER($B$177),$B$177&gt;0),G115/$B$177,""),IF(D115="reps/leg",G115*2,G115))</x:f>
        <x:v>6.666666666666667</x:v>
      </x:c>
      <x:c r="O115" s="432" t="n">
        <x:f>IF(COUNT(M115:N115)&lt;&gt;2,"",M115*N115)</x:f>
        <x:v>6.666666666666667</x:v>
      </x:c>
      <x:c r="P115" s="432"/>
      <x:c r="Q115" s="432"/>
      <x:c r="R115" s="400"/>
      <x:c r="S115" s="400"/>
      <x:c r="T115"/>
      <x:c r="U115"/>
      <x:c r="V115"/>
      <x:c r="W115"/>
      <x:c r="X115"/>
      <x:c r="Y115"/>
      <x:c r="Z115"/>
      <x:c r="AA115"/>
      <x:c r="AB115"/>
    </x:row>
    <x:row r="116" ht="38" hidden="0" customHeight="1">
      <x:c r="A116" s="402" t="n">
        <x:f>Daily!A34</x:f>
        <x:v>46375.5</x:v>
      </x:c>
      <x:c r="B116" s="391" t="str">
        <x:f>Daily!D34</x:f>
        <x:v>Skill micro-session</x:v>
      </x:c>
      <x:c r="C116" s="400" t="str">
        <x:v>Wall handstand line drill</x:v>
      </x:c>
      <x:c r="D116" s="400" t="str">
        <x:v>seconds</x:v>
      </x:c>
      <x:c r="E116" s="400" t="n">
        <x:v>1</x:v>
      </x:c>
      <x:c r="F116" s="400" t="n">
        <x:v>10</x:v>
      </x:c>
      <x:c r="G116" s="400" t="n">
        <x:f>E116*F116</x:f>
        <x:v>10</x:v>
      </x:c>
      <x:c r="H116" s="400" t="str">
        <x:f>IF(AND(OR(Daily!T34=TRUE,Daily!AB34=TRUE),COUNT(Daily!U34)&gt;0),SUM(Daily!U34)*86400,"")</x:f>
      </x:c>
      <x:c r="I116" s="432" t="str">
        <x:f>IF(AND(ISNUMBER(H116),ISNUMBER(G116),G116&gt;0),100*H116/G116,"")</x:f>
      </x:c>
      <x:c r="J116" s="432" t="n">
        <x:f>IF(COUNTIF(Library!$B$3:$B$58,C116)&lt;&gt;1,"",INDEX(Library!$C$3:$C$58,MATCH(C116,Library!$B$3:$B$58,0)))</x:f>
        <x:v>1</x:v>
      </x:c>
      <x:c r="K116" s="433" t="n">
        <x:f>IF(COUNTIFS(Loads!$A$3:$A$1000,"&gt;="&amp;INT(A116),Loads!$A$3:$A$1000,"&lt;"&amp;(INT(A116)+1),Loads!$B$3:$B$1000,B116,Loads!$C$3:$C$1000,C116)=0,0,IF(OR(COUNTIFS(Loads!$A$3:$A$1000,"&gt;="&amp;INT(A116),Loads!$A$3:$A$1000,"&lt;"&amp;(INT(A116)+1),Loads!$B$3:$B$1000,B116,Loads!$C$3:$C$1000,C116)&lt;&gt;1,COUNTIFS(Loads!$A$3:$A$1000,"&gt;="&amp;INT(A116),Loads!$A$3:$A$1000,"&lt;"&amp;(INT(A116)+1),Loads!$B$3:$B$1000,B116,Loads!$C$3:$C$1000,C116,Loads!$E$3:$E$1000,"&lt;&gt;")&lt;&gt;1),"",SUMIFS(Loads!$E$3:$E$1000,Loads!$A$3:$A$1000,"&gt;="&amp;INT(A116),Loads!$A$3:$A$1000,"&lt;"&amp;(INT(A116)+1),Loads!$B$3:$B$1000,B116,Loads!$C$3:$C$1000,C116)))</x:f>
        <x:v>0</x:v>
      </x:c>
      <x:c r="L116" s="434" t="n">
        <x:f>IF(COUNTIF(Library!$B$3:$B$58,C116)&lt;&gt;1,"",IF(COUNTIFS(Library!$B$3:$B$58,C116,Library!$E$3:$E$58,"&lt;&gt;")=0,0,INDEX(Library!$E$3:$E$58,MATCH(C116,Library!$B$3:$B$58,0))))</x:f>
        <x:v>0</x:v>
      </x:c>
      <x:c r="M116" s="432" t="n">
        <x:f>IF(OR(COUNT(J116:L116)&lt;&gt;3,J116&lt;0,J116&gt;10,K116&lt;0,L116&lt;0,COUNTIFS(Library!$B$3:$B$58,C116,Library!$D$3:$D$58,D116)&lt;&gt;1),"",MIN(10,J116*(1+K116*L116)))</x:f>
        <x:v>1</x:v>
      </x:c>
      <x:c r="N116" s="432" t="n">
        <x:f>IF(D116="seconds",IF(AND(ISNUMBER($B$177),$B$177&gt;0),G116/$B$177,""),IF(D116="reps/leg",G116*2,G116))</x:f>
        <x:v>3.3333333333333335</x:v>
      </x:c>
      <x:c r="O116" s="432" t="n">
        <x:f>IF(COUNT(M116:N116)&lt;&gt;2,"",M116*N116)</x:f>
        <x:v>3.3333333333333335</x:v>
      </x:c>
      <x:c r="P116" s="432"/>
      <x:c r="Q116" s="432"/>
      <x:c r="R116" s="400"/>
      <x:c r="S116" s="400"/>
      <x:c r="T116"/>
      <x:c r="U116"/>
      <x:c r="V116"/>
      <x:c r="W116"/>
      <x:c r="X116"/>
      <x:c r="Y116"/>
      <x:c r="Z116"/>
      <x:c r="AA116"/>
      <x:c r="AB116"/>
    </x:row>
    <x:row r="117" ht="38" hidden="0" customHeight="1">
      <x:c r="A117" s="402" t="n">
        <x:f>Daily!A35</x:f>
        <x:v>46377.5</x:v>
      </x:c>
      <x:c r="B117" s="391" t="str">
        <x:f>Daily!D35</x:f>
        <x:v>Skill A (weighted)</x:v>
      </x:c>
      <x:c r="C117" s="400" t="str">
        <x:v>Pull-up</x:v>
      </x:c>
      <x:c r="D117" s="400" t="str">
        <x:v>reps</x:v>
      </x:c>
      <x:c r="E117" s="400" t="n">
        <x:v>3</x:v>
      </x:c>
      <x:c r="F117" s="400" t="n">
        <x:v>3</x:v>
      </x:c>
      <x:c r="G117" s="400" t="n">
        <x:f>E117*F117</x:f>
        <x:v>9</x:v>
      </x:c>
      <x:c r="H117" s="400" t="str">
        <x:f>IF(AND(OR(Daily!H35=TRUE,Daily!AB35=TRUE),COUNT(Daily!I35,Daily!J35,Daily!K35)&gt;0),SUM(Daily!I35,Daily!J35,Daily!K35),"")</x:f>
      </x:c>
      <x:c r="I117" s="432" t="str">
        <x:f>IF(AND(ISNUMBER(H117),ISNUMBER(G117),G117&gt;0),100*H117/G117,"")</x:f>
      </x:c>
      <x:c r="J117" s="432" t="n">
        <x:f>IF(COUNTIF(Library!$B$3:$B$58,C117)&lt;&gt;1,"",INDEX(Library!$C$3:$C$58,MATCH(C117,Library!$B$3:$B$58,0)))</x:f>
        <x:v>6</x:v>
      </x:c>
      <x:c r="K117" s="433" t="n">
        <x:f>IF(COUNTIFS(Loads!$A$3:$A$1000,"&gt;="&amp;INT(A117),Loads!$A$3:$A$1000,"&lt;"&amp;(INT(A117)+1),Loads!$B$3:$B$1000,B117,Loads!$C$3:$C$1000,C117)=0,0,IF(OR(COUNTIFS(Loads!$A$3:$A$1000,"&gt;="&amp;INT(A117),Loads!$A$3:$A$1000,"&lt;"&amp;(INT(A117)+1),Loads!$B$3:$B$1000,B117,Loads!$C$3:$C$1000,C117)&lt;&gt;1,COUNTIFS(Loads!$A$3:$A$1000,"&gt;="&amp;INT(A117),Loads!$A$3:$A$1000,"&lt;"&amp;(INT(A117)+1),Loads!$B$3:$B$1000,B117,Loads!$C$3:$C$1000,C117,Loads!$E$3:$E$1000,"&lt;&gt;")&lt;&gt;1),"",SUMIFS(Loads!$E$3:$E$1000,Loads!$A$3:$A$1000,"&gt;="&amp;INT(A117),Loads!$A$3:$A$1000,"&lt;"&amp;(INT(A117)+1),Loads!$B$3:$B$1000,B117,Loads!$C$3:$C$1000,C117)))</x:f>
        <x:v>6</x:v>
      </x:c>
      <x:c r="L117" s="434" t="n">
        <x:f>IF(COUNTIF(Library!$B$3:$B$58,C117)&lt;&gt;1,"",IF(COUNTIFS(Library!$B$3:$B$58,C117,Library!$E$3:$E$58,"&lt;&gt;")=0,0,INDEX(Library!$E$3:$E$58,MATCH(C117,Library!$B$3:$B$58,0))))</x:f>
        <x:v>0.04</x:v>
      </x:c>
      <x:c r="M117" s="432" t="n">
        <x:f>IF(OR(COUNT(J117:L117)&lt;&gt;3,J117&lt;0,J117&gt;10,K117&lt;0,L117&lt;0,COUNTIFS(Library!$B$3:$B$58,C117,Library!$D$3:$D$58,D117)&lt;&gt;1),"",MIN(10,J117*(1+K117*L117)))</x:f>
        <x:v>7.4399999999999995</x:v>
      </x:c>
      <x:c r="N117" s="432" t="n">
        <x:f>IF(D117="seconds",IF(AND(ISNUMBER($B$177),$B$177&gt;0),G117/$B$177,""),IF(D117="reps/leg",G117*2,G117))</x:f>
        <x:v>9</x:v>
      </x:c>
      <x:c r="O117" s="432" t="n">
        <x:f>IF(COUNT(M117:N117)&lt;&gt;2,"",M117*N117)</x:f>
        <x:v>66.96</x:v>
      </x:c>
      <x:c r="P117" s="432" t="n">
        <x:f>IF(COUNT(O117:O120)&lt;&gt;COUNT(N117:N120),"",IF(SUM(N117:N120)=0,0,ROUND(SUM(O117:O120)/SUM(N117:N120),1)))</x:f>
        <x:v>5</x:v>
      </x:c>
      <x:c r="Q117" s="432" t="str">
        <x:f>IF(COUNT(I117:I120)=0,"",MEDIAN(I117:I120))</x:f>
      </x:c>
      <x:c r="R117" s="400" t="n">
        <x:f>COUNT(I117:I120)</x:f>
        <x:v>0</x:v>
      </x:c>
      <x:c r="S117" s="400" t="n">
        <x:v>4</x:v>
      </x:c>
      <x:c r="T117"/>
      <x:c r="U117"/>
      <x:c r="V117"/>
      <x:c r="W117"/>
      <x:c r="X117"/>
      <x:c r="Y117"/>
      <x:c r="Z117"/>
      <x:c r="AA117"/>
      <x:c r="AB117"/>
    </x:row>
    <x:row r="118" ht="38" hidden="0" customHeight="1">
      <x:c r="A118" s="402" t="n">
        <x:f>Daily!A35</x:f>
        <x:v>46377.5</x:v>
      </x:c>
      <x:c r="B118" s="391" t="str">
        <x:f>Daily!D35</x:f>
        <x:v>Skill A (weighted)</x:v>
      </x:c>
      <x:c r="C118" s="400" t="str">
        <x:v>Dip</x:v>
      </x:c>
      <x:c r="D118" s="400" t="str">
        <x:v>reps</x:v>
      </x:c>
      <x:c r="E118" s="400" t="n">
        <x:v>3</x:v>
      </x:c>
      <x:c r="F118" s="400" t="n">
        <x:v>5</x:v>
      </x:c>
      <x:c r="G118" s="400" t="n">
        <x:f>E118*F118</x:f>
        <x:v>15</x:v>
      </x:c>
      <x:c r="H118" s="400" t="str">
        <x:f>IF(AND(OR(Daily!N35=TRUE,Daily!AB35=TRUE),COUNT(Daily!O35,Daily!P35,Daily!Q35)&gt;0),SUM(Daily!O35,Daily!P35,Daily!Q35),"")</x:f>
      </x:c>
      <x:c r="I118" s="432" t="str">
        <x:f>IF(AND(ISNUMBER(H118),ISNUMBER(G118),G118&gt;0),100*H118/G118,"")</x:f>
      </x:c>
      <x:c r="J118" s="432" t="n">
        <x:f>IF(COUNTIF(Library!$B$3:$B$58,C118)&lt;&gt;1,"",INDEX(Library!$C$3:$C$58,MATCH(C118,Library!$B$3:$B$58,0)))</x:f>
        <x:v>4</x:v>
      </x:c>
      <x:c r="K118" s="433" t="n">
        <x:f>IF(COUNTIFS(Loads!$A$3:$A$1000,"&gt;="&amp;INT(A118),Loads!$A$3:$A$1000,"&lt;"&amp;(INT(A118)+1),Loads!$B$3:$B$1000,B118,Loads!$C$3:$C$1000,C118)=0,0,IF(OR(COUNTIFS(Loads!$A$3:$A$1000,"&gt;="&amp;INT(A118),Loads!$A$3:$A$1000,"&lt;"&amp;(INT(A118)+1),Loads!$B$3:$B$1000,B118,Loads!$C$3:$C$1000,C118)&lt;&gt;1,COUNTIFS(Loads!$A$3:$A$1000,"&gt;="&amp;INT(A118),Loads!$A$3:$A$1000,"&lt;"&amp;(INT(A118)+1),Loads!$B$3:$B$1000,B118,Loads!$C$3:$C$1000,C118,Loads!$E$3:$E$1000,"&lt;&gt;")&lt;&gt;1),"",SUMIFS(Loads!$E$3:$E$1000,Loads!$A$3:$A$1000,"&gt;="&amp;INT(A118),Loads!$A$3:$A$1000,"&lt;"&amp;(INT(A118)+1),Loads!$B$3:$B$1000,B118,Loads!$C$3:$C$1000,C118)))</x:f>
        <x:v>6</x:v>
      </x:c>
      <x:c r="L118" s="434" t="n">
        <x:f>IF(COUNTIF(Library!$B$3:$B$58,C118)&lt;&gt;1,"",IF(COUNTIFS(Library!$B$3:$B$58,C118,Library!$E$3:$E$58,"&lt;&gt;")=0,0,INDEX(Library!$E$3:$E$58,MATCH(C118,Library!$B$3:$B$58,0))))</x:f>
        <x:v>0.02</x:v>
      </x:c>
      <x:c r="M118" s="432" t="n">
        <x:f>IF(OR(COUNT(J118:L118)&lt;&gt;3,J118&lt;0,J118&gt;10,K118&lt;0,L118&lt;0,COUNTIFS(Library!$B$3:$B$58,C118,Library!$D$3:$D$58,D118)&lt;&gt;1),"",MIN(10,J118*(1+K118*L118)))</x:f>
        <x:v>4.48</x:v>
      </x:c>
      <x:c r="N118" s="432" t="n">
        <x:f>IF(D118="seconds",IF(AND(ISNUMBER($B$177),$B$177&gt;0),G118/$B$177,""),IF(D118="reps/leg",G118*2,G118))</x:f>
        <x:v>15</x:v>
      </x:c>
      <x:c r="O118" s="432" t="n">
        <x:f>IF(COUNT(M118:N118)&lt;&gt;2,"",M118*N118)</x:f>
        <x:v>67.2</x:v>
      </x:c>
      <x:c r="P118" s="432"/>
      <x:c r="Q118" s="432"/>
      <x:c r="R118" s="400"/>
      <x:c r="S118" s="400"/>
      <x:c r="T118"/>
      <x:c r="U118"/>
      <x:c r="V118"/>
      <x:c r="W118"/>
      <x:c r="X118"/>
      <x:c r="Y118"/>
      <x:c r="Z118"/>
      <x:c r="AA118"/>
      <x:c r="AB118"/>
    </x:row>
    <x:row r="119" ht="38" hidden="0" customHeight="1">
      <x:c r="A119" s="402" t="n">
        <x:f>Daily!A35</x:f>
        <x:v>46377.5</x:v>
      </x:c>
      <x:c r="B119" s="391" t="str">
        <x:f>Daily!D35</x:f>
        <x:v>Skill A (weighted)</x:v>
      </x:c>
      <x:c r="C119" s="400" t="str">
        <x:v>Unassisted pistol</x:v>
      </x:c>
      <x:c r="D119" s="400" t="str">
        <x:v>reps/leg</x:v>
      </x:c>
      <x:c r="E119" s="400" t="n">
        <x:v>3</x:v>
      </x:c>
      <x:c r="F119" s="400" t="n">
        <x:v>1</x:v>
      </x:c>
      <x:c r="G119" s="400" t="n">
        <x:f>E119*F119</x:f>
        <x:v>3</x:v>
      </x:c>
      <x:c r="H119" s="400" t="str">
        <x:f>IF(AND(OR(Daily!T35=TRUE,Daily!AB35=TRUE),COUNT(Daily!U35,Daily!V35,Daily!W35)&gt;0),SUM(Daily!U35,Daily!V35,Daily!W35),"")</x:f>
      </x:c>
      <x:c r="I119" s="432" t="str">
        <x:f>IF(AND(ISNUMBER(H119),ISNUMBER(G119),G119&gt;0),100*H119/G119,"")</x:f>
      </x:c>
      <x:c r="J119" s="432" t="n">
        <x:f>IF(COUNTIF(Library!$B$3:$B$58,C119)&lt;&gt;1,"",INDEX(Library!$C$3:$C$58,MATCH(C119,Library!$B$3:$B$58,0)))</x:f>
        <x:v>2</x:v>
      </x:c>
      <x:c r="K119" s="433" t="n">
        <x:f>IF(COUNTIFS(Loads!$A$3:$A$1000,"&gt;="&amp;INT(A119),Loads!$A$3:$A$1000,"&lt;"&amp;(INT(A119)+1),Loads!$B$3:$B$1000,B119,Loads!$C$3:$C$1000,C119)=0,0,IF(OR(COUNTIFS(Loads!$A$3:$A$1000,"&gt;="&amp;INT(A119),Loads!$A$3:$A$1000,"&lt;"&amp;(INT(A119)+1),Loads!$B$3:$B$1000,B119,Loads!$C$3:$C$1000,C119)&lt;&gt;1,COUNTIFS(Loads!$A$3:$A$1000,"&gt;="&amp;INT(A119),Loads!$A$3:$A$1000,"&lt;"&amp;(INT(A119)+1),Loads!$B$3:$B$1000,B119,Loads!$C$3:$C$1000,C119,Loads!$E$3:$E$1000,"&lt;&gt;")&lt;&gt;1),"",SUMIFS(Loads!$E$3:$E$1000,Loads!$A$3:$A$1000,"&gt;="&amp;INT(A119),Loads!$A$3:$A$1000,"&lt;"&amp;(INT(A119)+1),Loads!$B$3:$B$1000,B119,Loads!$C$3:$C$1000,C119)))</x:f>
        <x:v>0</x:v>
      </x:c>
      <x:c r="L119" s="434" t="n">
        <x:f>IF(COUNTIF(Library!$B$3:$B$58,C119)&lt;&gt;1,"",IF(COUNTIFS(Library!$B$3:$B$58,C119,Library!$E$3:$E$58,"&lt;&gt;")=0,0,INDEX(Library!$E$3:$E$58,MATCH(C119,Library!$B$3:$B$58,0))))</x:f>
        <x:v>0.03</x:v>
      </x:c>
      <x:c r="M119" s="432" t="n">
        <x:f>IF(OR(COUNT(J119:L119)&lt;&gt;3,J119&lt;0,J119&gt;10,K119&lt;0,L119&lt;0,COUNTIFS(Library!$B$3:$B$58,C119,Library!$D$3:$D$58,D119)&lt;&gt;1),"",MIN(10,J119*(1+K119*L119)))</x:f>
        <x:v>2</x:v>
      </x:c>
      <x:c r="N119" s="432" t="n">
        <x:f>IF(D119="seconds",IF(AND(ISNUMBER($B$177),$B$177&gt;0),G119/$B$177,""),IF(D119="reps/leg",G119*2,G119))</x:f>
        <x:v>6</x:v>
      </x:c>
      <x:c r="O119" s="432" t="n">
        <x:f>IF(COUNT(M119:N119)&lt;&gt;2,"",M119*N119)</x:f>
        <x:v>12</x:v>
      </x:c>
      <x:c r="P119" s="432"/>
      <x:c r="Q119" s="432"/>
      <x:c r="R119" s="400"/>
      <x:c r="S119" s="400"/>
      <x:c r="T119"/>
      <x:c r="U119"/>
      <x:c r="V119"/>
      <x:c r="W119"/>
      <x:c r="X119"/>
      <x:c r="Y119"/>
      <x:c r="Z119"/>
      <x:c r="AA119"/>
      <x:c r="AB119"/>
    </x:row>
    <x:row r="120" ht="38" hidden="0" customHeight="1">
      <x:c r="A120" s="402" t="n">
        <x:f>Daily!A35</x:f>
        <x:v>46377.5</x:v>
      </x:c>
      <x:c r="B120" s="391" t="str">
        <x:f>Daily!D35</x:f>
        <x:v>Skill A (weighted)</x:v>
      </x:c>
      <x:c r="C120" s="400" t="str">
        <x:v>Cal-Intervals</x:v>
      </x:c>
      <x:c r="D120" s="400" t="str">
        <x:v>rounds</x:v>
      </x:c>
      <x:c r="E120" s="400" t="n">
        <x:v>1</x:v>
      </x:c>
      <x:c r="F120" s="400" t="n">
        <x:v>5</x:v>
      </x:c>
      <x:c r="G120" s="400" t="n">
        <x:v>5</x:v>
      </x:c>
      <x:c r="H120" s="400" t="str">
        <x:f>IF(AND(OR(Daily!Z35=TRUE,Daily!AB35=TRUE),ISNUMBER(Daily!AA35)),Daily!AA35,"")</x:f>
      </x:c>
      <x:c r="I120" s="432" t="str">
        <x:f>IF(AND(ISNUMBER(H120),G120&gt;0),100*H120/G120,"")</x:f>
      </x:c>
      <x:c r="J120" s="432" t="n">
        <x:f>IF(OR(COUNT(Library!F67:F70)&lt;&gt;4,COUNT(Library!E67:E70)&lt;&gt;4,SUM(Library!E67:E70)=0),"",SUM(Library!F67:F70)/SUM(Library!E67:E70))</x:f>
        <x:v>5</x:v>
      </x:c>
      <x:c r="K120" s="433"/>
      <x:c r="L120" s="434"/>
      <x:c r="M120" s="432" t="n">
        <x:f>IF(ISNUMBER(J120),J120,"")</x:f>
        <x:v>5</x:v>
      </x:c>
      <x:c r="N120" s="432" t="n">
        <x:f>IF(COUNT(Library!E67:E70)&lt;&gt;4,"",G120*SUM(Library!E67:E70))</x:f>
        <x:v>200</x:v>
      </x:c>
      <x:c r="O120" s="432" t="n">
        <x:f>IF(COUNT(Library!F67:F70)&lt;&gt;4,"",G120*SUM(Library!F67:F70))</x:f>
        <x:v>1000</x:v>
      </x:c>
      <x:c r="P120" s="432"/>
      <x:c r="Q120" s="432"/>
      <x:c r="R120" s="400"/>
      <x:c r="S120" s="400"/>
      <x:c r="T120"/>
      <x:c r="U120"/>
      <x:c r="V120"/>
      <x:c r="W120"/>
      <x:c r="X120"/>
      <x:c r="Y120"/>
      <x:c r="Z120"/>
      <x:c r="AA120"/>
      <x:c r="AB120"/>
    </x:row>
    <x:row r="121" ht="38" hidden="0" customHeight="1">
      <x:c r="A121" s="402" t="n">
        <x:f>Daily!A36</x:f>
        <x:v>46378.5</x:v>
      </x:c>
      <x:c r="B121" s="391" t="str">
        <x:f>Daily!D36</x:f>
        <x:v>Handstand technique</x:v>
      </x:c>
      <x:c r="C121" s="400" t="str">
        <x:v>Wrist/shoulder mobility</x:v>
      </x:c>
      <x:c r="D121" s="400" t="str">
        <x:v>seconds</x:v>
      </x:c>
      <x:c r="E121" s="400" t="n">
        <x:v>1</x:v>
      </x:c>
      <x:c r="F121" s="400" t="n">
        <x:v>120</x:v>
      </x:c>
      <x:c r="G121" s="400" t="n">
        <x:f>E121*F121</x:f>
        <x:v>120</x:v>
      </x:c>
      <x:c r="H121" s="400" t="str">
        <x:f>IF(AND(OR(Daily!H36=TRUE,Daily!AB36=TRUE),COUNT(Daily!I36)&gt;0),SUM(Daily!I36)*86400,"")</x:f>
      </x:c>
      <x:c r="I121" s="432" t="str">
        <x:f>IF(AND(ISNUMBER(H121),ISNUMBER(G121),G121&gt;0),100*H121/G121,"")</x:f>
      </x:c>
      <x:c r="J121" s="432" t="n">
        <x:f>IF(COUNTIF(Library!$B$3:$B$58,C121)&lt;&gt;1,"",INDEX(Library!$C$3:$C$58,MATCH(C121,Library!$B$3:$B$58,0)))</x:f>
        <x:v>1</x:v>
      </x:c>
      <x:c r="K121" s="433" t="n">
        <x:f>IF(COUNTIFS(Loads!$A$3:$A$1000,"&gt;="&amp;INT(A121),Loads!$A$3:$A$1000,"&lt;"&amp;(INT(A121)+1),Loads!$B$3:$B$1000,B121,Loads!$C$3:$C$1000,C121)=0,0,IF(OR(COUNTIFS(Loads!$A$3:$A$1000,"&gt;="&amp;INT(A121),Loads!$A$3:$A$1000,"&lt;"&amp;(INT(A121)+1),Loads!$B$3:$B$1000,B121,Loads!$C$3:$C$1000,C121)&lt;&gt;1,COUNTIFS(Loads!$A$3:$A$1000,"&gt;="&amp;INT(A121),Loads!$A$3:$A$1000,"&lt;"&amp;(INT(A121)+1),Loads!$B$3:$B$1000,B121,Loads!$C$3:$C$1000,C121,Loads!$E$3:$E$1000,"&lt;&gt;")&lt;&gt;1),"",SUMIFS(Loads!$E$3:$E$1000,Loads!$A$3:$A$1000,"&gt;="&amp;INT(A121),Loads!$A$3:$A$1000,"&lt;"&amp;(INT(A121)+1),Loads!$B$3:$B$1000,B121,Loads!$C$3:$C$1000,C121)))</x:f>
        <x:v>0</x:v>
      </x:c>
      <x:c r="L121" s="434" t="n">
        <x:f>IF(COUNTIF(Library!$B$3:$B$58,C121)&lt;&gt;1,"",IF(COUNTIFS(Library!$B$3:$B$58,C121,Library!$E$3:$E$58,"&lt;&gt;")=0,0,INDEX(Library!$E$3:$E$58,MATCH(C121,Library!$B$3:$B$58,0))))</x:f>
        <x:v>0</x:v>
      </x:c>
      <x:c r="M121" s="432" t="n">
        <x:f>IF(OR(COUNT(J121:L121)&lt;&gt;3,J121&lt;0,J121&gt;10,K121&lt;0,L121&lt;0,COUNTIFS(Library!$B$3:$B$58,C121,Library!$D$3:$D$58,D121)&lt;&gt;1),"",MIN(10,J121*(1+K121*L121)))</x:f>
        <x:v>1</x:v>
      </x:c>
      <x:c r="N121" s="432" t="n">
        <x:f>IF(D121="seconds",IF(AND(ISNUMBER($B$177),$B$177&gt;0),G121/$B$177,""),IF(D121="reps/leg",G121*2,G121))</x:f>
        <x:v>40</x:v>
      </x:c>
      <x:c r="O121" s="432" t="n">
        <x:f>IF(COUNT(M121:N121)&lt;&gt;2,"",M121*N121)</x:f>
        <x:v>40</x:v>
      </x:c>
      <x:c r="P121" s="432" t="n">
        <x:f>IF(COUNT(O121:O123)&lt;&gt;COUNT(N121:N123),"",IF(SUM(N121:N123)=0,0,ROUND(SUM(O121:O123)/SUM(N121:N123),1)))</x:f>
        <x:v>1</x:v>
      </x:c>
      <x:c r="Q121" s="432" t="str">
        <x:f>IF(COUNT(I121:I123)=0,"",MEDIAN(I121:I123))</x:f>
      </x:c>
      <x:c r="R121" s="400" t="n">
        <x:f>COUNT(I121:I123)</x:f>
        <x:v>0</x:v>
      </x:c>
      <x:c r="S121" s="400" t="n">
        <x:v>3</x:v>
      </x:c>
      <x:c r="T121"/>
      <x:c r="U121"/>
      <x:c r="V121"/>
      <x:c r="W121"/>
      <x:c r="X121"/>
      <x:c r="Y121"/>
      <x:c r="Z121"/>
      <x:c r="AA121"/>
      <x:c r="AB121"/>
    </x:row>
    <x:row r="122" ht="38" hidden="0" customHeight="1">
      <x:c r="A122" s="402" t="n">
        <x:f>Daily!A36</x:f>
        <x:v>46378.5</x:v>
      </x:c>
      <x:c r="B122" s="391" t="str">
        <x:f>Daily!D36</x:f>
        <x:v>Handstand technique</x:v>
      </x:c>
      <x:c r="C122" s="400" t="str">
        <x:v>Easy chest-to-wall hold</x:v>
      </x:c>
      <x:c r="D122" s="400" t="str">
        <x:v>seconds</x:v>
      </x:c>
      <x:c r="E122" s="400" t="n">
        <x:v>3</x:v>
      </x:c>
      <x:c r="F122" s="400" t="n">
        <x:v>15</x:v>
      </x:c>
      <x:c r="G122" s="400" t="n">
        <x:f>E122*F122</x:f>
        <x:v>45</x:v>
      </x:c>
      <x:c r="H122" s="400" t="str">
        <x:f>IF(AND(OR(Daily!N36=TRUE,Daily!AB36=TRUE),COUNT(Daily!O36,Daily!P36,Daily!Q36)&gt;0),SUM(Daily!O36,Daily!P36,Daily!Q36)*86400,"")</x:f>
      </x:c>
      <x:c r="I122" s="432" t="str">
        <x:f>IF(AND(ISNUMBER(H122),ISNUMBER(G122),G122&gt;0),100*H122/G122,"")</x:f>
      </x:c>
      <x:c r="J122" s="432" t="n">
        <x:f>IF(COUNTIF(Library!$B$3:$B$58,C122)&lt;&gt;1,"",INDEX(Library!$C$3:$C$58,MATCH(C122,Library!$B$3:$B$58,0)))</x:f>
        <x:v>1</x:v>
      </x:c>
      <x:c r="K122" s="433" t="n">
        <x:f>IF(COUNTIFS(Loads!$A$3:$A$1000,"&gt;="&amp;INT(A122),Loads!$A$3:$A$1000,"&lt;"&amp;(INT(A122)+1),Loads!$B$3:$B$1000,B122,Loads!$C$3:$C$1000,C122)=0,0,IF(OR(COUNTIFS(Loads!$A$3:$A$1000,"&gt;="&amp;INT(A122),Loads!$A$3:$A$1000,"&lt;"&amp;(INT(A122)+1),Loads!$B$3:$B$1000,B122,Loads!$C$3:$C$1000,C122)&lt;&gt;1,COUNTIFS(Loads!$A$3:$A$1000,"&gt;="&amp;INT(A122),Loads!$A$3:$A$1000,"&lt;"&amp;(INT(A122)+1),Loads!$B$3:$B$1000,B122,Loads!$C$3:$C$1000,C122,Loads!$E$3:$E$1000,"&lt;&gt;")&lt;&gt;1),"",SUMIFS(Loads!$E$3:$E$1000,Loads!$A$3:$A$1000,"&gt;="&amp;INT(A122),Loads!$A$3:$A$1000,"&lt;"&amp;(INT(A122)+1),Loads!$B$3:$B$1000,B122,Loads!$C$3:$C$1000,C122)))</x:f>
        <x:v>0</x:v>
      </x:c>
      <x:c r="L122" s="434" t="n">
        <x:f>IF(COUNTIF(Library!$B$3:$B$58,C122)&lt;&gt;1,"",IF(COUNTIFS(Library!$B$3:$B$58,C122,Library!$E$3:$E$58,"&lt;&gt;")=0,0,INDEX(Library!$E$3:$E$58,MATCH(C122,Library!$B$3:$B$58,0))))</x:f>
        <x:v>0</x:v>
      </x:c>
      <x:c r="M122" s="432" t="n">
        <x:f>IF(OR(COUNT(J122:L122)&lt;&gt;3,J122&lt;0,J122&gt;10,K122&lt;0,L122&lt;0,COUNTIFS(Library!$B$3:$B$58,C122,Library!$D$3:$D$58,D122)&lt;&gt;1),"",MIN(10,J122*(1+K122*L122)))</x:f>
        <x:v>1</x:v>
      </x:c>
      <x:c r="N122" s="432" t="n">
        <x:f>IF(D122="seconds",IF(AND(ISNUMBER($B$177),$B$177&gt;0),G122/$B$177,""),IF(D122="reps/leg",G122*2,G122))</x:f>
        <x:v>15</x:v>
      </x:c>
      <x:c r="O122" s="432" t="n">
        <x:f>IF(COUNT(M122:N122)&lt;&gt;2,"",M122*N122)</x:f>
        <x:v>15</x:v>
      </x:c>
      <x:c r="P122" s="432"/>
      <x:c r="Q122" s="432"/>
      <x:c r="R122" s="400"/>
      <x:c r="S122" s="400"/>
      <x:c r="T122"/>
      <x:c r="U122"/>
      <x:c r="V122"/>
      <x:c r="W122"/>
      <x:c r="X122"/>
      <x:c r="Y122"/>
      <x:c r="Z122"/>
      <x:c r="AA122"/>
      <x:c r="AB122"/>
    </x:row>
    <x:row r="123" ht="38" hidden="0" customHeight="1">
      <x:c r="A123" s="402" t="n">
        <x:f>Daily!A36</x:f>
        <x:v>46378.5</x:v>
      </x:c>
      <x:c r="B123" s="391" t="str">
        <x:f>Daily!D36</x:f>
        <x:v>Handstand technique</x:v>
      </x:c>
      <x:c r="C123" s="400" t="str">
        <x:v>Wall handstand line drill</x:v>
      </x:c>
      <x:c r="D123" s="400" t="str">
        <x:v>seconds</x:v>
      </x:c>
      <x:c r="E123" s="400" t="n">
        <x:v>2</x:v>
      </x:c>
      <x:c r="F123" s="400" t="n">
        <x:v>15</x:v>
      </x:c>
      <x:c r="G123" s="400" t="n">
        <x:f>E123*F123</x:f>
        <x:v>30</x:v>
      </x:c>
      <x:c r="H123" s="400" t="str">
        <x:f>IF(AND(OR(Daily!T36=TRUE,Daily!AB36=TRUE),COUNT(Daily!U36,Daily!V36)&gt;0),SUM(Daily!U36,Daily!V36)*86400,"")</x:f>
      </x:c>
      <x:c r="I123" s="432" t="str">
        <x:f>IF(AND(ISNUMBER(H123),ISNUMBER(G123),G123&gt;0),100*H123/G123,"")</x:f>
      </x:c>
      <x:c r="J123" s="432" t="n">
        <x:f>IF(COUNTIF(Library!$B$3:$B$58,C123)&lt;&gt;1,"",INDEX(Library!$C$3:$C$58,MATCH(C123,Library!$B$3:$B$58,0)))</x:f>
        <x:v>1</x:v>
      </x:c>
      <x:c r="K123" s="433" t="n">
        <x:f>IF(COUNTIFS(Loads!$A$3:$A$1000,"&gt;="&amp;INT(A123),Loads!$A$3:$A$1000,"&lt;"&amp;(INT(A123)+1),Loads!$B$3:$B$1000,B123,Loads!$C$3:$C$1000,C123)=0,0,IF(OR(COUNTIFS(Loads!$A$3:$A$1000,"&gt;="&amp;INT(A123),Loads!$A$3:$A$1000,"&lt;"&amp;(INT(A123)+1),Loads!$B$3:$B$1000,B123,Loads!$C$3:$C$1000,C123)&lt;&gt;1,COUNTIFS(Loads!$A$3:$A$1000,"&gt;="&amp;INT(A123),Loads!$A$3:$A$1000,"&lt;"&amp;(INT(A123)+1),Loads!$B$3:$B$1000,B123,Loads!$C$3:$C$1000,C123,Loads!$E$3:$E$1000,"&lt;&gt;")&lt;&gt;1),"",SUMIFS(Loads!$E$3:$E$1000,Loads!$A$3:$A$1000,"&gt;="&amp;INT(A123),Loads!$A$3:$A$1000,"&lt;"&amp;(INT(A123)+1),Loads!$B$3:$B$1000,B123,Loads!$C$3:$C$1000,C123)))</x:f>
        <x:v>0</x:v>
      </x:c>
      <x:c r="L123" s="434" t="n">
        <x:f>IF(COUNTIF(Library!$B$3:$B$58,C123)&lt;&gt;1,"",IF(COUNTIFS(Library!$B$3:$B$58,C123,Library!$E$3:$E$58,"&lt;&gt;")=0,0,INDEX(Library!$E$3:$E$58,MATCH(C123,Library!$B$3:$B$58,0))))</x:f>
        <x:v>0</x:v>
      </x:c>
      <x:c r="M123" s="432" t="n">
        <x:f>IF(OR(COUNT(J123:L123)&lt;&gt;3,J123&lt;0,J123&gt;10,K123&lt;0,L123&lt;0,COUNTIFS(Library!$B$3:$B$58,C123,Library!$D$3:$D$58,D123)&lt;&gt;1),"",MIN(10,J123*(1+K123*L123)))</x:f>
        <x:v>1</x:v>
      </x:c>
      <x:c r="N123" s="432" t="n">
        <x:f>IF(D123="seconds",IF(AND(ISNUMBER($B$177),$B$177&gt;0),G123/$B$177,""),IF(D123="reps/leg",G123*2,G123))</x:f>
        <x:v>10</x:v>
      </x:c>
      <x:c r="O123" s="432" t="n">
        <x:f>IF(COUNT(M123:N123)&lt;&gt;2,"",M123*N123)</x:f>
        <x:v>10</x:v>
      </x:c>
      <x:c r="P123" s="432"/>
      <x:c r="Q123" s="432"/>
      <x:c r="R123" s="400"/>
      <x:c r="S123" s="400"/>
      <x:c r="T123"/>
      <x:c r="U123"/>
      <x:c r="V123"/>
      <x:c r="W123"/>
      <x:c r="X123"/>
      <x:c r="Y123"/>
      <x:c r="Z123"/>
      <x:c r="AA123"/>
      <x:c r="AB123"/>
    </x:row>
    <x:row r="124" ht="38" hidden="0" customHeight="1">
      <x:c r="A124" s="402" t="n">
        <x:f>Daily!A37</x:f>
        <x:v>46380.5</x:v>
      </x:c>
      <x:c r="B124" s="391" t="str">
        <x:f>Daily!D37</x:f>
        <x:v>Skill B + Cal-Intervals</x:v>
      </x:c>
      <x:c r="C124" s="400" t="str">
        <x:v>Full-ROM wall HSPU negative</x:v>
      </x:c>
      <x:c r="D124" s="400" t="str">
        <x:v>reps</x:v>
      </x:c>
      <x:c r="E124" s="400" t="n">
        <x:v>3</x:v>
      </x:c>
      <x:c r="F124" s="400" t="n">
        <x:v>1</x:v>
      </x:c>
      <x:c r="G124" s="400" t="n">
        <x:f>E124*F124</x:f>
        <x:v>3</x:v>
      </x:c>
      <x:c r="H124" s="400" t="str">
        <x:f>IF(AND(OR(Daily!H37=TRUE,Daily!AB37=TRUE),COUNT(Daily!I37,Daily!J37,Daily!K37)&gt;0),SUM(Daily!I37,Daily!J37,Daily!K37),"")</x:f>
      </x:c>
      <x:c r="I124" s="432" t="str">
        <x:f>IF(AND(ISNUMBER(H124),ISNUMBER(G124),G124&gt;0),100*H124/G124,"")</x:f>
      </x:c>
      <x:c r="J124" s="432" t="n">
        <x:f>IF(COUNTIF(Library!$B$3:$B$58,C124)&lt;&gt;1,"",INDEX(Library!$C$3:$C$58,MATCH(C124,Library!$B$3:$B$58,0)))</x:f>
        <x:v>7</x:v>
      </x:c>
      <x:c r="K124" s="433" t="n">
        <x:f>IF(COUNTIFS(Loads!$A$3:$A$1000,"&gt;="&amp;INT(A124),Loads!$A$3:$A$1000,"&lt;"&amp;(INT(A124)+1),Loads!$B$3:$B$1000,B124,Loads!$C$3:$C$1000,C124)=0,0,IF(OR(COUNTIFS(Loads!$A$3:$A$1000,"&gt;="&amp;INT(A124),Loads!$A$3:$A$1000,"&lt;"&amp;(INT(A124)+1),Loads!$B$3:$B$1000,B124,Loads!$C$3:$C$1000,C124)&lt;&gt;1,COUNTIFS(Loads!$A$3:$A$1000,"&gt;="&amp;INT(A124),Loads!$A$3:$A$1000,"&lt;"&amp;(INT(A124)+1),Loads!$B$3:$B$1000,B124,Loads!$C$3:$C$1000,C124,Loads!$E$3:$E$1000,"&lt;&gt;")&lt;&gt;1),"",SUMIFS(Loads!$E$3:$E$1000,Loads!$A$3:$A$1000,"&gt;="&amp;INT(A124),Loads!$A$3:$A$1000,"&lt;"&amp;(INT(A124)+1),Loads!$B$3:$B$1000,B124,Loads!$C$3:$C$1000,C124)))</x:f>
        <x:v>0</x:v>
      </x:c>
      <x:c r="L124" s="434" t="n">
        <x:f>IF(COUNTIF(Library!$B$3:$B$58,C124)&lt;&gt;1,"",IF(COUNTIFS(Library!$B$3:$B$58,C124,Library!$E$3:$E$58,"&lt;&gt;")=0,0,INDEX(Library!$E$3:$E$58,MATCH(C124,Library!$B$3:$B$58,0))))</x:f>
        <x:v>0</x:v>
      </x:c>
      <x:c r="M124" s="432" t="n">
        <x:f>IF(OR(COUNT(J124:L124)&lt;&gt;3,J124&lt;0,J124&gt;10,K124&lt;0,L124&lt;0,COUNTIFS(Library!$B$3:$B$58,C124,Library!$D$3:$D$58,D124)&lt;&gt;1),"",MIN(10,J124*(1+K124*L124)))</x:f>
        <x:v>7</x:v>
      </x:c>
      <x:c r="N124" s="432" t="n">
        <x:f>IF(D124="seconds",IF(AND(ISNUMBER($B$177),$B$177&gt;0),G124/$B$177,""),IF(D124="reps/leg",G124*2,G124))</x:f>
        <x:v>3</x:v>
      </x:c>
      <x:c r="O124" s="432" t="n">
        <x:f>IF(COUNT(M124:N124)&lt;&gt;2,"",M124*N124)</x:f>
        <x:v>21</x:v>
      </x:c>
      <x:c r="P124" s="432" t="n">
        <x:f>IF(COUNT(O124:O127)&lt;&gt;COUNT(N124:N127),"",IF(SUM(N124:N127)=0,0,ROUND(SUM(O124:O127)/SUM(N124:N127),1)))</x:f>
        <x:v>4.9</x:v>
      </x:c>
      <x:c r="Q124" s="432" t="str">
        <x:f>IF(COUNT(I124:I127)=0,"",MEDIAN(I124:I127))</x:f>
      </x:c>
      <x:c r="R124" s="400" t="n">
        <x:f>COUNT(I124:I127)</x:f>
        <x:v>0</x:v>
      </x:c>
      <x:c r="S124" s="400" t="n">
        <x:v>4</x:v>
      </x:c>
      <x:c r="T124"/>
      <x:c r="U124"/>
      <x:c r="V124"/>
      <x:c r="W124"/>
      <x:c r="X124"/>
      <x:c r="Y124"/>
      <x:c r="Z124"/>
      <x:c r="AA124"/>
      <x:c r="AB124"/>
    </x:row>
    <x:row r="125" ht="38" hidden="0" customHeight="1">
      <x:c r="A125" s="402" t="n">
        <x:f>Daily!A37</x:f>
        <x:v>46380.5</x:v>
      </x:c>
      <x:c r="B125" s="391" t="str">
        <x:f>Daily!D37</x:f>
        <x:v>Skill B + Cal-Intervals</x:v>
      </x:c>
      <x:c r="C125" s="400" t="str">
        <x:v>Partial wall HSPU</x:v>
      </x:c>
      <x:c r="D125" s="400" t="str">
        <x:v>reps</x:v>
      </x:c>
      <x:c r="E125" s="400" t="n">
        <x:v>3</x:v>
      </x:c>
      <x:c r="F125" s="400" t="n">
        <x:v>3</x:v>
      </x:c>
      <x:c r="G125" s="400" t="n">
        <x:f>E125*F125</x:f>
        <x:v>9</x:v>
      </x:c>
      <x:c r="H125" s="400" t="str">
        <x:f>IF(AND(OR(Daily!N37=TRUE,Daily!AB37=TRUE),COUNT(Daily!O37,Daily!P37,Daily!Q37)&gt;0),SUM(Daily!O37,Daily!P37,Daily!Q37),"")</x:f>
      </x:c>
      <x:c r="I125" s="432" t="str">
        <x:f>IF(AND(ISNUMBER(H125),ISNUMBER(G125),G125&gt;0),100*H125/G125,"")</x:f>
      </x:c>
      <x:c r="J125" s="432" t="n">
        <x:f>IF(COUNTIF(Library!$B$3:$B$58,C125)&lt;&gt;1,"",INDEX(Library!$C$3:$C$58,MATCH(C125,Library!$B$3:$B$58,0)))</x:f>
        <x:v>4</x:v>
      </x:c>
      <x:c r="K125" s="433" t="n">
        <x:f>IF(COUNTIFS(Loads!$A$3:$A$1000,"&gt;="&amp;INT(A125),Loads!$A$3:$A$1000,"&lt;"&amp;(INT(A125)+1),Loads!$B$3:$B$1000,B125,Loads!$C$3:$C$1000,C125)=0,0,IF(OR(COUNTIFS(Loads!$A$3:$A$1000,"&gt;="&amp;INT(A125),Loads!$A$3:$A$1000,"&lt;"&amp;(INT(A125)+1),Loads!$B$3:$B$1000,B125,Loads!$C$3:$C$1000,C125)&lt;&gt;1,COUNTIFS(Loads!$A$3:$A$1000,"&gt;="&amp;INT(A125),Loads!$A$3:$A$1000,"&lt;"&amp;(INT(A125)+1),Loads!$B$3:$B$1000,B125,Loads!$C$3:$C$1000,C125,Loads!$E$3:$E$1000,"&lt;&gt;")&lt;&gt;1),"",SUMIFS(Loads!$E$3:$E$1000,Loads!$A$3:$A$1000,"&gt;="&amp;INT(A125),Loads!$A$3:$A$1000,"&lt;"&amp;(INT(A125)+1),Loads!$B$3:$B$1000,B125,Loads!$C$3:$C$1000,C125)))</x:f>
        <x:v>0</x:v>
      </x:c>
      <x:c r="L125" s="434" t="n">
        <x:f>IF(COUNTIF(Library!$B$3:$B$58,C125)&lt;&gt;1,"",IF(COUNTIFS(Library!$B$3:$B$58,C125,Library!$E$3:$E$58,"&lt;&gt;")=0,0,INDEX(Library!$E$3:$E$58,MATCH(C125,Library!$B$3:$B$58,0))))</x:f>
        <x:v>0</x:v>
      </x:c>
      <x:c r="M125" s="432" t="n">
        <x:f>IF(OR(COUNT(J125:L125)&lt;&gt;3,J125&lt;0,J125&gt;10,K125&lt;0,L125&lt;0,COUNTIFS(Library!$B$3:$B$58,C125,Library!$D$3:$D$58,D125)&lt;&gt;1),"",MIN(10,J125*(1+K125*L125)))</x:f>
        <x:v>4</x:v>
      </x:c>
      <x:c r="N125" s="432" t="n">
        <x:f>IF(D125="seconds",IF(AND(ISNUMBER($B$177),$B$177&gt;0),G125/$B$177,""),IF(D125="reps/leg",G125*2,G125))</x:f>
        <x:v>9</x:v>
      </x:c>
      <x:c r="O125" s="432" t="n">
        <x:f>IF(COUNT(M125:N125)&lt;&gt;2,"",M125*N125)</x:f>
        <x:v>36</x:v>
      </x:c>
      <x:c r="P125" s="432"/>
      <x:c r="Q125" s="432"/>
      <x:c r="R125" s="400"/>
      <x:c r="S125" s="400"/>
      <x:c r="T125"/>
      <x:c r="U125"/>
      <x:c r="V125"/>
      <x:c r="W125"/>
      <x:c r="X125"/>
      <x:c r="Y125"/>
      <x:c r="Z125"/>
      <x:c r="AA125"/>
      <x:c r="AB125"/>
    </x:row>
    <x:row r="126" ht="38" hidden="0" customHeight="1">
      <x:c r="A126" s="402" t="n">
        <x:f>Daily!A37</x:f>
        <x:v>46380.5</x:v>
      </x:c>
      <x:c r="B126" s="391" t="str">
        <x:f>Daily!D37</x:f>
        <x:v>Skill B + Cal-Intervals</x:v>
      </x:c>
      <x:c r="C126" s="400" t="str">
        <x:v>Unassisted pistol</x:v>
      </x:c>
      <x:c r="D126" s="400" t="str">
        <x:v>reps/leg</x:v>
      </x:c>
      <x:c r="E126" s="400" t="n">
        <x:v>3</x:v>
      </x:c>
      <x:c r="F126" s="400" t="n">
        <x:v>1</x:v>
      </x:c>
      <x:c r="G126" s="400" t="n">
        <x:f>E126*F126</x:f>
        <x:v>3</x:v>
      </x:c>
      <x:c r="H126" s="400" t="str">
        <x:f>IF(AND(OR(Daily!T37=TRUE,Daily!AB37=TRUE),COUNT(Daily!U37,Daily!V37,Daily!W37)&gt;0),SUM(Daily!U37,Daily!V37,Daily!W37),"")</x:f>
      </x:c>
      <x:c r="I126" s="432" t="str">
        <x:f>IF(AND(ISNUMBER(H126),ISNUMBER(G126),G126&gt;0),100*H126/G126,"")</x:f>
      </x:c>
      <x:c r="J126" s="432" t="n">
        <x:f>IF(COUNTIF(Library!$B$3:$B$58,C126)&lt;&gt;1,"",INDEX(Library!$C$3:$C$58,MATCH(C126,Library!$B$3:$B$58,0)))</x:f>
        <x:v>2</x:v>
      </x:c>
      <x:c r="K126" s="433" t="n">
        <x:f>IF(COUNTIFS(Loads!$A$3:$A$1000,"&gt;="&amp;INT(A126),Loads!$A$3:$A$1000,"&lt;"&amp;(INT(A126)+1),Loads!$B$3:$B$1000,B126,Loads!$C$3:$C$1000,C126)=0,0,IF(OR(COUNTIFS(Loads!$A$3:$A$1000,"&gt;="&amp;INT(A126),Loads!$A$3:$A$1000,"&lt;"&amp;(INT(A126)+1),Loads!$B$3:$B$1000,B126,Loads!$C$3:$C$1000,C126)&lt;&gt;1,COUNTIFS(Loads!$A$3:$A$1000,"&gt;="&amp;INT(A126),Loads!$A$3:$A$1000,"&lt;"&amp;(INT(A126)+1),Loads!$B$3:$B$1000,B126,Loads!$C$3:$C$1000,C126,Loads!$E$3:$E$1000,"&lt;&gt;")&lt;&gt;1),"",SUMIFS(Loads!$E$3:$E$1000,Loads!$A$3:$A$1000,"&gt;="&amp;INT(A126),Loads!$A$3:$A$1000,"&lt;"&amp;(INT(A126)+1),Loads!$B$3:$B$1000,B126,Loads!$C$3:$C$1000,C126)))</x:f>
        <x:v>0</x:v>
      </x:c>
      <x:c r="L126" s="434" t="n">
        <x:f>IF(COUNTIF(Library!$B$3:$B$58,C126)&lt;&gt;1,"",IF(COUNTIFS(Library!$B$3:$B$58,C126,Library!$E$3:$E$58,"&lt;&gt;")=0,0,INDEX(Library!$E$3:$E$58,MATCH(C126,Library!$B$3:$B$58,0))))</x:f>
        <x:v>0.03</x:v>
      </x:c>
      <x:c r="M126" s="432" t="n">
        <x:f>IF(OR(COUNT(J126:L126)&lt;&gt;3,J126&lt;0,J126&gt;10,K126&lt;0,L126&lt;0,COUNTIFS(Library!$B$3:$B$58,C126,Library!$D$3:$D$58,D126)&lt;&gt;1),"",MIN(10,J126*(1+K126*L126)))</x:f>
        <x:v>2</x:v>
      </x:c>
      <x:c r="N126" s="432" t="n">
        <x:f>IF(D126="seconds",IF(AND(ISNUMBER($B$177),$B$177&gt;0),G126/$B$177,""),IF(D126="reps/leg",G126*2,G126))</x:f>
        <x:v>6</x:v>
      </x:c>
      <x:c r="O126" s="432" t="n">
        <x:f>IF(COUNT(M126:N126)&lt;&gt;2,"",M126*N126)</x:f>
        <x:v>12</x:v>
      </x:c>
      <x:c r="P126" s="432"/>
      <x:c r="Q126" s="432"/>
      <x:c r="R126" s="400"/>
      <x:c r="S126" s="400"/>
      <x:c r="T126"/>
      <x:c r="U126"/>
      <x:c r="V126"/>
      <x:c r="W126"/>
      <x:c r="X126"/>
      <x:c r="Y126"/>
      <x:c r="Z126"/>
      <x:c r="AA126"/>
      <x:c r="AB126"/>
    </x:row>
    <x:row r="127" ht="38" hidden="0" customHeight="1">
      <x:c r="A127" s="402" t="n">
        <x:f>Daily!A37</x:f>
        <x:v>46380.5</x:v>
      </x:c>
      <x:c r="B127" s="391" t="str">
        <x:f>Daily!D37</x:f>
        <x:v>Skill B + Cal-Intervals</x:v>
      </x:c>
      <x:c r="C127" s="400" t="str">
        <x:v>Cal-Intervals</x:v>
      </x:c>
      <x:c r="D127" s="400" t="str">
        <x:v>rounds</x:v>
      </x:c>
      <x:c r="E127" s="400" t="n">
        <x:v>1</x:v>
      </x:c>
      <x:c r="F127" s="400" t="n">
        <x:v>5</x:v>
      </x:c>
      <x:c r="G127" s="400" t="n">
        <x:v>5</x:v>
      </x:c>
      <x:c r="H127" s="400" t="str">
        <x:f>IF(AND(OR(Daily!Z37=TRUE,Daily!AB37=TRUE),ISNUMBER(Daily!AA37)),Daily!AA37,"")</x:f>
      </x:c>
      <x:c r="I127" s="432" t="str">
        <x:f>IF(AND(ISNUMBER(H127),G127&gt;0),100*H127/G127,"")</x:f>
      </x:c>
      <x:c r="J127" s="432" t="n">
        <x:f>IF(OR(COUNT(Library!F67:F70)&lt;&gt;4,COUNT(Library!E67:E70)&lt;&gt;4,SUM(Library!E67:E70)=0),"",SUM(Library!F67:F70)/SUM(Library!E67:E70))</x:f>
        <x:v>5</x:v>
      </x:c>
      <x:c r="K127" s="433"/>
      <x:c r="L127" s="434"/>
      <x:c r="M127" s="432" t="n">
        <x:f>IF(ISNUMBER(J127),J127,"")</x:f>
        <x:v>5</x:v>
      </x:c>
      <x:c r="N127" s="432" t="n">
        <x:f>IF(COUNT(Library!E67:E70)&lt;&gt;4,"",G127*SUM(Library!E67:E70))</x:f>
        <x:v>200</x:v>
      </x:c>
      <x:c r="O127" s="432" t="n">
        <x:f>IF(COUNT(Library!F67:F70)&lt;&gt;4,"",G127*SUM(Library!F67:F70))</x:f>
        <x:v>1000</x:v>
      </x:c>
      <x:c r="P127" s="432"/>
      <x:c r="Q127" s="432"/>
      <x:c r="R127" s="400"/>
      <x:c r="S127" s="400"/>
      <x:c r="T127"/>
      <x:c r="U127"/>
      <x:c r="V127"/>
      <x:c r="W127"/>
      <x:c r="X127"/>
      <x:c r="Y127"/>
      <x:c r="Z127"/>
      <x:c r="AA127"/>
      <x:c r="AB127"/>
    </x:row>
    <x:row r="128" ht="38" hidden="0" customHeight="1">
      <x:c r="A128" s="402" t="n">
        <x:f>Daily!A38</x:f>
        <x:v>46382.5</x:v>
      </x:c>
      <x:c r="B128" s="391" t="str">
        <x:f>Daily!D38</x:f>
        <x:v>Skill micro-session</x:v>
      </x:c>
      <x:c r="C128" s="400" t="str">
        <x:v>Wrist/shoulder mobility</x:v>
      </x:c>
      <x:c r="D128" s="400" t="str">
        <x:v>seconds</x:v>
      </x:c>
      <x:c r="E128" s="400" t="n">
        <x:v>1</x:v>
      </x:c>
      <x:c r="F128" s="400" t="n">
        <x:v>120</x:v>
      </x:c>
      <x:c r="G128" s="400" t="n">
        <x:f>E128*F128</x:f>
        <x:v>120</x:v>
      </x:c>
      <x:c r="H128" s="400" t="str">
        <x:f>IF(AND(OR(Daily!H38=TRUE,Daily!AB38=TRUE),COUNT(Daily!I38)&gt;0),SUM(Daily!I38)*86400,"")</x:f>
      </x:c>
      <x:c r="I128" s="432" t="str">
        <x:f>IF(AND(ISNUMBER(H128),ISNUMBER(G128),G128&gt;0),100*H128/G128,"")</x:f>
      </x:c>
      <x:c r="J128" s="432" t="n">
        <x:f>IF(COUNTIF(Library!$B$3:$B$58,C128)&lt;&gt;1,"",INDEX(Library!$C$3:$C$58,MATCH(C128,Library!$B$3:$B$58,0)))</x:f>
        <x:v>1</x:v>
      </x:c>
      <x:c r="K128" s="433" t="n">
        <x:f>IF(COUNTIFS(Loads!$A$3:$A$1000,"&gt;="&amp;INT(A128),Loads!$A$3:$A$1000,"&lt;"&amp;(INT(A128)+1),Loads!$B$3:$B$1000,B128,Loads!$C$3:$C$1000,C128)=0,0,IF(OR(COUNTIFS(Loads!$A$3:$A$1000,"&gt;="&amp;INT(A128),Loads!$A$3:$A$1000,"&lt;"&amp;(INT(A128)+1),Loads!$B$3:$B$1000,B128,Loads!$C$3:$C$1000,C128)&lt;&gt;1,COUNTIFS(Loads!$A$3:$A$1000,"&gt;="&amp;INT(A128),Loads!$A$3:$A$1000,"&lt;"&amp;(INT(A128)+1),Loads!$B$3:$B$1000,B128,Loads!$C$3:$C$1000,C128,Loads!$E$3:$E$1000,"&lt;&gt;")&lt;&gt;1),"",SUMIFS(Loads!$E$3:$E$1000,Loads!$A$3:$A$1000,"&gt;="&amp;INT(A128),Loads!$A$3:$A$1000,"&lt;"&amp;(INT(A128)+1),Loads!$B$3:$B$1000,B128,Loads!$C$3:$C$1000,C128)))</x:f>
        <x:v>0</x:v>
      </x:c>
      <x:c r="L128" s="434" t="n">
        <x:f>IF(COUNTIF(Library!$B$3:$B$58,C128)&lt;&gt;1,"",IF(COUNTIFS(Library!$B$3:$B$58,C128,Library!$E$3:$E$58,"&lt;&gt;")=0,0,INDEX(Library!$E$3:$E$58,MATCH(C128,Library!$B$3:$B$58,0))))</x:f>
        <x:v>0</x:v>
      </x:c>
      <x:c r="M128" s="432" t="n">
        <x:f>IF(OR(COUNT(J128:L128)&lt;&gt;3,J128&lt;0,J128&gt;10,K128&lt;0,L128&lt;0,COUNTIFS(Library!$B$3:$B$58,C128,Library!$D$3:$D$58,D128)&lt;&gt;1),"",MIN(10,J128*(1+K128*L128)))</x:f>
        <x:v>1</x:v>
      </x:c>
      <x:c r="N128" s="432" t="n">
        <x:f>IF(D128="seconds",IF(AND(ISNUMBER($B$177),$B$177&gt;0),G128/$B$177,""),IF(D128="reps/leg",G128*2,G128))</x:f>
        <x:v>40</x:v>
      </x:c>
      <x:c r="O128" s="432" t="n">
        <x:f>IF(COUNT(M128:N128)&lt;&gt;2,"",M128*N128)</x:f>
        <x:v>40</x:v>
      </x:c>
      <x:c r="P128" s="432" t="n">
        <x:f>IF(COUNT(O128:O130)&lt;&gt;COUNT(N128:N130),"",IF(SUM(N128:N130)=0,0,ROUND(SUM(O128:O130)/SUM(N128:N130),1)))</x:f>
        <x:v>1</x:v>
      </x:c>
      <x:c r="Q128" s="432" t="str">
        <x:f>IF(COUNT(I128:I130)=0,"",MEDIAN(I128:I130))</x:f>
      </x:c>
      <x:c r="R128" s="400" t="n">
        <x:f>COUNT(I128:I130)</x:f>
        <x:v>0</x:v>
      </x:c>
      <x:c r="S128" s="400" t="n">
        <x:v>3</x:v>
      </x:c>
      <x:c r="T128"/>
      <x:c r="U128"/>
      <x:c r="V128"/>
      <x:c r="W128"/>
      <x:c r="X128"/>
      <x:c r="Y128"/>
      <x:c r="Z128"/>
      <x:c r="AA128"/>
      <x:c r="AB128"/>
    </x:row>
    <x:row r="129" ht="38" hidden="0" customHeight="1">
      <x:c r="A129" s="402" t="n">
        <x:f>Daily!A38</x:f>
        <x:v>46382.5</x:v>
      </x:c>
      <x:c r="B129" s="391" t="str">
        <x:f>Daily!D38</x:f>
        <x:v>Skill micro-session</x:v>
      </x:c>
      <x:c r="C129" s="400" t="str">
        <x:v>Easy chest-to-wall hold</x:v>
      </x:c>
      <x:c r="D129" s="400" t="str">
        <x:v>seconds</x:v>
      </x:c>
      <x:c r="E129" s="400" t="n">
        <x:v>3</x:v>
      </x:c>
      <x:c r="F129" s="400" t="n">
        <x:v>15</x:v>
      </x:c>
      <x:c r="G129" s="400" t="n">
        <x:f>E129*F129</x:f>
        <x:v>45</x:v>
      </x:c>
      <x:c r="H129" s="400" t="str">
        <x:f>IF(AND(OR(Daily!N38=TRUE,Daily!AB38=TRUE),COUNT(Daily!O38,Daily!P38,Daily!Q38)&gt;0),SUM(Daily!O38,Daily!P38,Daily!Q38)*86400,"")</x:f>
      </x:c>
      <x:c r="I129" s="432" t="str">
        <x:f>IF(AND(ISNUMBER(H129),ISNUMBER(G129),G129&gt;0),100*H129/G129,"")</x:f>
      </x:c>
      <x:c r="J129" s="432" t="n">
        <x:f>IF(COUNTIF(Library!$B$3:$B$58,C129)&lt;&gt;1,"",INDEX(Library!$C$3:$C$58,MATCH(C129,Library!$B$3:$B$58,0)))</x:f>
        <x:v>1</x:v>
      </x:c>
      <x:c r="K129" s="433" t="n">
        <x:f>IF(COUNTIFS(Loads!$A$3:$A$1000,"&gt;="&amp;INT(A129),Loads!$A$3:$A$1000,"&lt;"&amp;(INT(A129)+1),Loads!$B$3:$B$1000,B129,Loads!$C$3:$C$1000,C129)=0,0,IF(OR(COUNTIFS(Loads!$A$3:$A$1000,"&gt;="&amp;INT(A129),Loads!$A$3:$A$1000,"&lt;"&amp;(INT(A129)+1),Loads!$B$3:$B$1000,B129,Loads!$C$3:$C$1000,C129)&lt;&gt;1,COUNTIFS(Loads!$A$3:$A$1000,"&gt;="&amp;INT(A129),Loads!$A$3:$A$1000,"&lt;"&amp;(INT(A129)+1),Loads!$B$3:$B$1000,B129,Loads!$C$3:$C$1000,C129,Loads!$E$3:$E$1000,"&lt;&gt;")&lt;&gt;1),"",SUMIFS(Loads!$E$3:$E$1000,Loads!$A$3:$A$1000,"&gt;="&amp;INT(A129),Loads!$A$3:$A$1000,"&lt;"&amp;(INT(A129)+1),Loads!$B$3:$B$1000,B129,Loads!$C$3:$C$1000,C129)))</x:f>
        <x:v>0</x:v>
      </x:c>
      <x:c r="L129" s="434" t="n">
        <x:f>IF(COUNTIF(Library!$B$3:$B$58,C129)&lt;&gt;1,"",IF(COUNTIFS(Library!$B$3:$B$58,C129,Library!$E$3:$E$58,"&lt;&gt;")=0,0,INDEX(Library!$E$3:$E$58,MATCH(C129,Library!$B$3:$B$58,0))))</x:f>
        <x:v>0</x:v>
      </x:c>
      <x:c r="M129" s="432" t="n">
        <x:f>IF(OR(COUNT(J129:L129)&lt;&gt;3,J129&lt;0,J129&gt;10,K129&lt;0,L129&lt;0,COUNTIFS(Library!$B$3:$B$58,C129,Library!$D$3:$D$58,D129)&lt;&gt;1),"",MIN(10,J129*(1+K129*L129)))</x:f>
        <x:v>1</x:v>
      </x:c>
      <x:c r="N129" s="432" t="n">
        <x:f>IF(D129="seconds",IF(AND(ISNUMBER($B$177),$B$177&gt;0),G129/$B$177,""),IF(D129="reps/leg",G129*2,G129))</x:f>
        <x:v>15</x:v>
      </x:c>
      <x:c r="O129" s="432" t="n">
        <x:f>IF(COUNT(M129:N129)&lt;&gt;2,"",M129*N129)</x:f>
        <x:v>15</x:v>
      </x:c>
      <x:c r="P129" s="432"/>
      <x:c r="Q129" s="432"/>
      <x:c r="R129" s="400"/>
      <x:c r="S129" s="400"/>
      <x:c r="T129"/>
      <x:c r="U129"/>
      <x:c r="V129"/>
      <x:c r="W129"/>
      <x:c r="X129"/>
      <x:c r="Y129"/>
      <x:c r="Z129"/>
      <x:c r="AA129"/>
      <x:c r="AB129"/>
    </x:row>
    <x:row r="130" ht="38" hidden="0" customHeight="1">
      <x:c r="A130" s="402" t="n">
        <x:f>Daily!A38</x:f>
        <x:v>46382.5</x:v>
      </x:c>
      <x:c r="B130" s="391" t="str">
        <x:f>Daily!D38</x:f>
        <x:v>Skill micro-session</x:v>
      </x:c>
      <x:c r="C130" s="400" t="str">
        <x:v>Wall handstand line drill</x:v>
      </x:c>
      <x:c r="D130" s="400" t="str">
        <x:v>seconds</x:v>
      </x:c>
      <x:c r="E130" s="400" t="n">
        <x:v>3</x:v>
      </x:c>
      <x:c r="F130" s="400" t="n">
        <x:v>15</x:v>
      </x:c>
      <x:c r="G130" s="400" t="n">
        <x:f>E130*F130</x:f>
        <x:v>45</x:v>
      </x:c>
      <x:c r="H130" s="400" t="str">
        <x:f>IF(AND(OR(Daily!T38=TRUE,Daily!AB38=TRUE),COUNT(Daily!U38,Daily!V38,Daily!W38)&gt;0),SUM(Daily!U38,Daily!V38,Daily!W38)*86400,"")</x:f>
      </x:c>
      <x:c r="I130" s="432" t="str">
        <x:f>IF(AND(ISNUMBER(H130),ISNUMBER(G130),G130&gt;0),100*H130/G130,"")</x:f>
      </x:c>
      <x:c r="J130" s="432" t="n">
        <x:f>IF(COUNTIF(Library!$B$3:$B$58,C130)&lt;&gt;1,"",INDEX(Library!$C$3:$C$58,MATCH(C130,Library!$B$3:$B$58,0)))</x:f>
        <x:v>1</x:v>
      </x:c>
      <x:c r="K130" s="433" t="n">
        <x:f>IF(COUNTIFS(Loads!$A$3:$A$1000,"&gt;="&amp;INT(A130),Loads!$A$3:$A$1000,"&lt;"&amp;(INT(A130)+1),Loads!$B$3:$B$1000,B130,Loads!$C$3:$C$1000,C130)=0,0,IF(OR(COUNTIFS(Loads!$A$3:$A$1000,"&gt;="&amp;INT(A130),Loads!$A$3:$A$1000,"&lt;"&amp;(INT(A130)+1),Loads!$B$3:$B$1000,B130,Loads!$C$3:$C$1000,C130)&lt;&gt;1,COUNTIFS(Loads!$A$3:$A$1000,"&gt;="&amp;INT(A130),Loads!$A$3:$A$1000,"&lt;"&amp;(INT(A130)+1),Loads!$B$3:$B$1000,B130,Loads!$C$3:$C$1000,C130,Loads!$E$3:$E$1000,"&lt;&gt;")&lt;&gt;1),"",SUMIFS(Loads!$E$3:$E$1000,Loads!$A$3:$A$1000,"&gt;="&amp;INT(A130),Loads!$A$3:$A$1000,"&lt;"&amp;(INT(A130)+1),Loads!$B$3:$B$1000,B130,Loads!$C$3:$C$1000,C130)))</x:f>
        <x:v>0</x:v>
      </x:c>
      <x:c r="L130" s="434" t="n">
        <x:f>IF(COUNTIF(Library!$B$3:$B$58,C130)&lt;&gt;1,"",IF(COUNTIFS(Library!$B$3:$B$58,C130,Library!$E$3:$E$58,"&lt;&gt;")=0,0,INDEX(Library!$E$3:$E$58,MATCH(C130,Library!$B$3:$B$58,0))))</x:f>
        <x:v>0</x:v>
      </x:c>
      <x:c r="M130" s="432" t="n">
        <x:f>IF(OR(COUNT(J130:L130)&lt;&gt;3,J130&lt;0,J130&gt;10,K130&lt;0,L130&lt;0,COUNTIFS(Library!$B$3:$B$58,C130,Library!$D$3:$D$58,D130)&lt;&gt;1),"",MIN(10,J130*(1+K130*L130)))</x:f>
        <x:v>1</x:v>
      </x:c>
      <x:c r="N130" s="432" t="n">
        <x:f>IF(D130="seconds",IF(AND(ISNUMBER($B$177),$B$177&gt;0),G130/$B$177,""),IF(D130="reps/leg",G130*2,G130))</x:f>
        <x:v>15</x:v>
      </x:c>
      <x:c r="O130" s="432" t="n">
        <x:f>IF(COUNT(M130:N130)&lt;&gt;2,"",M130*N130)</x:f>
        <x:v>15</x:v>
      </x:c>
      <x:c r="P130" s="432"/>
      <x:c r="Q130" s="432"/>
      <x:c r="R130" s="400"/>
      <x:c r="S130" s="400"/>
      <x:c r="T130"/>
      <x:c r="U130"/>
      <x:c r="V130"/>
      <x:c r="W130"/>
      <x:c r="X130"/>
      <x:c r="Y130"/>
      <x:c r="Z130"/>
      <x:c r="AA130"/>
      <x:c r="AB130"/>
    </x:row>
    <x:row r="131" ht="38" hidden="0" customHeight="1">
      <x:c r="A131" s="402" t="n">
        <x:f>Daily!A39</x:f>
        <x:v>46384.5</x:v>
      </x:c>
      <x:c r="B131" s="391" t="str">
        <x:f>Daily!D39</x:f>
        <x:v>Skill A + Cal-Intervals</x:v>
      </x:c>
      <x:c r="C131" s="400" t="str">
        <x:v>Quality muscle-up attempts</x:v>
      </x:c>
      <x:c r="D131" s="400" t="str">
        <x:v>reps</x:v>
      </x:c>
      <x:c r="E131" s="400" t="n">
        <x:v>5</x:v>
      </x:c>
      <x:c r="F131" s="400" t="n">
        <x:v>1</x:v>
      </x:c>
      <x:c r="G131" s="400" t="n">
        <x:f>E131*F131</x:f>
        <x:v>5</x:v>
      </x:c>
      <x:c r="H131" s="400" t="str">
        <x:f>IF(AND(OR(Daily!N39=TRUE,Daily!AB39=TRUE),COUNT(Daily!O39,Daily!P39)&gt;0),SUM(Daily!O39,Daily!P39),"")</x:f>
      </x:c>
      <x:c r="I131" s="432" t="str">
        <x:f>IF(AND(ISNUMBER(H131),ISNUMBER(G131),G131&gt;0),100*H131/G131,"")</x:f>
      </x:c>
      <x:c r="J131" s="432" t="n">
        <x:f>IF(COUNTIF(Library!$B$3:$B$58,C131)&lt;&gt;1,"",INDEX(Library!$C$3:$C$58,MATCH(C131,Library!$B$3:$B$58,0)))</x:f>
        <x:v>8</x:v>
      </x:c>
      <x:c r="K131" s="433" t="n">
        <x:f>IF(COUNTIFS(Loads!$A$3:$A$1000,"&gt;="&amp;INT(A131),Loads!$A$3:$A$1000,"&lt;"&amp;(INT(A131)+1),Loads!$B$3:$B$1000,B131,Loads!$C$3:$C$1000,C131)=0,0,IF(OR(COUNTIFS(Loads!$A$3:$A$1000,"&gt;="&amp;INT(A131),Loads!$A$3:$A$1000,"&lt;"&amp;(INT(A131)+1),Loads!$B$3:$B$1000,B131,Loads!$C$3:$C$1000,C131)&lt;&gt;1,COUNTIFS(Loads!$A$3:$A$1000,"&gt;="&amp;INT(A131),Loads!$A$3:$A$1000,"&lt;"&amp;(INT(A131)+1),Loads!$B$3:$B$1000,B131,Loads!$C$3:$C$1000,C131,Loads!$E$3:$E$1000,"&lt;&gt;")&lt;&gt;1),"",SUMIFS(Loads!$E$3:$E$1000,Loads!$A$3:$A$1000,"&gt;="&amp;INT(A131),Loads!$A$3:$A$1000,"&lt;"&amp;(INT(A131)+1),Loads!$B$3:$B$1000,B131,Loads!$C$3:$C$1000,C131)))</x:f>
        <x:v>0</x:v>
      </x:c>
      <x:c r="L131" s="434" t="n">
        <x:f>IF(COUNTIF(Library!$B$3:$B$58,C131)&lt;&gt;1,"",IF(COUNTIFS(Library!$B$3:$B$58,C131,Library!$E$3:$E$58,"&lt;&gt;")=0,0,INDEX(Library!$E$3:$E$58,MATCH(C131,Library!$B$3:$B$58,0))))</x:f>
        <x:v>0.04</x:v>
      </x:c>
      <x:c r="M131" s="432" t="n">
        <x:f>IF(OR(COUNT(J131:L131)&lt;&gt;3,J131&lt;0,J131&gt;10,K131&lt;0,L131&lt;0,COUNTIFS(Library!$B$3:$B$58,C131,Library!$D$3:$D$58,D131)&lt;&gt;1),"",MIN(10,J131*(1+K131*L131)))</x:f>
        <x:v>8</x:v>
      </x:c>
      <x:c r="N131" s="432" t="n">
        <x:f>IF(D131="seconds",IF(AND(ISNUMBER($B$177),$B$177&gt;0),G131/$B$177,""),IF(D131="reps/leg",G131*2,G131))</x:f>
        <x:v>5</x:v>
      </x:c>
      <x:c r="O131" s="432" t="n">
        <x:f>IF(COUNT(M131:N131)&lt;&gt;2,"",M131*N131)</x:f>
        <x:v>40</x:v>
      </x:c>
      <x:c r="P131" s="432" t="n">
        <x:f>IF(COUNT(O131:O134)&lt;&gt;COUNT(N131:N134),"",IF(SUM(N131:N134)=0,0,ROUND(SUM(O131:O134)/SUM(N131:N134),1)))</x:f>
        <x:v>5.2</x:v>
      </x:c>
      <x:c r="Q131" s="432" t="str">
        <x:f>IF(COUNT(I131:I134)=0,"",MEDIAN(I131:I134))</x:f>
      </x:c>
      <x:c r="R131" s="400" t="n">
        <x:f>COUNT(I131:I134)</x:f>
        <x:v>0</x:v>
      </x:c>
      <x:c r="S131" s="400" t="n">
        <x:v>4</x:v>
      </x:c>
      <x:c r="T131"/>
      <x:c r="U131"/>
      <x:c r="V131"/>
      <x:c r="W131"/>
      <x:c r="X131"/>
      <x:c r="Y131"/>
      <x:c r="Z131"/>
      <x:c r="AA131"/>
      <x:c r="AB131"/>
    </x:row>
    <x:row r="132" ht="38" hidden="0" customHeight="1">
      <x:c r="A132" s="402" t="n">
        <x:f>Daily!A39</x:f>
        <x:v>46384.5</x:v>
      </x:c>
      <x:c r="B132" s="391" t="str">
        <x:f>Daily!D39</x:f>
        <x:v>Skill A + Cal-Intervals</x:v>
      </x:c>
      <x:c r="C132" s="400" t="str">
        <x:v>Band-assisted muscle-up</x:v>
      </x:c>
      <x:c r="D132" s="400" t="str">
        <x:v>reps</x:v>
      </x:c>
      <x:c r="E132" s="400" t="n">
        <x:v>2</x:v>
      </x:c>
      <x:c r="F132" s="400" t="n">
        <x:v>2</x:v>
      </x:c>
      <x:c r="G132" s="400" t="n">
        <x:f>E132*F132</x:f>
        <x:v>4</x:v>
      </x:c>
      <x:c r="H132" s="400" t="str">
        <x:f>IF(AND(OR(Daily!Z39=TRUE,Daily!AB39=TRUE),COUNT(Daily!AA39)&gt;0),SUM(Daily!AA39),"")</x:f>
      </x:c>
      <x:c r="I132" s="432" t="str">
        <x:f>IF(AND(ISNUMBER(H132),ISNUMBER(G132),G132&gt;0),100*H132/G132,"")</x:f>
      </x:c>
      <x:c r="J132" s="432" t="n">
        <x:f>IF(COUNTIF(Library!$B$3:$B$58,C132)&lt;&gt;1,"",INDEX(Library!$C$3:$C$58,MATCH(C132,Library!$B$3:$B$58,0)))</x:f>
        <x:v>6</x:v>
      </x:c>
      <x:c r="K132" s="433" t="n">
        <x:f>IF(COUNTIFS(Loads!$A$3:$A$1000,"&gt;="&amp;INT(A132),Loads!$A$3:$A$1000,"&lt;"&amp;(INT(A132)+1),Loads!$B$3:$B$1000,B132,Loads!$C$3:$C$1000,C132)=0,0,IF(OR(COUNTIFS(Loads!$A$3:$A$1000,"&gt;="&amp;INT(A132),Loads!$A$3:$A$1000,"&lt;"&amp;(INT(A132)+1),Loads!$B$3:$B$1000,B132,Loads!$C$3:$C$1000,C132)&lt;&gt;1,COUNTIFS(Loads!$A$3:$A$1000,"&gt;="&amp;INT(A132),Loads!$A$3:$A$1000,"&lt;"&amp;(INT(A132)+1),Loads!$B$3:$B$1000,B132,Loads!$C$3:$C$1000,C132,Loads!$E$3:$E$1000,"&lt;&gt;")&lt;&gt;1),"",SUMIFS(Loads!$E$3:$E$1000,Loads!$A$3:$A$1000,"&gt;="&amp;INT(A132),Loads!$A$3:$A$1000,"&lt;"&amp;(INT(A132)+1),Loads!$B$3:$B$1000,B132,Loads!$C$3:$C$1000,C132)))</x:f>
        <x:v>0</x:v>
      </x:c>
      <x:c r="L132" s="434" t="n">
        <x:f>IF(COUNTIF(Library!$B$3:$B$58,C132)&lt;&gt;1,"",IF(COUNTIFS(Library!$B$3:$B$58,C132,Library!$E$3:$E$58,"&lt;&gt;")=0,0,INDEX(Library!$E$3:$E$58,MATCH(C132,Library!$B$3:$B$58,0))))</x:f>
        <x:v>0.04</x:v>
      </x:c>
      <x:c r="M132" s="432" t="n">
        <x:f>IF(OR(COUNT(J132:L132)&lt;&gt;3,J132&lt;0,J132&gt;10,K132&lt;0,L132&lt;0,COUNTIFS(Library!$B$3:$B$58,C132,Library!$D$3:$D$58,D132)&lt;&gt;1),"",MIN(10,J132*(1+K132*L132)))</x:f>
        <x:v>6</x:v>
      </x:c>
      <x:c r="N132" s="432" t="n">
        <x:f>IF(D132="seconds",IF(AND(ISNUMBER($B$177),$B$177&gt;0),G132/$B$177,""),IF(D132="reps/leg",G132*2,G132))</x:f>
        <x:v>4</x:v>
      </x:c>
      <x:c r="O132" s="432" t="n">
        <x:f>IF(COUNT(M132:N132)&lt;&gt;2,"",M132*N132)</x:f>
        <x:v>24</x:v>
      </x:c>
      <x:c r="P132" s="432"/>
      <x:c r="Q132" s="432"/>
      <x:c r="R132" s="400"/>
      <x:c r="S132" s="400"/>
      <x:c r="T132"/>
      <x:c r="U132"/>
      <x:c r="V132"/>
      <x:c r="W132"/>
      <x:c r="X132"/>
      <x:c r="Y132"/>
      <x:c r="Z132"/>
      <x:c r="AA132"/>
      <x:c r="AB132"/>
    </x:row>
    <x:row r="133" ht="38" hidden="0" customHeight="1">
      <x:c r="A133" s="402" t="n">
        <x:f>Daily!A39</x:f>
        <x:v>46384.5</x:v>
      </x:c>
      <x:c r="B133" s="391" t="str">
        <x:f>Daily!D39</x:f>
        <x:v>Skill A + Cal-Intervals</x:v>
      </x:c>
      <x:c r="C133" s="400" t="str">
        <x:v>Pistol clusters</x:v>
      </x:c>
      <x:c r="D133" s="400" t="str">
        <x:v>reps/leg</x:v>
      </x:c>
      <x:c r="E133" s="400" t="n">
        <x:v>3</x:v>
      </x:c>
      <x:c r="F133" s="400" t="n">
        <x:v>2</x:v>
      </x:c>
      <x:c r="G133" s="400" t="n">
        <x:f>E133*F133</x:f>
        <x:v>6</x:v>
      </x:c>
      <x:c r="H133" s="400"/>
      <x:c r="I133" s="432"/>
      <x:c r="J133" s="432" t="n">
        <x:f>IF(COUNTIF(Library!$B$3:$B$58,C133)&lt;&gt;1,"",INDEX(Library!$C$3:$C$58,MATCH(C133,Library!$B$3:$B$58,0)))</x:f>
        <x:v>8</x:v>
      </x:c>
      <x:c r="K133" s="433" t="n">
        <x:f>IF(COUNTIFS(Loads!$A$3:$A$1000,"&gt;="&amp;INT(A133),Loads!$A$3:$A$1000,"&lt;"&amp;(INT(A133)+1),Loads!$B$3:$B$1000,B133,Loads!$C$3:$C$1000,C133)=0,0,IF(OR(COUNTIFS(Loads!$A$3:$A$1000,"&gt;="&amp;INT(A133),Loads!$A$3:$A$1000,"&lt;"&amp;(INT(A133)+1),Loads!$B$3:$B$1000,B133,Loads!$C$3:$C$1000,C133)&lt;&gt;1,COUNTIFS(Loads!$A$3:$A$1000,"&gt;="&amp;INT(A133),Loads!$A$3:$A$1000,"&lt;"&amp;(INT(A133)+1),Loads!$B$3:$B$1000,B133,Loads!$C$3:$C$1000,C133,Loads!$E$3:$E$1000,"&lt;&gt;")&lt;&gt;1),"",SUMIFS(Loads!$E$3:$E$1000,Loads!$A$3:$A$1000,"&gt;="&amp;INT(A133),Loads!$A$3:$A$1000,"&lt;"&amp;(INT(A133)+1),Loads!$B$3:$B$1000,B133,Loads!$C$3:$C$1000,C133)))</x:f>
        <x:v>0</x:v>
      </x:c>
      <x:c r="L133" s="434" t="n">
        <x:f>IF(COUNTIF(Library!$B$3:$B$58,C133)&lt;&gt;1,"",IF(COUNTIFS(Library!$B$3:$B$58,C133,Library!$E$3:$E$58,"&lt;&gt;")=0,0,INDEX(Library!$E$3:$E$58,MATCH(C133,Library!$B$3:$B$58,0))))</x:f>
        <x:v>0.03</x:v>
      </x:c>
      <x:c r="M133" s="432" t="n">
        <x:f>IF(OR(COUNT(J133:L133)&lt;&gt;3,J133&lt;0,J133&gt;10,K133&lt;0,L133&lt;0,COUNTIFS(Library!$B$3:$B$58,C133,Library!$D$3:$D$58,D133)&lt;&gt;1),"",MIN(10,J133*(1+K133*L133)))</x:f>
        <x:v>8</x:v>
      </x:c>
      <x:c r="N133" s="432" t="n">
        <x:f>IF(D133="seconds",IF(AND(ISNUMBER($B$177),$B$177&gt;0),G133/$B$177,""),IF(D133="reps/leg",G133*2,G133))</x:f>
        <x:v>12</x:v>
      </x:c>
      <x:c r="O133" s="432" t="n">
        <x:f>IF(COUNT(M133:N133)&lt;&gt;2,"",M133*N133)</x:f>
        <x:v>96</x:v>
      </x:c>
      <x:c r="P133" s="432"/>
      <x:c r="Q133" s="432"/>
      <x:c r="R133" s="400"/>
      <x:c r="S133" s="400"/>
      <x:c r="T133"/>
      <x:c r="U133"/>
      <x:c r="V133"/>
      <x:c r="W133"/>
      <x:c r="X133"/>
      <x:c r="Y133"/>
      <x:c r="Z133"/>
      <x:c r="AA133"/>
      <x:c r="AB133"/>
    </x:row>
    <x:row r="134" ht="38" hidden="0" customHeight="1">
      <x:c r="A134" s="402" t="n">
        <x:f>Daily!A39</x:f>
        <x:v>46384.5</x:v>
      </x:c>
      <x:c r="B134" s="391" t="str">
        <x:f>Daily!D39</x:f>
        <x:v>Skill A + Cal-Intervals</x:v>
      </x:c>
      <x:c r="C134" s="400" t="str">
        <x:v>Cal-Intervals</x:v>
      </x:c>
      <x:c r="D134" s="400" t="str">
        <x:v>rounds</x:v>
      </x:c>
      <x:c r="E134" s="400" t="n">
        <x:v>1</x:v>
      </x:c>
      <x:c r="F134" s="400" t="n">
        <x:v>5</x:v>
      </x:c>
      <x:c r="G134" s="400" t="n">
        <x:v>5</x:v>
      </x:c>
      <x:c r="H134" s="400" t="str">
        <x:f>IF(AND(OR(Daily!Z39=TRUE,Daily!AB39=TRUE),ISNUMBER(Daily!AA39)),Daily!AA39,"")</x:f>
      </x:c>
      <x:c r="I134" s="432" t="str">
        <x:f>IF(AND(ISNUMBER(H134),G134&gt;0),100*H134/G134,"")</x:f>
      </x:c>
      <x:c r="J134" s="432" t="n">
        <x:f>IF(OR(COUNT(Library!F67:F70)&lt;&gt;4,COUNT(Library!E67:E70)&lt;&gt;4,SUM(Library!E67:E70)=0),"",SUM(Library!F67:F70)/SUM(Library!E67:E70))</x:f>
        <x:v>5</x:v>
      </x:c>
      <x:c r="K134" s="433"/>
      <x:c r="L134" s="434"/>
      <x:c r="M134" s="432" t="n">
        <x:f>IF(ISNUMBER(J134),J134,"")</x:f>
        <x:v>5</x:v>
      </x:c>
      <x:c r="N134" s="432" t="n">
        <x:f>IF(COUNT(Library!E67:E70)&lt;&gt;4,"",G134*SUM(Library!E67:E70))</x:f>
        <x:v>200</x:v>
      </x:c>
      <x:c r="O134" s="432" t="n">
        <x:f>IF(COUNT(Library!F67:F70)&lt;&gt;4,"",G134*SUM(Library!F67:F70))</x:f>
        <x:v>1000</x:v>
      </x:c>
      <x:c r="P134" s="432"/>
      <x:c r="Q134" s="432"/>
      <x:c r="R134" s="400"/>
      <x:c r="S134" s="400"/>
      <x:c r="T134"/>
      <x:c r="U134"/>
      <x:c r="V134"/>
      <x:c r="W134"/>
      <x:c r="X134"/>
      <x:c r="Y134"/>
      <x:c r="Z134"/>
      <x:c r="AA134"/>
      <x:c r="AB134"/>
    </x:row>
    <x:row r="135" ht="38" hidden="0" customHeight="1">
      <x:c r="A135" s="402" t="n">
        <x:f>Daily!A40</x:f>
        <x:v>46385.5</x:v>
      </x:c>
      <x:c r="B135" s="391" t="str">
        <x:f>Daily!D40</x:f>
        <x:v>Handstand technique</x:v>
      </x:c>
      <x:c r="C135" s="400" t="str">
        <x:v>Wrist/shoulder mobility</x:v>
      </x:c>
      <x:c r="D135" s="400" t="str">
        <x:v>seconds</x:v>
      </x:c>
      <x:c r="E135" s="400" t="n">
        <x:v>1</x:v>
      </x:c>
      <x:c r="F135" s="400" t="n">
        <x:v>120</x:v>
      </x:c>
      <x:c r="G135" s="400" t="n">
        <x:f>E135*F135</x:f>
        <x:v>120</x:v>
      </x:c>
      <x:c r="H135" s="400" t="str">
        <x:f>IF(AND(OR(Daily!H40=TRUE,Daily!AB40=TRUE),COUNT(Daily!I40)&gt;0),SUM(Daily!I40)*86400,"")</x:f>
      </x:c>
      <x:c r="I135" s="432" t="str">
        <x:f>IF(AND(ISNUMBER(H135),ISNUMBER(G135),G135&gt;0),100*H135/G135,"")</x:f>
      </x:c>
      <x:c r="J135" s="432" t="n">
        <x:f>IF(COUNTIF(Library!$B$3:$B$58,C135)&lt;&gt;1,"",INDEX(Library!$C$3:$C$58,MATCH(C135,Library!$B$3:$B$58,0)))</x:f>
        <x:v>1</x:v>
      </x:c>
      <x:c r="K135" s="433" t="n">
        <x:f>IF(COUNTIFS(Loads!$A$3:$A$1000,"&gt;="&amp;INT(A135),Loads!$A$3:$A$1000,"&lt;"&amp;(INT(A135)+1),Loads!$B$3:$B$1000,B135,Loads!$C$3:$C$1000,C135)=0,0,IF(OR(COUNTIFS(Loads!$A$3:$A$1000,"&gt;="&amp;INT(A135),Loads!$A$3:$A$1000,"&lt;"&amp;(INT(A135)+1),Loads!$B$3:$B$1000,B135,Loads!$C$3:$C$1000,C135)&lt;&gt;1,COUNTIFS(Loads!$A$3:$A$1000,"&gt;="&amp;INT(A135),Loads!$A$3:$A$1000,"&lt;"&amp;(INT(A135)+1),Loads!$B$3:$B$1000,B135,Loads!$C$3:$C$1000,C135,Loads!$E$3:$E$1000,"&lt;&gt;")&lt;&gt;1),"",SUMIFS(Loads!$E$3:$E$1000,Loads!$A$3:$A$1000,"&gt;="&amp;INT(A135),Loads!$A$3:$A$1000,"&lt;"&amp;(INT(A135)+1),Loads!$B$3:$B$1000,B135,Loads!$C$3:$C$1000,C135)))</x:f>
        <x:v>0</x:v>
      </x:c>
      <x:c r="L135" s="434" t="n">
        <x:f>IF(COUNTIF(Library!$B$3:$B$58,C135)&lt;&gt;1,"",IF(COUNTIFS(Library!$B$3:$B$58,C135,Library!$E$3:$E$58,"&lt;&gt;")=0,0,INDEX(Library!$E$3:$E$58,MATCH(C135,Library!$B$3:$B$58,0))))</x:f>
        <x:v>0</x:v>
      </x:c>
      <x:c r="M135" s="432" t="n">
        <x:f>IF(OR(COUNT(J135:L135)&lt;&gt;3,J135&lt;0,J135&gt;10,K135&lt;0,L135&lt;0,COUNTIFS(Library!$B$3:$B$58,C135,Library!$D$3:$D$58,D135)&lt;&gt;1),"",MIN(10,J135*(1+K135*L135)))</x:f>
        <x:v>1</x:v>
      </x:c>
      <x:c r="N135" s="432" t="n">
        <x:f>IF(D135="seconds",IF(AND(ISNUMBER($B$177),$B$177&gt;0),G135/$B$177,""),IF(D135="reps/leg",G135*2,G135))</x:f>
        <x:v>40</x:v>
      </x:c>
      <x:c r="O135" s="432" t="n">
        <x:f>IF(COUNT(M135:N135)&lt;&gt;2,"",M135*N135)</x:f>
        <x:v>40</x:v>
      </x:c>
      <x:c r="P135" s="432" t="n">
        <x:f>IF(COUNT(O135:O137)&lt;&gt;COUNT(N135:N137),"",IF(SUM(N135:N137)=0,0,ROUND(SUM(O135:O137)/SUM(N135:N137),1)))</x:f>
        <x:v>1</x:v>
      </x:c>
      <x:c r="Q135" s="432" t="str">
        <x:f>IF(COUNT(I135:I137)=0,"",MEDIAN(I135:I137))</x:f>
      </x:c>
      <x:c r="R135" s="400" t="n">
        <x:f>COUNT(I135:I137)</x:f>
        <x:v>0</x:v>
      </x:c>
      <x:c r="S135" s="400" t="n">
        <x:v>3</x:v>
      </x:c>
      <x:c r="T135"/>
      <x:c r="U135"/>
      <x:c r="V135"/>
      <x:c r="W135"/>
      <x:c r="X135"/>
      <x:c r="Y135"/>
      <x:c r="Z135"/>
      <x:c r="AA135"/>
      <x:c r="AB135"/>
    </x:row>
    <x:row r="136" ht="38" hidden="0" customHeight="1">
      <x:c r="A136" s="402" t="n">
        <x:f>Daily!A40</x:f>
        <x:v>46385.5</x:v>
      </x:c>
      <x:c r="B136" s="391" t="str">
        <x:f>Daily!D40</x:f>
        <x:v>Handstand technique</x:v>
      </x:c>
      <x:c r="C136" s="400" t="str">
        <x:v>Easy chest-to-wall hold</x:v>
      </x:c>
      <x:c r="D136" s="400" t="str">
        <x:v>seconds</x:v>
      </x:c>
      <x:c r="E136" s="400" t="n">
        <x:v>3</x:v>
      </x:c>
      <x:c r="F136" s="400" t="n">
        <x:v>15</x:v>
      </x:c>
      <x:c r="G136" s="400" t="n">
        <x:f>E136*F136</x:f>
        <x:v>45</x:v>
      </x:c>
      <x:c r="H136" s="400" t="str">
        <x:f>IF(AND(OR(Daily!N40=TRUE,Daily!AB40=TRUE),COUNT(Daily!O40,Daily!P40,Daily!Q40)&gt;0),SUM(Daily!O40,Daily!P40,Daily!Q40)*86400,"")</x:f>
      </x:c>
      <x:c r="I136" s="432" t="str">
        <x:f>IF(AND(ISNUMBER(H136),ISNUMBER(G136),G136&gt;0),100*H136/G136,"")</x:f>
      </x:c>
      <x:c r="J136" s="432" t="n">
        <x:f>IF(COUNTIF(Library!$B$3:$B$58,C136)&lt;&gt;1,"",INDEX(Library!$C$3:$C$58,MATCH(C136,Library!$B$3:$B$58,0)))</x:f>
        <x:v>1</x:v>
      </x:c>
      <x:c r="K136" s="433" t="n">
        <x:f>IF(COUNTIFS(Loads!$A$3:$A$1000,"&gt;="&amp;INT(A136),Loads!$A$3:$A$1000,"&lt;"&amp;(INT(A136)+1),Loads!$B$3:$B$1000,B136,Loads!$C$3:$C$1000,C136)=0,0,IF(OR(COUNTIFS(Loads!$A$3:$A$1000,"&gt;="&amp;INT(A136),Loads!$A$3:$A$1000,"&lt;"&amp;(INT(A136)+1),Loads!$B$3:$B$1000,B136,Loads!$C$3:$C$1000,C136)&lt;&gt;1,COUNTIFS(Loads!$A$3:$A$1000,"&gt;="&amp;INT(A136),Loads!$A$3:$A$1000,"&lt;"&amp;(INT(A136)+1),Loads!$B$3:$B$1000,B136,Loads!$C$3:$C$1000,C136,Loads!$E$3:$E$1000,"&lt;&gt;")&lt;&gt;1),"",SUMIFS(Loads!$E$3:$E$1000,Loads!$A$3:$A$1000,"&gt;="&amp;INT(A136),Loads!$A$3:$A$1000,"&lt;"&amp;(INT(A136)+1),Loads!$B$3:$B$1000,B136,Loads!$C$3:$C$1000,C136)))</x:f>
        <x:v>0</x:v>
      </x:c>
      <x:c r="L136" s="434" t="n">
        <x:f>IF(COUNTIF(Library!$B$3:$B$58,C136)&lt;&gt;1,"",IF(COUNTIFS(Library!$B$3:$B$58,C136,Library!$E$3:$E$58,"&lt;&gt;")=0,0,INDEX(Library!$E$3:$E$58,MATCH(C136,Library!$B$3:$B$58,0))))</x:f>
        <x:v>0</x:v>
      </x:c>
      <x:c r="M136" s="432" t="n">
        <x:f>IF(OR(COUNT(J136:L136)&lt;&gt;3,J136&lt;0,J136&gt;10,K136&lt;0,L136&lt;0,COUNTIFS(Library!$B$3:$B$58,C136,Library!$D$3:$D$58,D136)&lt;&gt;1),"",MIN(10,J136*(1+K136*L136)))</x:f>
        <x:v>1</x:v>
      </x:c>
      <x:c r="N136" s="432" t="n">
        <x:f>IF(D136="seconds",IF(AND(ISNUMBER($B$177),$B$177&gt;0),G136/$B$177,""),IF(D136="reps/leg",G136*2,G136))</x:f>
        <x:v>15</x:v>
      </x:c>
      <x:c r="O136" s="432" t="n">
        <x:f>IF(COUNT(M136:N136)&lt;&gt;2,"",M136*N136)</x:f>
        <x:v>15</x:v>
      </x:c>
      <x:c r="P136" s="432"/>
      <x:c r="Q136" s="432"/>
      <x:c r="R136" s="400"/>
      <x:c r="S136" s="400"/>
      <x:c r="T136"/>
      <x:c r="U136"/>
      <x:c r="V136"/>
      <x:c r="W136"/>
      <x:c r="X136"/>
      <x:c r="Y136"/>
      <x:c r="Z136"/>
      <x:c r="AA136"/>
      <x:c r="AB136"/>
    </x:row>
    <x:row r="137" ht="38" hidden="0" customHeight="1">
      <x:c r="A137" s="402" t="n">
        <x:f>Daily!A40</x:f>
        <x:v>46385.5</x:v>
      </x:c>
      <x:c r="B137" s="391" t="str">
        <x:f>Daily!D40</x:f>
        <x:v>Handstand technique</x:v>
      </x:c>
      <x:c r="C137" s="400" t="str">
        <x:v>Wall handstand line drill</x:v>
      </x:c>
      <x:c r="D137" s="400" t="str">
        <x:v>seconds</x:v>
      </x:c>
      <x:c r="E137" s="400" t="n">
        <x:v>2</x:v>
      </x:c>
      <x:c r="F137" s="400" t="n">
        <x:v>15</x:v>
      </x:c>
      <x:c r="G137" s="400" t="n">
        <x:f>E137*F137</x:f>
        <x:v>30</x:v>
      </x:c>
      <x:c r="H137" s="400" t="str">
        <x:f>IF(AND(OR(Daily!T40=TRUE,Daily!AB40=TRUE),COUNT(Daily!U40,Daily!V40)&gt;0),SUM(Daily!U40,Daily!V40)*86400,"")</x:f>
      </x:c>
      <x:c r="I137" s="432" t="str">
        <x:f>IF(AND(ISNUMBER(H137),ISNUMBER(G137),G137&gt;0),100*H137/G137,"")</x:f>
      </x:c>
      <x:c r="J137" s="432" t="n">
        <x:f>IF(COUNTIF(Library!$B$3:$B$58,C137)&lt;&gt;1,"",INDEX(Library!$C$3:$C$58,MATCH(C137,Library!$B$3:$B$58,0)))</x:f>
        <x:v>1</x:v>
      </x:c>
      <x:c r="K137" s="433" t="n">
        <x:f>IF(COUNTIFS(Loads!$A$3:$A$1000,"&gt;="&amp;INT(A137),Loads!$A$3:$A$1000,"&lt;"&amp;(INT(A137)+1),Loads!$B$3:$B$1000,B137,Loads!$C$3:$C$1000,C137)=0,0,IF(OR(COUNTIFS(Loads!$A$3:$A$1000,"&gt;="&amp;INT(A137),Loads!$A$3:$A$1000,"&lt;"&amp;(INT(A137)+1),Loads!$B$3:$B$1000,B137,Loads!$C$3:$C$1000,C137)&lt;&gt;1,COUNTIFS(Loads!$A$3:$A$1000,"&gt;="&amp;INT(A137),Loads!$A$3:$A$1000,"&lt;"&amp;(INT(A137)+1),Loads!$B$3:$B$1000,B137,Loads!$C$3:$C$1000,C137,Loads!$E$3:$E$1000,"&lt;&gt;")&lt;&gt;1),"",SUMIFS(Loads!$E$3:$E$1000,Loads!$A$3:$A$1000,"&gt;="&amp;INT(A137),Loads!$A$3:$A$1000,"&lt;"&amp;(INT(A137)+1),Loads!$B$3:$B$1000,B137,Loads!$C$3:$C$1000,C137)))</x:f>
        <x:v>0</x:v>
      </x:c>
      <x:c r="L137" s="434" t="n">
        <x:f>IF(COUNTIF(Library!$B$3:$B$58,C137)&lt;&gt;1,"",IF(COUNTIFS(Library!$B$3:$B$58,C137,Library!$E$3:$E$58,"&lt;&gt;")=0,0,INDEX(Library!$E$3:$E$58,MATCH(C137,Library!$B$3:$B$58,0))))</x:f>
        <x:v>0</x:v>
      </x:c>
      <x:c r="M137" s="432" t="n">
        <x:f>IF(OR(COUNT(J137:L137)&lt;&gt;3,J137&lt;0,J137&gt;10,K137&lt;0,L137&lt;0,COUNTIFS(Library!$B$3:$B$58,C137,Library!$D$3:$D$58,D137)&lt;&gt;1),"",MIN(10,J137*(1+K137*L137)))</x:f>
        <x:v>1</x:v>
      </x:c>
      <x:c r="N137" s="432" t="n">
        <x:f>IF(D137="seconds",IF(AND(ISNUMBER($B$177),$B$177&gt;0),G137/$B$177,""),IF(D137="reps/leg",G137*2,G137))</x:f>
        <x:v>10</x:v>
      </x:c>
      <x:c r="O137" s="432" t="n">
        <x:f>IF(COUNT(M137:N137)&lt;&gt;2,"",M137*N137)</x:f>
        <x:v>10</x:v>
      </x:c>
      <x:c r="P137" s="432"/>
      <x:c r="Q137" s="432"/>
      <x:c r="R137" s="400"/>
      <x:c r="S137" s="400"/>
      <x:c r="T137"/>
      <x:c r="U137"/>
      <x:c r="V137"/>
      <x:c r="W137"/>
      <x:c r="X137"/>
      <x:c r="Y137"/>
      <x:c r="Z137"/>
      <x:c r="AA137"/>
      <x:c r="AB137"/>
    </x:row>
    <x:row r="138" ht="38" hidden="0" customHeight="1">
      <x:c r="A138" s="402" t="n">
        <x:f>Daily!A41</x:f>
        <x:v>46387.5</x:v>
      </x:c>
      <x:c r="B138" s="391" t="str">
        <x:f>Daily!D41</x:f>
        <x:v>Skill B + Cal-Intervals</x:v>
      </x:c>
      <x:c r="C138" s="400" t="str">
        <x:v>Wall HSPU clusters</x:v>
      </x:c>
      <x:c r="D138" s="400" t="str">
        <x:v>reps</x:v>
      </x:c>
      <x:c r="E138" s="400" t="n">
        <x:v>3</x:v>
      </x:c>
      <x:c r="F138" s="400" t="n">
        <x:v>2</x:v>
      </x:c>
      <x:c r="G138" s="400" t="n">
        <x:f>E138*F138</x:f>
        <x:v>6</x:v>
      </x:c>
      <x:c r="H138" s="400" t="str">
        <x:f>IF(AND(OR(Daily!N41=TRUE,Daily!AB41=TRUE),COUNT(Daily!O41,Daily!P41)&gt;0),SUM(Daily!O41,Daily!P41)*86400,"")</x:f>
      </x:c>
      <x:c r="I138" s="432" t="str">
        <x:f>IF(AND(ISNUMBER(H138),ISNUMBER(G138),G138&gt;0),100*H138/G138,"")</x:f>
      </x:c>
      <x:c r="J138" s="432" t="n">
        <x:f>IF(COUNTIF(Library!$B$3:$B$58,C138)&lt;&gt;1,"",INDEX(Library!$C$3:$C$58,MATCH(C138,Library!$B$3:$B$58,0)))</x:f>
        <x:v>8</x:v>
      </x:c>
      <x:c r="K138" s="433" t="n">
        <x:f>IF(COUNTIFS(Loads!$A$3:$A$1000,"&gt;="&amp;INT(A138),Loads!$A$3:$A$1000,"&lt;"&amp;(INT(A138)+1),Loads!$B$3:$B$1000,B138,Loads!$C$3:$C$1000,C138)=0,0,IF(OR(COUNTIFS(Loads!$A$3:$A$1000,"&gt;="&amp;INT(A138),Loads!$A$3:$A$1000,"&lt;"&amp;(INT(A138)+1),Loads!$B$3:$B$1000,B138,Loads!$C$3:$C$1000,C138)&lt;&gt;1,COUNTIFS(Loads!$A$3:$A$1000,"&gt;="&amp;INT(A138),Loads!$A$3:$A$1000,"&lt;"&amp;(INT(A138)+1),Loads!$B$3:$B$1000,B138,Loads!$C$3:$C$1000,C138,Loads!$E$3:$E$1000,"&lt;&gt;")&lt;&gt;1),"",SUMIFS(Loads!$E$3:$E$1000,Loads!$A$3:$A$1000,"&gt;="&amp;INT(A138),Loads!$A$3:$A$1000,"&lt;"&amp;(INT(A138)+1),Loads!$B$3:$B$1000,B138,Loads!$C$3:$C$1000,C138)))</x:f>
        <x:v>0</x:v>
      </x:c>
      <x:c r="L138" s="434" t="n">
        <x:f>IF(COUNTIF(Library!$B$3:$B$58,C138)&lt;&gt;1,"",IF(COUNTIFS(Library!$B$3:$B$58,C138,Library!$E$3:$E$58,"&lt;&gt;")=0,0,INDEX(Library!$E$3:$E$58,MATCH(C138,Library!$B$3:$B$58,0))))</x:f>
        <x:v>0</x:v>
      </x:c>
      <x:c r="M138" s="432" t="n">
        <x:f>IF(OR(COUNT(J138:L138)&lt;&gt;3,J138&lt;0,J138&gt;10,K138&lt;0,L138&lt;0,COUNTIFS(Library!$B$3:$B$58,C138,Library!$D$3:$D$58,D138)&lt;&gt;1),"",MIN(10,J138*(1+K138*L138)))</x:f>
        <x:v>8</x:v>
      </x:c>
      <x:c r="N138" s="432" t="n">
        <x:f>IF(D138="seconds",IF(AND(ISNUMBER($B$177),$B$177&gt;0),G138/$B$177,""),IF(D138="reps/leg",G138*2,G138))</x:f>
        <x:v>6</x:v>
      </x:c>
      <x:c r="O138" s="432" t="n">
        <x:f>IF(COUNT(M138:N138)&lt;&gt;2,"",M138*N138)</x:f>
        <x:v>48</x:v>
      </x:c>
      <x:c r="P138" s="432" t="n">
        <x:f>IF(COUNT(O138:O141)&lt;&gt;COUNT(N138:N141),"",IF(SUM(N138:N141)=0,0,ROUND(SUM(O138:O141)/SUM(N138:N141),1)))</x:f>
        <x:v>5</x:v>
      </x:c>
      <x:c r="Q138" s="432" t="str">
        <x:f>IF(COUNT(I138:I141)=0,"",MEDIAN(I138:I141))</x:f>
      </x:c>
      <x:c r="R138" s="400" t="n">
        <x:f>COUNT(I138:I141)</x:f>
        <x:v>0</x:v>
      </x:c>
      <x:c r="S138" s="400" t="n">
        <x:v>4</x:v>
      </x:c>
      <x:c r="T138"/>
      <x:c r="U138"/>
      <x:c r="V138"/>
      <x:c r="W138"/>
      <x:c r="X138"/>
      <x:c r="Y138"/>
      <x:c r="Z138"/>
      <x:c r="AA138"/>
      <x:c r="AB138"/>
    </x:row>
    <x:row r="139" ht="38" hidden="0" customHeight="1">
      <x:c r="A139" s="402" t="n">
        <x:f>Daily!A41</x:f>
        <x:v>46387.5</x:v>
      </x:c>
      <x:c r="B139" s="391" t="str">
        <x:f>Daily!D41</x:f>
        <x:v>Skill B + Cal-Intervals</x:v>
      </x:c>
      <x:c r="C139" s="400" t="str">
        <x:v>Easy wall handstand</x:v>
      </x:c>
      <x:c r="D139" s="400" t="str">
        <x:v>seconds</x:v>
      </x:c>
      <x:c r="E139" s="400" t="n">
        <x:v>2</x:v>
      </x:c>
      <x:c r="F139" s="400" t="n">
        <x:v>20</x:v>
      </x:c>
      <x:c r="G139" s="400" t="n">
        <x:f>E139*F139</x:f>
        <x:v>40</x:v>
      </x:c>
      <x:c r="H139" s="400" t="str">
        <x:f>IF(AND(OR(Daily!Z41=TRUE,Daily!AB41=TRUE),COUNT(Daily!AA41)&gt;0),SUM(Daily!AA41),"")</x:f>
      </x:c>
      <x:c r="I139" s="432" t="str">
        <x:f>IF(AND(ISNUMBER(H139),ISNUMBER(G139),G139&gt;0),100*H139/G139,"")</x:f>
      </x:c>
      <x:c r="J139" s="432" t="n">
        <x:f>IF(COUNTIF(Library!$B$3:$B$58,C139)&lt;&gt;1,"",INDEX(Library!$C$3:$C$58,MATCH(C139,Library!$B$3:$B$58,0)))</x:f>
        <x:v>1</x:v>
      </x:c>
      <x:c r="K139" s="433" t="n">
        <x:f>IF(COUNTIFS(Loads!$A$3:$A$1000,"&gt;="&amp;INT(A139),Loads!$A$3:$A$1000,"&lt;"&amp;(INT(A139)+1),Loads!$B$3:$B$1000,B139,Loads!$C$3:$C$1000,C139)=0,0,IF(OR(COUNTIFS(Loads!$A$3:$A$1000,"&gt;="&amp;INT(A139),Loads!$A$3:$A$1000,"&lt;"&amp;(INT(A139)+1),Loads!$B$3:$B$1000,B139,Loads!$C$3:$C$1000,C139)&lt;&gt;1,COUNTIFS(Loads!$A$3:$A$1000,"&gt;="&amp;INT(A139),Loads!$A$3:$A$1000,"&lt;"&amp;(INT(A139)+1),Loads!$B$3:$B$1000,B139,Loads!$C$3:$C$1000,C139,Loads!$E$3:$E$1000,"&lt;&gt;")&lt;&gt;1),"",SUMIFS(Loads!$E$3:$E$1000,Loads!$A$3:$A$1000,"&gt;="&amp;INT(A139),Loads!$A$3:$A$1000,"&lt;"&amp;(INT(A139)+1),Loads!$B$3:$B$1000,B139,Loads!$C$3:$C$1000,C139)))</x:f>
        <x:v>0</x:v>
      </x:c>
      <x:c r="L139" s="434" t="n">
        <x:f>IF(COUNTIF(Library!$B$3:$B$58,C139)&lt;&gt;1,"",IF(COUNTIFS(Library!$B$3:$B$58,C139,Library!$E$3:$E$58,"&lt;&gt;")=0,0,INDEX(Library!$E$3:$E$58,MATCH(C139,Library!$B$3:$B$58,0))))</x:f>
        <x:v>0</x:v>
      </x:c>
      <x:c r="M139" s="432" t="n">
        <x:f>IF(OR(COUNT(J139:L139)&lt;&gt;3,J139&lt;0,J139&gt;10,K139&lt;0,L139&lt;0,COUNTIFS(Library!$B$3:$B$58,C139,Library!$D$3:$D$58,D139)&lt;&gt;1),"",MIN(10,J139*(1+K139*L139)))</x:f>
        <x:v>1</x:v>
      </x:c>
      <x:c r="N139" s="432" t="n">
        <x:f>IF(D139="seconds",IF(AND(ISNUMBER($B$177),$B$177&gt;0),G139/$B$177,""),IF(D139="reps/leg",G139*2,G139))</x:f>
        <x:v>13.333333333333334</x:v>
      </x:c>
      <x:c r="O139" s="432" t="n">
        <x:f>IF(COUNT(M139:N139)&lt;&gt;2,"",M139*N139)</x:f>
        <x:v>13.333333333333334</x:v>
      </x:c>
      <x:c r="P139" s="432"/>
      <x:c r="Q139" s="432"/>
      <x:c r="R139" s="400"/>
      <x:c r="S139" s="400"/>
      <x:c r="T139"/>
      <x:c r="U139"/>
      <x:c r="V139"/>
      <x:c r="W139"/>
      <x:c r="X139"/>
      <x:c r="Y139"/>
      <x:c r="Z139"/>
      <x:c r="AA139"/>
      <x:c r="AB139"/>
    </x:row>
    <x:row r="140" ht="38" hidden="0" customHeight="1">
      <x:c r="A140" s="402" t="n">
        <x:f>Daily!A41</x:f>
        <x:v>46387.5</x:v>
      </x:c>
      <x:c r="B140" s="391" t="str">
        <x:f>Daily!D41</x:f>
        <x:v>Skill B + Cal-Intervals</x:v>
      </x:c>
      <x:c r="C140" s="400" t="str">
        <x:v>Pistol clusters</x:v>
      </x:c>
      <x:c r="D140" s="400" t="str">
        <x:v>reps/leg</x:v>
      </x:c>
      <x:c r="E140" s="400" t="n">
        <x:v>3</x:v>
      </x:c>
      <x:c r="F140" s="400" t="n">
        <x:v>2</x:v>
      </x:c>
      <x:c r="G140" s="400" t="n">
        <x:f>E140*F140</x:f>
        <x:v>6</x:v>
      </x:c>
      <x:c r="H140" s="400"/>
      <x:c r="I140" s="432"/>
      <x:c r="J140" s="432" t="n">
        <x:f>IF(COUNTIF(Library!$B$3:$B$58,C140)&lt;&gt;1,"",INDEX(Library!$C$3:$C$58,MATCH(C140,Library!$B$3:$B$58,0)))</x:f>
        <x:v>8</x:v>
      </x:c>
      <x:c r="K140" s="433" t="n">
        <x:f>IF(COUNTIFS(Loads!$A$3:$A$1000,"&gt;="&amp;INT(A140),Loads!$A$3:$A$1000,"&lt;"&amp;(INT(A140)+1),Loads!$B$3:$B$1000,B140,Loads!$C$3:$C$1000,C140)=0,0,IF(OR(COUNTIFS(Loads!$A$3:$A$1000,"&gt;="&amp;INT(A140),Loads!$A$3:$A$1000,"&lt;"&amp;(INT(A140)+1),Loads!$B$3:$B$1000,B140,Loads!$C$3:$C$1000,C140)&lt;&gt;1,COUNTIFS(Loads!$A$3:$A$1000,"&gt;="&amp;INT(A140),Loads!$A$3:$A$1000,"&lt;"&amp;(INT(A140)+1),Loads!$B$3:$B$1000,B140,Loads!$C$3:$C$1000,C140,Loads!$E$3:$E$1000,"&lt;&gt;")&lt;&gt;1),"",SUMIFS(Loads!$E$3:$E$1000,Loads!$A$3:$A$1000,"&gt;="&amp;INT(A140),Loads!$A$3:$A$1000,"&lt;"&amp;(INT(A140)+1),Loads!$B$3:$B$1000,B140,Loads!$C$3:$C$1000,C140)))</x:f>
        <x:v>0</x:v>
      </x:c>
      <x:c r="L140" s="434" t="n">
        <x:f>IF(COUNTIF(Library!$B$3:$B$58,C140)&lt;&gt;1,"",IF(COUNTIFS(Library!$B$3:$B$58,C140,Library!$E$3:$E$58,"&lt;&gt;")=0,0,INDEX(Library!$E$3:$E$58,MATCH(C140,Library!$B$3:$B$58,0))))</x:f>
        <x:v>0.03</x:v>
      </x:c>
      <x:c r="M140" s="432" t="n">
        <x:f>IF(OR(COUNT(J140:L140)&lt;&gt;3,J140&lt;0,J140&gt;10,K140&lt;0,L140&lt;0,COUNTIFS(Library!$B$3:$B$58,C140,Library!$D$3:$D$58,D140)&lt;&gt;1),"",MIN(10,J140*(1+K140*L140)))</x:f>
        <x:v>8</x:v>
      </x:c>
      <x:c r="N140" s="432" t="n">
        <x:f>IF(D140="seconds",IF(AND(ISNUMBER($B$177),$B$177&gt;0),G140/$B$177,""),IF(D140="reps/leg",G140*2,G140))</x:f>
        <x:v>12</x:v>
      </x:c>
      <x:c r="O140" s="432" t="n">
        <x:f>IF(COUNT(M140:N140)&lt;&gt;2,"",M140*N140)</x:f>
        <x:v>96</x:v>
      </x:c>
      <x:c r="P140" s="432"/>
      <x:c r="Q140" s="432"/>
      <x:c r="R140" s="400"/>
      <x:c r="S140" s="400"/>
      <x:c r="T140"/>
      <x:c r="U140"/>
      <x:c r="V140"/>
      <x:c r="W140"/>
      <x:c r="X140"/>
      <x:c r="Y140"/>
      <x:c r="Z140"/>
      <x:c r="AA140"/>
      <x:c r="AB140"/>
    </x:row>
    <x:row r="141" ht="38" hidden="0" customHeight="1">
      <x:c r="A141" s="402" t="n">
        <x:f>Daily!A41</x:f>
        <x:v>46387.5</x:v>
      </x:c>
      <x:c r="B141" s="391" t="str">
        <x:f>Daily!D41</x:f>
        <x:v>Skill B + Cal-Intervals</x:v>
      </x:c>
      <x:c r="C141" s="400" t="str">
        <x:v>Cal-Intervals</x:v>
      </x:c>
      <x:c r="D141" s="400" t="str">
        <x:v>rounds</x:v>
      </x:c>
      <x:c r="E141" s="400" t="n">
        <x:v>1</x:v>
      </x:c>
      <x:c r="F141" s="400" t="n">
        <x:v>5</x:v>
      </x:c>
      <x:c r="G141" s="400" t="n">
        <x:v>5</x:v>
      </x:c>
      <x:c r="H141" s="400" t="str">
        <x:f>IF(AND(OR(Daily!Z41=TRUE,Daily!AB41=TRUE),ISNUMBER(Daily!AA41)),Daily!AA41,"")</x:f>
      </x:c>
      <x:c r="I141" s="432" t="str">
        <x:f>IF(AND(ISNUMBER(H141),G141&gt;0),100*H141/G141,"")</x:f>
      </x:c>
      <x:c r="J141" s="432" t="n">
        <x:f>IF(OR(COUNT(Library!F67:F70)&lt;&gt;4,COUNT(Library!E67:E70)&lt;&gt;4,SUM(Library!E67:E70)=0),"",SUM(Library!F67:F70)/SUM(Library!E67:E70))</x:f>
        <x:v>5</x:v>
      </x:c>
      <x:c r="K141" s="433"/>
      <x:c r="L141" s="434"/>
      <x:c r="M141" s="432" t="n">
        <x:f>IF(ISNUMBER(J141),J141,"")</x:f>
        <x:v>5</x:v>
      </x:c>
      <x:c r="N141" s="432" t="n">
        <x:f>IF(COUNT(Library!E67:E70)&lt;&gt;4,"",G141*SUM(Library!E67:E70))</x:f>
        <x:v>200</x:v>
      </x:c>
      <x:c r="O141" s="432" t="n">
        <x:f>IF(COUNT(Library!F67:F70)&lt;&gt;4,"",G141*SUM(Library!F67:F70))</x:f>
        <x:v>1000</x:v>
      </x:c>
      <x:c r="P141" s="432"/>
      <x:c r="Q141" s="432"/>
      <x:c r="R141" s="400"/>
      <x:c r="S141" s="400"/>
      <x:c r="T141"/>
      <x:c r="U141"/>
      <x:c r="V141"/>
      <x:c r="W141"/>
      <x:c r="X141"/>
      <x:c r="Y141"/>
      <x:c r="Z141"/>
      <x:c r="AA141"/>
      <x:c r="AB141"/>
    </x:row>
    <x:row r="142" ht="38" hidden="0" customHeight="1">
      <x:c r="A142" s="402" t="n">
        <x:f>Daily!A42</x:f>
        <x:v>46389.5</x:v>
      </x:c>
      <x:c r="B142" s="391" t="str">
        <x:f>Daily!D42</x:f>
        <x:v>Skill micro-session</x:v>
      </x:c>
      <x:c r="C142" s="400" t="str">
        <x:v>Wrist/shoulder mobility</x:v>
      </x:c>
      <x:c r="D142" s="400" t="str">
        <x:v>seconds</x:v>
      </x:c>
      <x:c r="E142" s="400" t="n">
        <x:v>1</x:v>
      </x:c>
      <x:c r="F142" s="400" t="n">
        <x:v>120</x:v>
      </x:c>
      <x:c r="G142" s="400" t="n">
        <x:f>E142*F142</x:f>
        <x:v>120</x:v>
      </x:c>
      <x:c r="H142" s="400" t="str">
        <x:f>IF(AND(OR(Daily!H42=TRUE,Daily!AB42=TRUE),COUNT(Daily!I42)&gt;0),SUM(Daily!I42)*86400,"")</x:f>
      </x:c>
      <x:c r="I142" s="432" t="str">
        <x:f>IF(AND(ISNUMBER(H142),ISNUMBER(G142),G142&gt;0),100*H142/G142,"")</x:f>
      </x:c>
      <x:c r="J142" s="432" t="n">
        <x:f>IF(COUNTIF(Library!$B$3:$B$58,C142)&lt;&gt;1,"",INDEX(Library!$C$3:$C$58,MATCH(C142,Library!$B$3:$B$58,0)))</x:f>
        <x:v>1</x:v>
      </x:c>
      <x:c r="K142" s="433" t="n">
        <x:f>IF(COUNTIFS(Loads!$A$3:$A$1000,"&gt;="&amp;INT(A142),Loads!$A$3:$A$1000,"&lt;"&amp;(INT(A142)+1),Loads!$B$3:$B$1000,B142,Loads!$C$3:$C$1000,C142)=0,0,IF(OR(COUNTIFS(Loads!$A$3:$A$1000,"&gt;="&amp;INT(A142),Loads!$A$3:$A$1000,"&lt;"&amp;(INT(A142)+1),Loads!$B$3:$B$1000,B142,Loads!$C$3:$C$1000,C142)&lt;&gt;1,COUNTIFS(Loads!$A$3:$A$1000,"&gt;="&amp;INT(A142),Loads!$A$3:$A$1000,"&lt;"&amp;(INT(A142)+1),Loads!$B$3:$B$1000,B142,Loads!$C$3:$C$1000,C142,Loads!$E$3:$E$1000,"&lt;&gt;")&lt;&gt;1),"",SUMIFS(Loads!$E$3:$E$1000,Loads!$A$3:$A$1000,"&gt;="&amp;INT(A142),Loads!$A$3:$A$1000,"&lt;"&amp;(INT(A142)+1),Loads!$B$3:$B$1000,B142,Loads!$C$3:$C$1000,C142)))</x:f>
        <x:v>0</x:v>
      </x:c>
      <x:c r="L142" s="434" t="n">
        <x:f>IF(COUNTIF(Library!$B$3:$B$58,C142)&lt;&gt;1,"",IF(COUNTIFS(Library!$B$3:$B$58,C142,Library!$E$3:$E$58,"&lt;&gt;")=0,0,INDEX(Library!$E$3:$E$58,MATCH(C142,Library!$B$3:$B$58,0))))</x:f>
        <x:v>0</x:v>
      </x:c>
      <x:c r="M142" s="432" t="n">
        <x:f>IF(OR(COUNT(J142:L142)&lt;&gt;3,J142&lt;0,J142&gt;10,K142&lt;0,L142&lt;0,COUNTIFS(Library!$B$3:$B$58,C142,Library!$D$3:$D$58,D142)&lt;&gt;1),"",MIN(10,J142*(1+K142*L142)))</x:f>
        <x:v>1</x:v>
      </x:c>
      <x:c r="N142" s="432" t="n">
        <x:f>IF(D142="seconds",IF(AND(ISNUMBER($B$177),$B$177&gt;0),G142/$B$177,""),IF(D142="reps/leg",G142*2,G142))</x:f>
        <x:v>40</x:v>
      </x:c>
      <x:c r="O142" s="432" t="n">
        <x:f>IF(COUNT(M142:N142)&lt;&gt;2,"",M142*N142)</x:f>
        <x:v>40</x:v>
      </x:c>
      <x:c r="P142" s="432" t="n">
        <x:f>IF(COUNT(O142:O144)&lt;&gt;COUNT(N142:N144),"",IF(SUM(N142:N144)=0,0,ROUND(SUM(O142:O144)/SUM(N142:N144),1)))</x:f>
        <x:v>1</x:v>
      </x:c>
      <x:c r="Q142" s="432" t="str">
        <x:f>IF(COUNT(I142:I144)=0,"",MEDIAN(I142:I144))</x:f>
      </x:c>
      <x:c r="R142" s="400" t="n">
        <x:f>COUNT(I142:I144)</x:f>
        <x:v>0</x:v>
      </x:c>
      <x:c r="S142" s="400" t="n">
        <x:v>3</x:v>
      </x:c>
      <x:c r="T142"/>
      <x:c r="U142"/>
      <x:c r="V142"/>
      <x:c r="W142"/>
      <x:c r="X142"/>
      <x:c r="Y142"/>
      <x:c r="Z142"/>
      <x:c r="AA142"/>
      <x:c r="AB142"/>
    </x:row>
    <x:row r="143" ht="38" hidden="0" customHeight="1">
      <x:c r="A143" s="402" t="n">
        <x:f>Daily!A42</x:f>
        <x:v>46389.5</x:v>
      </x:c>
      <x:c r="B143" s="391" t="str">
        <x:f>Daily!D42</x:f>
        <x:v>Skill micro-session</x:v>
      </x:c>
      <x:c r="C143" s="400" t="str">
        <x:v>Easy chest-to-wall hold</x:v>
      </x:c>
      <x:c r="D143" s="400" t="str">
        <x:v>seconds</x:v>
      </x:c>
      <x:c r="E143" s="400" t="n">
        <x:v>3</x:v>
      </x:c>
      <x:c r="F143" s="400" t="n">
        <x:v>15</x:v>
      </x:c>
      <x:c r="G143" s="400" t="n">
        <x:f>E143*F143</x:f>
        <x:v>45</x:v>
      </x:c>
      <x:c r="H143" s="400" t="str">
        <x:f>IF(AND(OR(Daily!N42=TRUE,Daily!AB42=TRUE),COUNT(Daily!O42,Daily!P42,Daily!Q42)&gt;0),SUM(Daily!O42,Daily!P42,Daily!Q42)*86400,"")</x:f>
      </x:c>
      <x:c r="I143" s="432" t="str">
        <x:f>IF(AND(ISNUMBER(H143),ISNUMBER(G143),G143&gt;0),100*H143/G143,"")</x:f>
      </x:c>
      <x:c r="J143" s="432" t="n">
        <x:f>IF(COUNTIF(Library!$B$3:$B$58,C143)&lt;&gt;1,"",INDEX(Library!$C$3:$C$58,MATCH(C143,Library!$B$3:$B$58,0)))</x:f>
        <x:v>1</x:v>
      </x:c>
      <x:c r="K143" s="433" t="n">
        <x:f>IF(COUNTIFS(Loads!$A$3:$A$1000,"&gt;="&amp;INT(A143),Loads!$A$3:$A$1000,"&lt;"&amp;(INT(A143)+1),Loads!$B$3:$B$1000,B143,Loads!$C$3:$C$1000,C143)=0,0,IF(OR(COUNTIFS(Loads!$A$3:$A$1000,"&gt;="&amp;INT(A143),Loads!$A$3:$A$1000,"&lt;"&amp;(INT(A143)+1),Loads!$B$3:$B$1000,B143,Loads!$C$3:$C$1000,C143)&lt;&gt;1,COUNTIFS(Loads!$A$3:$A$1000,"&gt;="&amp;INT(A143),Loads!$A$3:$A$1000,"&lt;"&amp;(INT(A143)+1),Loads!$B$3:$B$1000,B143,Loads!$C$3:$C$1000,C143,Loads!$E$3:$E$1000,"&lt;&gt;")&lt;&gt;1),"",SUMIFS(Loads!$E$3:$E$1000,Loads!$A$3:$A$1000,"&gt;="&amp;INT(A143),Loads!$A$3:$A$1000,"&lt;"&amp;(INT(A143)+1),Loads!$B$3:$B$1000,B143,Loads!$C$3:$C$1000,C143)))</x:f>
        <x:v>0</x:v>
      </x:c>
      <x:c r="L143" s="434" t="n">
        <x:f>IF(COUNTIF(Library!$B$3:$B$58,C143)&lt;&gt;1,"",IF(COUNTIFS(Library!$B$3:$B$58,C143,Library!$E$3:$E$58,"&lt;&gt;")=0,0,INDEX(Library!$E$3:$E$58,MATCH(C143,Library!$B$3:$B$58,0))))</x:f>
        <x:v>0</x:v>
      </x:c>
      <x:c r="M143" s="432" t="n">
        <x:f>IF(OR(COUNT(J143:L143)&lt;&gt;3,J143&lt;0,J143&gt;10,K143&lt;0,L143&lt;0,COUNTIFS(Library!$B$3:$B$58,C143,Library!$D$3:$D$58,D143)&lt;&gt;1),"",MIN(10,J143*(1+K143*L143)))</x:f>
        <x:v>1</x:v>
      </x:c>
      <x:c r="N143" s="432" t="n">
        <x:f>IF(D143="seconds",IF(AND(ISNUMBER($B$177),$B$177&gt;0),G143/$B$177,""),IF(D143="reps/leg",G143*2,G143))</x:f>
        <x:v>15</x:v>
      </x:c>
      <x:c r="O143" s="432" t="n">
        <x:f>IF(COUNT(M143:N143)&lt;&gt;2,"",M143*N143)</x:f>
        <x:v>15</x:v>
      </x:c>
      <x:c r="P143" s="432"/>
      <x:c r="Q143" s="432"/>
      <x:c r="R143" s="400"/>
      <x:c r="S143" s="400"/>
      <x:c r="T143"/>
      <x:c r="U143"/>
      <x:c r="V143"/>
      <x:c r="W143"/>
      <x:c r="X143"/>
      <x:c r="Y143"/>
      <x:c r="Z143"/>
      <x:c r="AA143"/>
      <x:c r="AB143"/>
    </x:row>
    <x:row r="144" ht="38" hidden="0" customHeight="1">
      <x:c r="A144" s="402" t="n">
        <x:f>Daily!A42</x:f>
        <x:v>46389.5</x:v>
      </x:c>
      <x:c r="B144" s="391" t="str">
        <x:f>Daily!D42</x:f>
        <x:v>Skill micro-session</x:v>
      </x:c>
      <x:c r="C144" s="400" t="str">
        <x:v>Wall handstand line drill</x:v>
      </x:c>
      <x:c r="D144" s="400" t="str">
        <x:v>seconds</x:v>
      </x:c>
      <x:c r="E144" s="400" t="n">
        <x:v>3</x:v>
      </x:c>
      <x:c r="F144" s="400" t="n">
        <x:v>15</x:v>
      </x:c>
      <x:c r="G144" s="400" t="n">
        <x:f>E144*F144</x:f>
        <x:v>45</x:v>
      </x:c>
      <x:c r="H144" s="400" t="str">
        <x:f>IF(AND(OR(Daily!T42=TRUE,Daily!AB42=TRUE),COUNT(Daily!U42,Daily!V42,Daily!W42)&gt;0),SUM(Daily!U42,Daily!V42,Daily!W42)*86400,"")</x:f>
      </x:c>
      <x:c r="I144" s="432" t="str">
        <x:f>IF(AND(ISNUMBER(H144),ISNUMBER(G144),G144&gt;0),100*H144/G144,"")</x:f>
      </x:c>
      <x:c r="J144" s="432" t="n">
        <x:f>IF(COUNTIF(Library!$B$3:$B$58,C144)&lt;&gt;1,"",INDEX(Library!$C$3:$C$58,MATCH(C144,Library!$B$3:$B$58,0)))</x:f>
        <x:v>1</x:v>
      </x:c>
      <x:c r="K144" s="433" t="n">
        <x:f>IF(COUNTIFS(Loads!$A$3:$A$1000,"&gt;="&amp;INT(A144),Loads!$A$3:$A$1000,"&lt;"&amp;(INT(A144)+1),Loads!$B$3:$B$1000,B144,Loads!$C$3:$C$1000,C144)=0,0,IF(OR(COUNTIFS(Loads!$A$3:$A$1000,"&gt;="&amp;INT(A144),Loads!$A$3:$A$1000,"&lt;"&amp;(INT(A144)+1),Loads!$B$3:$B$1000,B144,Loads!$C$3:$C$1000,C144)&lt;&gt;1,COUNTIFS(Loads!$A$3:$A$1000,"&gt;="&amp;INT(A144),Loads!$A$3:$A$1000,"&lt;"&amp;(INT(A144)+1),Loads!$B$3:$B$1000,B144,Loads!$C$3:$C$1000,C144,Loads!$E$3:$E$1000,"&lt;&gt;")&lt;&gt;1),"",SUMIFS(Loads!$E$3:$E$1000,Loads!$A$3:$A$1000,"&gt;="&amp;INT(A144),Loads!$A$3:$A$1000,"&lt;"&amp;(INT(A144)+1),Loads!$B$3:$B$1000,B144,Loads!$C$3:$C$1000,C144)))</x:f>
        <x:v>0</x:v>
      </x:c>
      <x:c r="L144" s="434" t="n">
        <x:f>IF(COUNTIF(Library!$B$3:$B$58,C144)&lt;&gt;1,"",IF(COUNTIFS(Library!$B$3:$B$58,C144,Library!$E$3:$E$58,"&lt;&gt;")=0,0,INDEX(Library!$E$3:$E$58,MATCH(C144,Library!$B$3:$B$58,0))))</x:f>
        <x:v>0</x:v>
      </x:c>
      <x:c r="M144" s="432" t="n">
        <x:f>IF(OR(COUNT(J144:L144)&lt;&gt;3,J144&lt;0,J144&gt;10,K144&lt;0,L144&lt;0,COUNTIFS(Library!$B$3:$B$58,C144,Library!$D$3:$D$58,D144)&lt;&gt;1),"",MIN(10,J144*(1+K144*L144)))</x:f>
        <x:v>1</x:v>
      </x:c>
      <x:c r="N144" s="432" t="n">
        <x:f>IF(D144="seconds",IF(AND(ISNUMBER($B$177),$B$177&gt;0),G144/$B$177,""),IF(D144="reps/leg",G144*2,G144))</x:f>
        <x:v>15</x:v>
      </x:c>
      <x:c r="O144" s="432" t="n">
        <x:f>IF(COUNT(M144:N144)&lt;&gt;2,"",M144*N144)</x:f>
        <x:v>15</x:v>
      </x:c>
      <x:c r="P144" s="432"/>
      <x:c r="Q144" s="432"/>
      <x:c r="R144" s="400"/>
      <x:c r="S144" s="400"/>
      <x:c r="T144"/>
      <x:c r="U144"/>
      <x:c r="V144"/>
      <x:c r="W144"/>
      <x:c r="X144"/>
      <x:c r="Y144"/>
      <x:c r="Z144"/>
      <x:c r="AA144"/>
      <x:c r="AB144"/>
    </x:row>
    <x:row r="145" ht="38" hidden="0" customHeight="1">
      <x:c r="A145" s="402" t="n">
        <x:f>Daily!A43</x:f>
        <x:v>46391.5</x:v>
      </x:c>
      <x:c r="B145" s="391" t="str">
        <x:f>Daily!D43</x:f>
        <x:v>Skill A + Cal-Intervals</x:v>
      </x:c>
      <x:c r="C145" s="400" t="str">
        <x:v>Quality muscle-up attempts</x:v>
      </x:c>
      <x:c r="D145" s="400" t="str">
        <x:v>reps</x:v>
      </x:c>
      <x:c r="E145" s="400" t="n">
        <x:v>3</x:v>
      </x:c>
      <x:c r="F145" s="400" t="n">
        <x:v>1</x:v>
      </x:c>
      <x:c r="G145" s="400" t="n">
        <x:f>E145*F145</x:f>
        <x:v>3</x:v>
      </x:c>
      <x:c r="H145" s="400" t="str">
        <x:f>IF(AND(OR(Daily!H43=TRUE,Daily!AB43=TRUE),COUNT(Daily!I43)&gt;0),SUM(Daily!I43),"")</x:f>
      </x:c>
      <x:c r="I145" s="432" t="str">
        <x:f>IF(AND(ISNUMBER(H145),ISNUMBER(G145),G145&gt;0),100*H145/G145,"")</x:f>
      </x:c>
      <x:c r="J145" s="432" t="n">
        <x:f>IF(COUNTIF(Library!$B$3:$B$58,C145)&lt;&gt;1,"",INDEX(Library!$C$3:$C$58,MATCH(C145,Library!$B$3:$B$58,0)))</x:f>
        <x:v>8</x:v>
      </x:c>
      <x:c r="K145" s="433" t="n">
        <x:f>IF(COUNTIFS(Loads!$A$3:$A$1000,"&gt;="&amp;INT(A145),Loads!$A$3:$A$1000,"&lt;"&amp;(INT(A145)+1),Loads!$B$3:$B$1000,B145,Loads!$C$3:$C$1000,C145)=0,0,IF(OR(COUNTIFS(Loads!$A$3:$A$1000,"&gt;="&amp;INT(A145),Loads!$A$3:$A$1000,"&lt;"&amp;(INT(A145)+1),Loads!$B$3:$B$1000,B145,Loads!$C$3:$C$1000,C145)&lt;&gt;1,COUNTIFS(Loads!$A$3:$A$1000,"&gt;="&amp;INT(A145),Loads!$A$3:$A$1000,"&lt;"&amp;(INT(A145)+1),Loads!$B$3:$B$1000,B145,Loads!$C$3:$C$1000,C145,Loads!$E$3:$E$1000,"&lt;&gt;")&lt;&gt;1),"",SUMIFS(Loads!$E$3:$E$1000,Loads!$A$3:$A$1000,"&gt;="&amp;INT(A145),Loads!$A$3:$A$1000,"&lt;"&amp;(INT(A145)+1),Loads!$B$3:$B$1000,B145,Loads!$C$3:$C$1000,C145)))</x:f>
        <x:v>0</x:v>
      </x:c>
      <x:c r="L145" s="434" t="n">
        <x:f>IF(COUNTIF(Library!$B$3:$B$58,C145)&lt;&gt;1,"",IF(COUNTIFS(Library!$B$3:$B$58,C145,Library!$E$3:$E$58,"&lt;&gt;")=0,0,INDEX(Library!$E$3:$E$58,MATCH(C145,Library!$B$3:$B$58,0))))</x:f>
        <x:v>0.04</x:v>
      </x:c>
      <x:c r="M145" s="432" t="n">
        <x:f>IF(OR(COUNT(J145:L145)&lt;&gt;3,J145&lt;0,J145&gt;10,K145&lt;0,L145&lt;0,COUNTIFS(Library!$B$3:$B$58,C145,Library!$D$3:$D$58,D145)&lt;&gt;1),"",MIN(10,J145*(1+K145*L145)))</x:f>
        <x:v>8</x:v>
      </x:c>
      <x:c r="N145" s="432" t="n">
        <x:f>IF(D145="seconds",IF(AND(ISNUMBER($B$177),$B$177&gt;0),G145/$B$177,""),IF(D145="reps/leg",G145*2,G145))</x:f>
        <x:v>3</x:v>
      </x:c>
      <x:c r="O145" s="432" t="n">
        <x:f>IF(COUNT(M145:N145)&lt;&gt;2,"",M145*N145)</x:f>
        <x:v>24</x:v>
      </x:c>
      <x:c r="P145" s="432" t="n">
        <x:f>IF(COUNT(O145:O148)&lt;&gt;COUNT(N145:N148),"",IF(SUM(N145:N148)=0,0,ROUND(SUM(O145:O148)/SUM(N145:N148),1)))</x:f>
        <x:v>5.2</x:v>
      </x:c>
      <x:c r="Q145" s="432" t="str">
        <x:f>IF(COUNT(I145:I148)=0,"",MEDIAN(I145:I148))</x:f>
      </x:c>
      <x:c r="R145" s="400" t="n">
        <x:f>COUNT(I145:I148)</x:f>
        <x:v>0</x:v>
      </x:c>
      <x:c r="S145" s="400" t="n">
        <x:v>4</x:v>
      </x:c>
      <x:c r="T145"/>
      <x:c r="U145"/>
      <x:c r="V145"/>
      <x:c r="W145"/>
      <x:c r="X145"/>
      <x:c r="Y145"/>
      <x:c r="Z145"/>
      <x:c r="AA145"/>
      <x:c r="AB145"/>
    </x:row>
    <x:row r="146" ht="38" hidden="0" customHeight="1">
      <x:c r="A146" s="402" t="n">
        <x:f>Daily!A43</x:f>
        <x:v>46391.5</x:v>
      </x:c>
      <x:c r="B146" s="391" t="str">
        <x:f>Daily!D43</x:f>
        <x:v>Skill A + Cal-Intervals</x:v>
      </x:c>
      <x:c r="C146" s="400" t="str">
        <x:v>Crisp high pull</x:v>
      </x:c>
      <x:c r="D146" s="400" t="str">
        <x:v>reps</x:v>
      </x:c>
      <x:c r="E146" s="400" t="n">
        <x:v>3</x:v>
      </x:c>
      <x:c r="F146" s="400" t="n">
        <x:v>2</x:v>
      </x:c>
      <x:c r="G146" s="400" t="n">
        <x:f>E146*F146</x:f>
        <x:v>6</x:v>
      </x:c>
      <x:c r="H146" s="400" t="str">
        <x:f>IF(AND(OR(Daily!N43=TRUE,Daily!AB43=TRUE),COUNT(Daily!O43,Daily!P43,Daily!Q43)&gt;0),SUM(Daily!O43,Daily!P43,Daily!Q43),"")</x:f>
      </x:c>
      <x:c r="I146" s="432" t="str">
        <x:f>IF(AND(ISNUMBER(H146),ISNUMBER(G146),G146&gt;0),100*H146/G146,"")</x:f>
      </x:c>
      <x:c r="J146" s="432" t="n">
        <x:f>IF(COUNTIF(Library!$B$3:$B$58,C146)&lt;&gt;1,"",INDEX(Library!$C$3:$C$58,MATCH(C146,Library!$B$3:$B$58,0)))</x:f>
        <x:v>4</x:v>
      </x:c>
      <x:c r="K146" s="433" t="n">
        <x:f>IF(COUNTIFS(Loads!$A$3:$A$1000,"&gt;="&amp;INT(A146),Loads!$A$3:$A$1000,"&lt;"&amp;(INT(A146)+1),Loads!$B$3:$B$1000,B146,Loads!$C$3:$C$1000,C146)=0,0,IF(OR(COUNTIFS(Loads!$A$3:$A$1000,"&gt;="&amp;INT(A146),Loads!$A$3:$A$1000,"&lt;"&amp;(INT(A146)+1),Loads!$B$3:$B$1000,B146,Loads!$C$3:$C$1000,C146)&lt;&gt;1,COUNTIFS(Loads!$A$3:$A$1000,"&gt;="&amp;INT(A146),Loads!$A$3:$A$1000,"&lt;"&amp;(INT(A146)+1),Loads!$B$3:$B$1000,B146,Loads!$C$3:$C$1000,C146,Loads!$E$3:$E$1000,"&lt;&gt;")&lt;&gt;1),"",SUMIFS(Loads!$E$3:$E$1000,Loads!$A$3:$A$1000,"&gt;="&amp;INT(A146),Loads!$A$3:$A$1000,"&lt;"&amp;(INT(A146)+1),Loads!$B$3:$B$1000,B146,Loads!$C$3:$C$1000,C146)))</x:f>
        <x:v>0</x:v>
      </x:c>
      <x:c r="L146" s="434" t="n">
        <x:f>IF(COUNTIF(Library!$B$3:$B$58,C146)&lt;&gt;1,"",IF(COUNTIFS(Library!$B$3:$B$58,C146,Library!$E$3:$E$58,"&lt;&gt;")=0,0,INDEX(Library!$E$3:$E$58,MATCH(C146,Library!$B$3:$B$58,0))))</x:f>
        <x:v>0.04</x:v>
      </x:c>
      <x:c r="M146" s="432" t="n">
        <x:f>IF(OR(COUNT(J146:L146)&lt;&gt;3,J146&lt;0,J146&gt;10,K146&lt;0,L146&lt;0,COUNTIFS(Library!$B$3:$B$58,C146,Library!$D$3:$D$58,D146)&lt;&gt;1),"",MIN(10,J146*(1+K146*L146)))</x:f>
        <x:v>4</x:v>
      </x:c>
      <x:c r="N146" s="432" t="n">
        <x:f>IF(D146="seconds",IF(AND(ISNUMBER($B$177),$B$177&gt;0),G146/$B$177,""),IF(D146="reps/leg",G146*2,G146))</x:f>
        <x:v>6</x:v>
      </x:c>
      <x:c r="O146" s="432" t="n">
        <x:f>IF(COUNT(M146:N146)&lt;&gt;2,"",M146*N146)</x:f>
        <x:v>24</x:v>
      </x:c>
      <x:c r="P146" s="432"/>
      <x:c r="Q146" s="432"/>
      <x:c r="R146" s="400"/>
      <x:c r="S146" s="400"/>
      <x:c r="T146"/>
      <x:c r="U146"/>
      <x:c r="V146"/>
      <x:c r="W146"/>
      <x:c r="X146"/>
      <x:c r="Y146"/>
      <x:c r="Z146"/>
      <x:c r="AA146"/>
      <x:c r="AB146"/>
    </x:row>
    <x:row r="147" ht="38" hidden="0" customHeight="1">
      <x:c r="A147" s="402" t="n">
        <x:f>Daily!A43</x:f>
        <x:v>46391.5</x:v>
      </x:c>
      <x:c r="B147" s="391" t="str">
        <x:f>Daily!D43</x:f>
        <x:v>Skill A + Cal-Intervals</x:v>
      </x:c>
      <x:c r="C147" s="400" t="str">
        <x:v>Clean pistol</x:v>
      </x:c>
      <x:c r="D147" s="400" t="str">
        <x:v>reps/leg</x:v>
      </x:c>
      <x:c r="E147" s="400" t="n">
        <x:v>3</x:v>
      </x:c>
      <x:c r="F147" s="400" t="n">
        <x:v>2</x:v>
      </x:c>
      <x:c r="G147" s="400" t="n">
        <x:f>E147*F147</x:f>
        <x:v>6</x:v>
      </x:c>
      <x:c r="H147" s="400" t="str">
        <x:f>IF(AND(OR(Daily!T43=TRUE,Daily!AB43=TRUE),COUNT(Daily!U43,Daily!V43,Daily!W43)&gt;0),SUM(Daily!U43,Daily!V43,Daily!W43),"")</x:f>
      </x:c>
      <x:c r="I147" s="432" t="str">
        <x:f>IF(AND(ISNUMBER(H147),ISNUMBER(G147),G147&gt;0),100*H147/G147,"")</x:f>
      </x:c>
      <x:c r="J147" s="432" t="n">
        <x:f>IF(COUNTIF(Library!$B$3:$B$58,C147)&lt;&gt;1,"",INDEX(Library!$C$3:$C$58,MATCH(C147,Library!$B$3:$B$58,0)))</x:f>
        <x:v>8</x:v>
      </x:c>
      <x:c r="K147" s="433" t="n">
        <x:f>IF(COUNTIFS(Loads!$A$3:$A$1000,"&gt;="&amp;INT(A147),Loads!$A$3:$A$1000,"&lt;"&amp;(INT(A147)+1),Loads!$B$3:$B$1000,B147,Loads!$C$3:$C$1000,C147)=0,0,IF(OR(COUNTIFS(Loads!$A$3:$A$1000,"&gt;="&amp;INT(A147),Loads!$A$3:$A$1000,"&lt;"&amp;(INT(A147)+1),Loads!$B$3:$B$1000,B147,Loads!$C$3:$C$1000,C147)&lt;&gt;1,COUNTIFS(Loads!$A$3:$A$1000,"&gt;="&amp;INT(A147),Loads!$A$3:$A$1000,"&lt;"&amp;(INT(A147)+1),Loads!$B$3:$B$1000,B147,Loads!$C$3:$C$1000,C147,Loads!$E$3:$E$1000,"&lt;&gt;")&lt;&gt;1),"",SUMIFS(Loads!$E$3:$E$1000,Loads!$A$3:$A$1000,"&gt;="&amp;INT(A147),Loads!$A$3:$A$1000,"&lt;"&amp;(INT(A147)+1),Loads!$B$3:$B$1000,B147,Loads!$C$3:$C$1000,C147)))</x:f>
        <x:v>0</x:v>
      </x:c>
      <x:c r="L147" s="434" t="n">
        <x:f>IF(COUNTIF(Library!$B$3:$B$58,C147)&lt;&gt;1,"",IF(COUNTIFS(Library!$B$3:$B$58,C147,Library!$E$3:$E$58,"&lt;&gt;")=0,0,INDEX(Library!$E$3:$E$58,MATCH(C147,Library!$B$3:$B$58,0))))</x:f>
        <x:v>0.03</x:v>
      </x:c>
      <x:c r="M147" s="432" t="n">
        <x:f>IF(OR(COUNT(J147:L147)&lt;&gt;3,J147&lt;0,J147&gt;10,K147&lt;0,L147&lt;0,COUNTIFS(Library!$B$3:$B$58,C147,Library!$D$3:$D$58,D147)&lt;&gt;1),"",MIN(10,J147*(1+K147*L147)))</x:f>
        <x:v>8</x:v>
      </x:c>
      <x:c r="N147" s="432" t="n">
        <x:f>IF(D147="seconds",IF(AND(ISNUMBER($B$177),$B$177&gt;0),G147/$B$177,""),IF(D147="reps/leg",G147*2,G147))</x:f>
        <x:v>12</x:v>
      </x:c>
      <x:c r="O147" s="432" t="n">
        <x:f>IF(COUNT(M147:N147)&lt;&gt;2,"",M147*N147)</x:f>
        <x:v>96</x:v>
      </x:c>
      <x:c r="P147" s="432"/>
      <x:c r="Q147" s="432"/>
      <x:c r="R147" s="400"/>
      <x:c r="S147" s="400"/>
      <x:c r="T147"/>
      <x:c r="U147"/>
      <x:c r="V147"/>
      <x:c r="W147"/>
      <x:c r="X147"/>
      <x:c r="Y147"/>
      <x:c r="Z147"/>
      <x:c r="AA147"/>
      <x:c r="AB147"/>
    </x:row>
    <x:row r="148" ht="38" hidden="0" customHeight="1">
      <x:c r="A148" s="402" t="n">
        <x:f>Daily!A43</x:f>
        <x:v>46391.5</x:v>
      </x:c>
      <x:c r="B148" s="391" t="str">
        <x:f>Daily!D43</x:f>
        <x:v>Skill A + Cal-Intervals</x:v>
      </x:c>
      <x:c r="C148" s="400" t="str">
        <x:v>Cal-Intervals</x:v>
      </x:c>
      <x:c r="D148" s="400" t="str">
        <x:v>rounds</x:v>
      </x:c>
      <x:c r="E148" s="400" t="n">
        <x:v>1</x:v>
      </x:c>
      <x:c r="F148" s="400" t="n">
        <x:v>5</x:v>
      </x:c>
      <x:c r="G148" s="400" t="n">
        <x:v>5</x:v>
      </x:c>
      <x:c r="H148" s="400" t="str">
        <x:f>IF(AND(OR(Daily!Z43=TRUE,Daily!AB43=TRUE),ISNUMBER(Daily!AA43)),Daily!AA43,"")</x:f>
      </x:c>
      <x:c r="I148" s="432" t="str">
        <x:f>IF(AND(ISNUMBER(H148),G148&gt;0),100*H148/G148,"")</x:f>
      </x:c>
      <x:c r="J148" s="432" t="n">
        <x:f>IF(OR(COUNT(Library!F67:F70)&lt;&gt;4,COUNT(Library!E67:E70)&lt;&gt;4,SUM(Library!E67:E70)=0),"",SUM(Library!F67:F70)/SUM(Library!E67:E70))</x:f>
        <x:v>5</x:v>
      </x:c>
      <x:c r="K148" s="433"/>
      <x:c r="L148" s="434"/>
      <x:c r="M148" s="432" t="n">
        <x:f>IF(ISNUMBER(J148),J148,"")</x:f>
        <x:v>5</x:v>
      </x:c>
      <x:c r="N148" s="432" t="n">
        <x:f>IF(COUNT(Library!E67:E70)&lt;&gt;4,"",G148*SUM(Library!E67:E70))</x:f>
        <x:v>200</x:v>
      </x:c>
      <x:c r="O148" s="432" t="n">
        <x:f>IF(COUNT(Library!F67:F70)&lt;&gt;4,"",G148*SUM(Library!F67:F70))</x:f>
        <x:v>1000</x:v>
      </x:c>
      <x:c r="P148" s="432"/>
      <x:c r="Q148" s="432"/>
      <x:c r="R148" s="400"/>
      <x:c r="S148" s="400"/>
      <x:c r="T148"/>
      <x:c r="U148"/>
      <x:c r="V148"/>
      <x:c r="W148"/>
      <x:c r="X148"/>
      <x:c r="Y148"/>
      <x:c r="Z148"/>
      <x:c r="AA148"/>
      <x:c r="AB148"/>
    </x:row>
    <x:row r="149" ht="38" hidden="0" customHeight="1">
      <x:c r="A149" s="402" t="n">
        <x:f>Daily!A44</x:f>
        <x:v>46392.5</x:v>
      </x:c>
      <x:c r="B149" s="391" t="str">
        <x:f>Daily!D44</x:f>
        <x:v>Handstand technique</x:v>
      </x:c>
      <x:c r="C149" s="400" t="str">
        <x:v>Wrist/shoulder mobility</x:v>
      </x:c>
      <x:c r="D149" s="400" t="str">
        <x:v>seconds</x:v>
      </x:c>
      <x:c r="E149" s="400" t="n">
        <x:v>1</x:v>
      </x:c>
      <x:c r="F149" s="400" t="n">
        <x:v>120</x:v>
      </x:c>
      <x:c r="G149" s="400" t="n">
        <x:f>E149*F149</x:f>
        <x:v>120</x:v>
      </x:c>
      <x:c r="H149" s="400" t="str">
        <x:f>IF(AND(OR(Daily!H44=TRUE,Daily!AB44=TRUE),COUNT(Daily!I44)&gt;0),SUM(Daily!I44)*86400,"")</x:f>
      </x:c>
      <x:c r="I149" s="432" t="str">
        <x:f>IF(AND(ISNUMBER(H149),ISNUMBER(G149),G149&gt;0),100*H149/G149,"")</x:f>
      </x:c>
      <x:c r="J149" s="432" t="n">
        <x:f>IF(COUNTIF(Library!$B$3:$B$58,C149)&lt;&gt;1,"",INDEX(Library!$C$3:$C$58,MATCH(C149,Library!$B$3:$B$58,0)))</x:f>
        <x:v>1</x:v>
      </x:c>
      <x:c r="K149" s="433" t="n">
        <x:f>IF(COUNTIFS(Loads!$A$3:$A$1000,"&gt;="&amp;INT(A149),Loads!$A$3:$A$1000,"&lt;"&amp;(INT(A149)+1),Loads!$B$3:$B$1000,B149,Loads!$C$3:$C$1000,C149)=0,0,IF(OR(COUNTIFS(Loads!$A$3:$A$1000,"&gt;="&amp;INT(A149),Loads!$A$3:$A$1000,"&lt;"&amp;(INT(A149)+1),Loads!$B$3:$B$1000,B149,Loads!$C$3:$C$1000,C149)&lt;&gt;1,COUNTIFS(Loads!$A$3:$A$1000,"&gt;="&amp;INT(A149),Loads!$A$3:$A$1000,"&lt;"&amp;(INT(A149)+1),Loads!$B$3:$B$1000,B149,Loads!$C$3:$C$1000,C149,Loads!$E$3:$E$1000,"&lt;&gt;")&lt;&gt;1),"",SUMIFS(Loads!$E$3:$E$1000,Loads!$A$3:$A$1000,"&gt;="&amp;INT(A149),Loads!$A$3:$A$1000,"&lt;"&amp;(INT(A149)+1),Loads!$B$3:$B$1000,B149,Loads!$C$3:$C$1000,C149)))</x:f>
        <x:v>0</x:v>
      </x:c>
      <x:c r="L149" s="434" t="n">
        <x:f>IF(COUNTIF(Library!$B$3:$B$58,C149)&lt;&gt;1,"",IF(COUNTIFS(Library!$B$3:$B$58,C149,Library!$E$3:$E$58,"&lt;&gt;")=0,0,INDEX(Library!$E$3:$E$58,MATCH(C149,Library!$B$3:$B$58,0))))</x:f>
        <x:v>0</x:v>
      </x:c>
      <x:c r="M149" s="432" t="n">
        <x:f>IF(OR(COUNT(J149:L149)&lt;&gt;3,J149&lt;0,J149&gt;10,K149&lt;0,L149&lt;0,COUNTIFS(Library!$B$3:$B$58,C149,Library!$D$3:$D$58,D149)&lt;&gt;1),"",MIN(10,J149*(1+K149*L149)))</x:f>
        <x:v>1</x:v>
      </x:c>
      <x:c r="N149" s="432" t="n">
        <x:f>IF(D149="seconds",IF(AND(ISNUMBER($B$177),$B$177&gt;0),G149/$B$177,""),IF(D149="reps/leg",G149*2,G149))</x:f>
        <x:v>40</x:v>
      </x:c>
      <x:c r="O149" s="432" t="n">
        <x:f>IF(COUNT(M149:N149)&lt;&gt;2,"",M149*N149)</x:f>
        <x:v>40</x:v>
      </x:c>
      <x:c r="P149" s="432" t="n">
        <x:f>IF(COUNT(O149:O151)&lt;&gt;COUNT(N149:N151),"",IF(SUM(N149:N151)=0,0,ROUND(SUM(O149:O151)/SUM(N149:N151),1)))</x:f>
        <x:v>1</x:v>
      </x:c>
      <x:c r="Q149" s="432" t="str">
        <x:f>IF(COUNT(I149:I151)=0,"",MEDIAN(I149:I151))</x:f>
      </x:c>
      <x:c r="R149" s="400" t="n">
        <x:f>COUNT(I149:I151)</x:f>
        <x:v>0</x:v>
      </x:c>
      <x:c r="S149" s="400" t="n">
        <x:v>3</x:v>
      </x:c>
      <x:c r="T149"/>
      <x:c r="U149"/>
      <x:c r="V149"/>
      <x:c r="W149"/>
      <x:c r="X149"/>
      <x:c r="Y149"/>
      <x:c r="Z149"/>
      <x:c r="AA149"/>
      <x:c r="AB149"/>
    </x:row>
    <x:row r="150" ht="38" hidden="0" customHeight="1">
      <x:c r="A150" s="402" t="n">
        <x:f>Daily!A44</x:f>
        <x:v>46392.5</x:v>
      </x:c>
      <x:c r="B150" s="391" t="str">
        <x:f>Daily!D44</x:f>
        <x:v>Handstand technique</x:v>
      </x:c>
      <x:c r="C150" s="400" t="str">
        <x:v>Easy chest-to-wall hold</x:v>
      </x:c>
      <x:c r="D150" s="400" t="str">
        <x:v>seconds</x:v>
      </x:c>
      <x:c r="E150" s="400" t="n">
        <x:v>3</x:v>
      </x:c>
      <x:c r="F150" s="400" t="n">
        <x:v>15</x:v>
      </x:c>
      <x:c r="G150" s="400" t="n">
        <x:f>E150*F150</x:f>
        <x:v>45</x:v>
      </x:c>
      <x:c r="H150" s="400" t="str">
        <x:f>IF(AND(OR(Daily!N44=TRUE,Daily!AB44=TRUE),COUNT(Daily!O44,Daily!P44,Daily!Q44)&gt;0),SUM(Daily!O44,Daily!P44,Daily!Q44)*86400,"")</x:f>
      </x:c>
      <x:c r="I150" s="432" t="str">
        <x:f>IF(AND(ISNUMBER(H150),ISNUMBER(G150),G150&gt;0),100*H150/G150,"")</x:f>
      </x:c>
      <x:c r="J150" s="432" t="n">
        <x:f>IF(COUNTIF(Library!$B$3:$B$58,C150)&lt;&gt;1,"",INDEX(Library!$C$3:$C$58,MATCH(C150,Library!$B$3:$B$58,0)))</x:f>
        <x:v>1</x:v>
      </x:c>
      <x:c r="K150" s="433" t="n">
        <x:f>IF(COUNTIFS(Loads!$A$3:$A$1000,"&gt;="&amp;INT(A150),Loads!$A$3:$A$1000,"&lt;"&amp;(INT(A150)+1),Loads!$B$3:$B$1000,B150,Loads!$C$3:$C$1000,C150)=0,0,IF(OR(COUNTIFS(Loads!$A$3:$A$1000,"&gt;="&amp;INT(A150),Loads!$A$3:$A$1000,"&lt;"&amp;(INT(A150)+1),Loads!$B$3:$B$1000,B150,Loads!$C$3:$C$1000,C150)&lt;&gt;1,COUNTIFS(Loads!$A$3:$A$1000,"&gt;="&amp;INT(A150),Loads!$A$3:$A$1000,"&lt;"&amp;(INT(A150)+1),Loads!$B$3:$B$1000,B150,Loads!$C$3:$C$1000,C150,Loads!$E$3:$E$1000,"&lt;&gt;")&lt;&gt;1),"",SUMIFS(Loads!$E$3:$E$1000,Loads!$A$3:$A$1000,"&gt;="&amp;INT(A150),Loads!$A$3:$A$1000,"&lt;"&amp;(INT(A150)+1),Loads!$B$3:$B$1000,B150,Loads!$C$3:$C$1000,C150)))</x:f>
        <x:v>0</x:v>
      </x:c>
      <x:c r="L150" s="434" t="n">
        <x:f>IF(COUNTIF(Library!$B$3:$B$58,C150)&lt;&gt;1,"",IF(COUNTIFS(Library!$B$3:$B$58,C150,Library!$E$3:$E$58,"&lt;&gt;")=0,0,INDEX(Library!$E$3:$E$58,MATCH(C150,Library!$B$3:$B$58,0))))</x:f>
        <x:v>0</x:v>
      </x:c>
      <x:c r="M150" s="432" t="n">
        <x:f>IF(OR(COUNT(J150:L150)&lt;&gt;3,J150&lt;0,J150&gt;10,K150&lt;0,L150&lt;0,COUNTIFS(Library!$B$3:$B$58,C150,Library!$D$3:$D$58,D150)&lt;&gt;1),"",MIN(10,J150*(1+K150*L150)))</x:f>
        <x:v>1</x:v>
      </x:c>
      <x:c r="N150" s="432" t="n">
        <x:f>IF(D150="seconds",IF(AND(ISNUMBER($B$177),$B$177&gt;0),G150/$B$177,""),IF(D150="reps/leg",G150*2,G150))</x:f>
        <x:v>15</x:v>
      </x:c>
      <x:c r="O150" s="432" t="n">
        <x:f>IF(COUNT(M150:N150)&lt;&gt;2,"",M150*N150)</x:f>
        <x:v>15</x:v>
      </x:c>
      <x:c r="P150" s="432"/>
      <x:c r="Q150" s="432"/>
      <x:c r="R150" s="400"/>
      <x:c r="S150" s="400"/>
      <x:c r="T150"/>
      <x:c r="U150"/>
      <x:c r="V150"/>
      <x:c r="W150"/>
      <x:c r="X150"/>
      <x:c r="Y150"/>
      <x:c r="Z150"/>
      <x:c r="AA150"/>
      <x:c r="AB150"/>
    </x:row>
    <x:row r="151" ht="38" hidden="0" customHeight="1">
      <x:c r="A151" s="402" t="n">
        <x:f>Daily!A44</x:f>
        <x:v>46392.5</x:v>
      </x:c>
      <x:c r="B151" s="391" t="str">
        <x:f>Daily!D44</x:f>
        <x:v>Handstand technique</x:v>
      </x:c>
      <x:c r="C151" s="400" t="str">
        <x:v>Wall handstand line drill</x:v>
      </x:c>
      <x:c r="D151" s="400" t="str">
        <x:v>seconds</x:v>
      </x:c>
      <x:c r="E151" s="400" t="n">
        <x:v>2</x:v>
      </x:c>
      <x:c r="F151" s="400" t="n">
        <x:v>15</x:v>
      </x:c>
      <x:c r="G151" s="400" t="n">
        <x:f>E151*F151</x:f>
        <x:v>30</x:v>
      </x:c>
      <x:c r="H151" s="400" t="str">
        <x:f>IF(AND(OR(Daily!T44=TRUE,Daily!AB44=TRUE),COUNT(Daily!U44,Daily!V44)&gt;0),SUM(Daily!U44,Daily!V44)*86400,"")</x:f>
      </x:c>
      <x:c r="I151" s="432" t="str">
        <x:f>IF(AND(ISNUMBER(H151),ISNUMBER(G151),G151&gt;0),100*H151/G151,"")</x:f>
      </x:c>
      <x:c r="J151" s="432" t="n">
        <x:f>IF(COUNTIF(Library!$B$3:$B$58,C151)&lt;&gt;1,"",INDEX(Library!$C$3:$C$58,MATCH(C151,Library!$B$3:$B$58,0)))</x:f>
        <x:v>1</x:v>
      </x:c>
      <x:c r="K151" s="433" t="n">
        <x:f>IF(COUNTIFS(Loads!$A$3:$A$1000,"&gt;="&amp;INT(A151),Loads!$A$3:$A$1000,"&lt;"&amp;(INT(A151)+1),Loads!$B$3:$B$1000,B151,Loads!$C$3:$C$1000,C151)=0,0,IF(OR(COUNTIFS(Loads!$A$3:$A$1000,"&gt;="&amp;INT(A151),Loads!$A$3:$A$1000,"&lt;"&amp;(INT(A151)+1),Loads!$B$3:$B$1000,B151,Loads!$C$3:$C$1000,C151)&lt;&gt;1,COUNTIFS(Loads!$A$3:$A$1000,"&gt;="&amp;INT(A151),Loads!$A$3:$A$1000,"&lt;"&amp;(INT(A151)+1),Loads!$B$3:$B$1000,B151,Loads!$C$3:$C$1000,C151,Loads!$E$3:$E$1000,"&lt;&gt;")&lt;&gt;1),"",SUMIFS(Loads!$E$3:$E$1000,Loads!$A$3:$A$1000,"&gt;="&amp;INT(A151),Loads!$A$3:$A$1000,"&lt;"&amp;(INT(A151)+1),Loads!$B$3:$B$1000,B151,Loads!$C$3:$C$1000,C151)))</x:f>
        <x:v>0</x:v>
      </x:c>
      <x:c r="L151" s="434" t="n">
        <x:f>IF(COUNTIF(Library!$B$3:$B$58,C151)&lt;&gt;1,"",IF(COUNTIFS(Library!$B$3:$B$58,C151,Library!$E$3:$E$58,"&lt;&gt;")=0,0,INDEX(Library!$E$3:$E$58,MATCH(C151,Library!$B$3:$B$58,0))))</x:f>
        <x:v>0</x:v>
      </x:c>
      <x:c r="M151" s="432" t="n">
        <x:f>IF(OR(COUNT(J151:L151)&lt;&gt;3,J151&lt;0,J151&gt;10,K151&lt;0,L151&lt;0,COUNTIFS(Library!$B$3:$B$58,C151,Library!$D$3:$D$58,D151)&lt;&gt;1),"",MIN(10,J151*(1+K151*L151)))</x:f>
        <x:v>1</x:v>
      </x:c>
      <x:c r="N151" s="432" t="n">
        <x:f>IF(D151="seconds",IF(AND(ISNUMBER($B$177),$B$177&gt;0),G151/$B$177,""),IF(D151="reps/leg",G151*2,G151))</x:f>
        <x:v>10</x:v>
      </x:c>
      <x:c r="O151" s="432" t="n">
        <x:f>IF(COUNT(M151:N151)&lt;&gt;2,"",M151*N151)</x:f>
        <x:v>10</x:v>
      </x:c>
      <x:c r="P151" s="432"/>
      <x:c r="Q151" s="432"/>
      <x:c r="R151" s="400"/>
      <x:c r="S151" s="400"/>
      <x:c r="T151"/>
      <x:c r="U151"/>
      <x:c r="V151"/>
      <x:c r="W151"/>
      <x:c r="X151"/>
      <x:c r="Y151"/>
      <x:c r="Z151"/>
      <x:c r="AA151"/>
      <x:c r="AB151"/>
    </x:row>
    <x:row r="152" ht="38" hidden="0" customHeight="1">
      <x:c r="A152" s="402" t="n">
        <x:f>Daily!A45</x:f>
        <x:v>46394.5</x:v>
      </x:c>
      <x:c r="B152" s="391" t="str">
        <x:f>Daily!D45</x:f>
        <x:v>Skill B + Cal-Intervals</x:v>
      </x:c>
      <x:c r="C152" s="400" t="str">
        <x:v>Full-ROM wall HSPU</x:v>
      </x:c>
      <x:c r="D152" s="400" t="str">
        <x:v>reps</x:v>
      </x:c>
      <x:c r="E152" s="400" t="n">
        <x:v>3</x:v>
      </x:c>
      <x:c r="F152" s="400" t="n">
        <x:v>1</x:v>
      </x:c>
      <x:c r="G152" s="400" t="n">
        <x:f>E152*F152</x:f>
        <x:v>3</x:v>
      </x:c>
      <x:c r="H152" s="400" t="str">
        <x:f>IF(AND(OR(Daily!N45=TRUE,Daily!AB45=TRUE),COUNT(Daily!O45,Daily!P45)&gt;0),SUM(Daily!O45,Daily!P45),"")</x:f>
      </x:c>
      <x:c r="I152" s="432" t="str">
        <x:f>IF(AND(ISNUMBER(H152),ISNUMBER(G152),G152&gt;0),100*H152/G152,"")</x:f>
      </x:c>
      <x:c r="J152" s="432" t="n">
        <x:f>IF(COUNTIF(Library!$B$3:$B$58,C152)&lt;&gt;1,"",INDEX(Library!$C$3:$C$58,MATCH(C152,Library!$B$3:$B$58,0)))</x:f>
        <x:v>8</x:v>
      </x:c>
      <x:c r="K152" s="433" t="n">
        <x:f>IF(COUNTIFS(Loads!$A$3:$A$1000,"&gt;="&amp;INT(A152),Loads!$A$3:$A$1000,"&lt;"&amp;(INT(A152)+1),Loads!$B$3:$B$1000,B152,Loads!$C$3:$C$1000,C152)=0,0,IF(OR(COUNTIFS(Loads!$A$3:$A$1000,"&gt;="&amp;INT(A152),Loads!$A$3:$A$1000,"&lt;"&amp;(INT(A152)+1),Loads!$B$3:$B$1000,B152,Loads!$C$3:$C$1000,C152)&lt;&gt;1,COUNTIFS(Loads!$A$3:$A$1000,"&gt;="&amp;INT(A152),Loads!$A$3:$A$1000,"&lt;"&amp;(INT(A152)+1),Loads!$B$3:$B$1000,B152,Loads!$C$3:$C$1000,C152,Loads!$E$3:$E$1000,"&lt;&gt;")&lt;&gt;1),"",SUMIFS(Loads!$E$3:$E$1000,Loads!$A$3:$A$1000,"&gt;="&amp;INT(A152),Loads!$A$3:$A$1000,"&lt;"&amp;(INT(A152)+1),Loads!$B$3:$B$1000,B152,Loads!$C$3:$C$1000,C152)))</x:f>
        <x:v>0</x:v>
      </x:c>
      <x:c r="L152" s="434" t="n">
        <x:f>IF(COUNTIF(Library!$B$3:$B$58,C152)&lt;&gt;1,"",IF(COUNTIFS(Library!$B$3:$B$58,C152,Library!$E$3:$E$58,"&lt;&gt;")=0,0,INDEX(Library!$E$3:$E$58,MATCH(C152,Library!$B$3:$B$58,0))))</x:f>
        <x:v>0</x:v>
      </x:c>
      <x:c r="M152" s="432" t="n">
        <x:f>IF(OR(COUNT(J152:L152)&lt;&gt;3,J152&lt;0,J152&gt;10,K152&lt;0,L152&lt;0,COUNTIFS(Library!$B$3:$B$58,C152,Library!$D$3:$D$58,D152)&lt;&gt;1),"",MIN(10,J152*(1+K152*L152)))</x:f>
        <x:v>8</x:v>
      </x:c>
      <x:c r="N152" s="432" t="n">
        <x:f>IF(D152="seconds",IF(AND(ISNUMBER($B$177),$B$177&gt;0),G152/$B$177,""),IF(D152="reps/leg",G152*2,G152))</x:f>
        <x:v>3</x:v>
      </x:c>
      <x:c r="O152" s="432" t="n">
        <x:f>IF(COUNT(M152:N152)&lt;&gt;2,"",M152*N152)</x:f>
        <x:v>24</x:v>
      </x:c>
      <x:c r="P152" s="432" t="n">
        <x:f>IF(COUNT(O152:O155)&lt;&gt;COUNT(N152:N155),"",IF(SUM(N152:N155)=0,0,ROUND(SUM(O152:O155)/SUM(N152:N155),1)))</x:f>
        <x:v>5.2</x:v>
      </x:c>
      <x:c r="Q152" s="432" t="str">
        <x:f>IF(COUNT(I152:I155)=0,"",MEDIAN(I152:I155))</x:f>
      </x:c>
      <x:c r="R152" s="400" t="n">
        <x:f>COUNT(I152:I155)</x:f>
        <x:v>0</x:v>
      </x:c>
      <x:c r="S152" s="400" t="n">
        <x:v>4</x:v>
      </x:c>
      <x:c r="T152"/>
      <x:c r="U152"/>
      <x:c r="V152"/>
      <x:c r="W152"/>
      <x:c r="X152"/>
      <x:c r="Y152"/>
      <x:c r="Z152"/>
      <x:c r="AA152"/>
      <x:c r="AB152"/>
    </x:row>
    <x:row r="153" ht="38" hidden="0" customHeight="1">
      <x:c r="A153" s="402" t="n">
        <x:f>Daily!A45</x:f>
        <x:v>46394.5</x:v>
      </x:c>
      <x:c r="B153" s="391" t="str">
        <x:f>Daily!D45</x:f>
        <x:v>Skill B + Cal-Intervals</x:v>
      </x:c>
      <x:c r="C153" s="400" t="str">
        <x:v>Pike push-up back-off</x:v>
      </x:c>
      <x:c r="D153" s="400" t="str">
        <x:v>reps</x:v>
      </x:c>
      <x:c r="E153" s="400" t="n">
        <x:v>2</x:v>
      </x:c>
      <x:c r="F153" s="400" t="n">
        <x:v>4</x:v>
      </x:c>
      <x:c r="G153" s="400" t="n">
        <x:f>E153*F153</x:f>
        <x:v>8</x:v>
      </x:c>
      <x:c r="H153" s="400" t="str">
        <x:f>IF(AND(OR(Daily!T45=TRUE,Daily!AB45=TRUE),COUNT(Daily!U45,Daily!V45,Daily!W45)&gt;0),SUM(Daily!U45,Daily!V45,Daily!W45),"")</x:f>
      </x:c>
      <x:c r="I153" s="432" t="str">
        <x:f>IF(AND(ISNUMBER(H153),ISNUMBER(G153),G153&gt;0),100*H153/G153,"")</x:f>
      </x:c>
      <x:c r="J153" s="432" t="n">
        <x:f>IF(COUNTIF(Library!$B$3:$B$58,C153)&lt;&gt;1,"",INDEX(Library!$C$3:$C$58,MATCH(C153,Library!$B$3:$B$58,0)))</x:f>
        <x:v>4</x:v>
      </x:c>
      <x:c r="K153" s="433" t="n">
        <x:f>IF(COUNTIFS(Loads!$A$3:$A$1000,"&gt;="&amp;INT(A153),Loads!$A$3:$A$1000,"&lt;"&amp;(INT(A153)+1),Loads!$B$3:$B$1000,B153,Loads!$C$3:$C$1000,C153)=0,0,IF(OR(COUNTIFS(Loads!$A$3:$A$1000,"&gt;="&amp;INT(A153),Loads!$A$3:$A$1000,"&lt;"&amp;(INT(A153)+1),Loads!$B$3:$B$1000,B153,Loads!$C$3:$C$1000,C153)&lt;&gt;1,COUNTIFS(Loads!$A$3:$A$1000,"&gt;="&amp;INT(A153),Loads!$A$3:$A$1000,"&lt;"&amp;(INT(A153)+1),Loads!$B$3:$B$1000,B153,Loads!$C$3:$C$1000,C153,Loads!$E$3:$E$1000,"&lt;&gt;")&lt;&gt;1),"",SUMIFS(Loads!$E$3:$E$1000,Loads!$A$3:$A$1000,"&gt;="&amp;INT(A153),Loads!$A$3:$A$1000,"&lt;"&amp;(INT(A153)+1),Loads!$B$3:$B$1000,B153,Loads!$C$3:$C$1000,C153)))</x:f>
        <x:v>0</x:v>
      </x:c>
      <x:c r="L153" s="434" t="n">
        <x:f>IF(COUNTIF(Library!$B$3:$B$58,C153)&lt;&gt;1,"",IF(COUNTIFS(Library!$B$3:$B$58,C153,Library!$E$3:$E$58,"&lt;&gt;")=0,0,INDEX(Library!$E$3:$E$58,MATCH(C153,Library!$B$3:$B$58,0))))</x:f>
        <x:v>0</x:v>
      </x:c>
      <x:c r="M153" s="432" t="n">
        <x:f>IF(OR(COUNT(J153:L153)&lt;&gt;3,J153&lt;0,J153&gt;10,K153&lt;0,L153&lt;0,COUNTIFS(Library!$B$3:$B$58,C153,Library!$D$3:$D$58,D153)&lt;&gt;1),"",MIN(10,J153*(1+K153*L153)))</x:f>
        <x:v>4</x:v>
      </x:c>
      <x:c r="N153" s="432" t="n">
        <x:f>IF(D153="seconds",IF(AND(ISNUMBER($B$177),$B$177&gt;0),G153/$B$177,""),IF(D153="reps/leg",G153*2,G153))</x:f>
        <x:v>8</x:v>
      </x:c>
      <x:c r="O153" s="432" t="n">
        <x:f>IF(COUNT(M153:N153)&lt;&gt;2,"",M153*N153)</x:f>
        <x:v>32</x:v>
      </x:c>
      <x:c r="P153" s="432"/>
      <x:c r="Q153" s="432"/>
      <x:c r="R153" s="400"/>
      <x:c r="S153" s="400"/>
      <x:c r="T153"/>
      <x:c r="U153"/>
      <x:c r="V153"/>
      <x:c r="W153"/>
      <x:c r="X153"/>
      <x:c r="Y153"/>
      <x:c r="Z153"/>
      <x:c r="AA153"/>
      <x:c r="AB153"/>
    </x:row>
    <x:row r="154" ht="38" hidden="0" customHeight="1">
      <x:c r="A154" s="402" t="n">
        <x:f>Daily!A45</x:f>
        <x:v>46394.5</x:v>
      </x:c>
      <x:c r="B154" s="391" t="str">
        <x:f>Daily!D45</x:f>
        <x:v>Skill B + Cal-Intervals</x:v>
      </x:c>
      <x:c r="C154" s="400" t="str">
        <x:v>Clean pistol</x:v>
      </x:c>
      <x:c r="D154" s="400" t="str">
        <x:v>reps/leg</x:v>
      </x:c>
      <x:c r="E154" s="400" t="n">
        <x:v>3</x:v>
      </x:c>
      <x:c r="F154" s="400" t="n">
        <x:v>2</x:v>
      </x:c>
      <x:c r="G154" s="400" t="n">
        <x:f>E154*F154</x:f>
        <x:v>6</x:v>
      </x:c>
      <x:c r="H154" s="400" t="str">
        <x:f>IF(AND(OR(Daily!Z45=TRUE,Daily!AB45=TRUE),COUNT(Daily!AA45)&gt;0),SUM(Daily!AA45),"")</x:f>
      </x:c>
      <x:c r="I154" s="432" t="str">
        <x:f>IF(AND(ISNUMBER(H154),ISNUMBER(G154),G154&gt;0),100*H154/G154,"")</x:f>
      </x:c>
      <x:c r="J154" s="432" t="n">
        <x:f>IF(COUNTIF(Library!$B$3:$B$58,C154)&lt;&gt;1,"",INDEX(Library!$C$3:$C$58,MATCH(C154,Library!$B$3:$B$58,0)))</x:f>
        <x:v>8</x:v>
      </x:c>
      <x:c r="K154" s="433" t="n">
        <x:f>IF(COUNTIFS(Loads!$A$3:$A$1000,"&gt;="&amp;INT(A154),Loads!$A$3:$A$1000,"&lt;"&amp;(INT(A154)+1),Loads!$B$3:$B$1000,B154,Loads!$C$3:$C$1000,C154)=0,0,IF(OR(COUNTIFS(Loads!$A$3:$A$1000,"&gt;="&amp;INT(A154),Loads!$A$3:$A$1000,"&lt;"&amp;(INT(A154)+1),Loads!$B$3:$B$1000,B154,Loads!$C$3:$C$1000,C154)&lt;&gt;1,COUNTIFS(Loads!$A$3:$A$1000,"&gt;="&amp;INT(A154),Loads!$A$3:$A$1000,"&lt;"&amp;(INT(A154)+1),Loads!$B$3:$B$1000,B154,Loads!$C$3:$C$1000,C154,Loads!$E$3:$E$1000,"&lt;&gt;")&lt;&gt;1),"",SUMIFS(Loads!$E$3:$E$1000,Loads!$A$3:$A$1000,"&gt;="&amp;INT(A154),Loads!$A$3:$A$1000,"&lt;"&amp;(INT(A154)+1),Loads!$B$3:$B$1000,B154,Loads!$C$3:$C$1000,C154)))</x:f>
        <x:v>0</x:v>
      </x:c>
      <x:c r="L154" s="434" t="n">
        <x:f>IF(COUNTIF(Library!$B$3:$B$58,C154)&lt;&gt;1,"",IF(COUNTIFS(Library!$B$3:$B$58,C154,Library!$E$3:$E$58,"&lt;&gt;")=0,0,INDEX(Library!$E$3:$E$58,MATCH(C154,Library!$B$3:$B$58,0))))</x:f>
        <x:v>0.03</x:v>
      </x:c>
      <x:c r="M154" s="432" t="n">
        <x:f>IF(OR(COUNT(J154:L154)&lt;&gt;3,J154&lt;0,J154&gt;10,K154&lt;0,L154&lt;0,COUNTIFS(Library!$B$3:$B$58,C154,Library!$D$3:$D$58,D154)&lt;&gt;1),"",MIN(10,J154*(1+K154*L154)))</x:f>
        <x:v>8</x:v>
      </x:c>
      <x:c r="N154" s="432" t="n">
        <x:f>IF(D154="seconds",IF(AND(ISNUMBER($B$177),$B$177&gt;0),G154/$B$177,""),IF(D154="reps/leg",G154*2,G154))</x:f>
        <x:v>12</x:v>
      </x:c>
      <x:c r="O154" s="432" t="n">
        <x:f>IF(COUNT(M154:N154)&lt;&gt;2,"",M154*N154)</x:f>
        <x:v>96</x:v>
      </x:c>
      <x:c r="P154" s="432"/>
      <x:c r="Q154" s="432"/>
      <x:c r="R154" s="400"/>
      <x:c r="S154" s="400"/>
      <x:c r="T154"/>
      <x:c r="U154"/>
      <x:c r="V154"/>
      <x:c r="W154"/>
      <x:c r="X154"/>
      <x:c r="Y154"/>
      <x:c r="Z154"/>
      <x:c r="AA154"/>
      <x:c r="AB154"/>
    </x:row>
    <x:row r="155" ht="38" hidden="0" customHeight="1">
      <x:c r="A155" s="402" t="n">
        <x:f>Daily!A45</x:f>
        <x:v>46394.5</x:v>
      </x:c>
      <x:c r="B155" s="391" t="str">
        <x:f>Daily!D45</x:f>
        <x:v>Skill B + Cal-Intervals</x:v>
      </x:c>
      <x:c r="C155" s="400" t="str">
        <x:v>Cal-Intervals</x:v>
      </x:c>
      <x:c r="D155" s="400" t="str">
        <x:v>rounds</x:v>
      </x:c>
      <x:c r="E155" s="400" t="n">
        <x:v>1</x:v>
      </x:c>
      <x:c r="F155" s="400" t="n">
        <x:v>5</x:v>
      </x:c>
      <x:c r="G155" s="400" t="n">
        <x:v>5</x:v>
      </x:c>
      <x:c r="H155" s="400" t="str">
        <x:f>IF(AND(OR(Daily!Z45=TRUE,Daily!AB45=TRUE),ISNUMBER(Daily!AA45)),Daily!AA45,"")</x:f>
      </x:c>
      <x:c r="I155" s="432" t="str">
        <x:f>IF(AND(ISNUMBER(H155),G155&gt;0),100*H155/G155,"")</x:f>
      </x:c>
      <x:c r="J155" s="432" t="n">
        <x:f>IF(OR(COUNT(Library!F67:F70)&lt;&gt;4,COUNT(Library!E67:E70)&lt;&gt;4,SUM(Library!E67:E70)=0),"",SUM(Library!F67:F70)/SUM(Library!E67:E70))</x:f>
        <x:v>5</x:v>
      </x:c>
      <x:c r="K155" s="433"/>
      <x:c r="L155" s="434"/>
      <x:c r="M155" s="432" t="n">
        <x:f>IF(ISNUMBER(J155),J155,"")</x:f>
        <x:v>5</x:v>
      </x:c>
      <x:c r="N155" s="432" t="n">
        <x:f>IF(COUNT(Library!E67:E70)&lt;&gt;4,"",G155*SUM(Library!E67:E70))</x:f>
        <x:v>200</x:v>
      </x:c>
      <x:c r="O155" s="432" t="n">
        <x:f>IF(COUNT(Library!F67:F70)&lt;&gt;4,"",G155*SUM(Library!F67:F70))</x:f>
        <x:v>1000</x:v>
      </x:c>
      <x:c r="P155" s="432"/>
      <x:c r="Q155" s="432"/>
      <x:c r="R155" s="400"/>
      <x:c r="S155" s="400"/>
      <x:c r="T155"/>
      <x:c r="U155"/>
      <x:c r="V155"/>
      <x:c r="W155"/>
      <x:c r="X155"/>
      <x:c r="Y155"/>
      <x:c r="Z155"/>
      <x:c r="AA155"/>
      <x:c r="AB155"/>
    </x:row>
    <x:row r="156" ht="38" hidden="0" customHeight="1">
      <x:c r="A156" s="402" t="n">
        <x:f>Daily!A46</x:f>
        <x:v>46396.5</x:v>
      </x:c>
      <x:c r="B156" s="391" t="str">
        <x:f>Daily!D46</x:f>
        <x:v>Skill micro-session</x:v>
      </x:c>
      <x:c r="C156" s="400" t="str">
        <x:v>Wrist/shoulder mobility</x:v>
      </x:c>
      <x:c r="D156" s="400" t="str">
        <x:v>seconds</x:v>
      </x:c>
      <x:c r="E156" s="400" t="n">
        <x:v>1</x:v>
      </x:c>
      <x:c r="F156" s="400" t="n">
        <x:v>120</x:v>
      </x:c>
      <x:c r="G156" s="400" t="n">
        <x:f>E156*F156</x:f>
        <x:v>120</x:v>
      </x:c>
      <x:c r="H156" s="400" t="str">
        <x:f>IF(AND(OR(Daily!H46=TRUE,Daily!AB46=TRUE),COUNT(Daily!I46)&gt;0),SUM(Daily!I46)*86400,"")</x:f>
      </x:c>
      <x:c r="I156" s="432" t="str">
        <x:f>IF(AND(ISNUMBER(H156),ISNUMBER(G156),G156&gt;0),100*H156/G156,"")</x:f>
      </x:c>
      <x:c r="J156" s="432" t="n">
        <x:f>IF(COUNTIF(Library!$B$3:$B$58,C156)&lt;&gt;1,"",INDEX(Library!$C$3:$C$58,MATCH(C156,Library!$B$3:$B$58,0)))</x:f>
        <x:v>1</x:v>
      </x:c>
      <x:c r="K156" s="433" t="n">
        <x:f>IF(COUNTIFS(Loads!$A$3:$A$1000,"&gt;="&amp;INT(A156),Loads!$A$3:$A$1000,"&lt;"&amp;(INT(A156)+1),Loads!$B$3:$B$1000,B156,Loads!$C$3:$C$1000,C156)=0,0,IF(OR(COUNTIFS(Loads!$A$3:$A$1000,"&gt;="&amp;INT(A156),Loads!$A$3:$A$1000,"&lt;"&amp;(INT(A156)+1),Loads!$B$3:$B$1000,B156,Loads!$C$3:$C$1000,C156)&lt;&gt;1,COUNTIFS(Loads!$A$3:$A$1000,"&gt;="&amp;INT(A156),Loads!$A$3:$A$1000,"&lt;"&amp;(INT(A156)+1),Loads!$B$3:$B$1000,B156,Loads!$C$3:$C$1000,C156,Loads!$E$3:$E$1000,"&lt;&gt;")&lt;&gt;1),"",SUMIFS(Loads!$E$3:$E$1000,Loads!$A$3:$A$1000,"&gt;="&amp;INT(A156),Loads!$A$3:$A$1000,"&lt;"&amp;(INT(A156)+1),Loads!$B$3:$B$1000,B156,Loads!$C$3:$C$1000,C156)))</x:f>
        <x:v>0</x:v>
      </x:c>
      <x:c r="L156" s="434" t="n">
        <x:f>IF(COUNTIF(Library!$B$3:$B$58,C156)&lt;&gt;1,"",IF(COUNTIFS(Library!$B$3:$B$58,C156,Library!$E$3:$E$58,"&lt;&gt;")=0,0,INDEX(Library!$E$3:$E$58,MATCH(C156,Library!$B$3:$B$58,0))))</x:f>
        <x:v>0</x:v>
      </x:c>
      <x:c r="M156" s="432" t="n">
        <x:f>IF(OR(COUNT(J156:L156)&lt;&gt;3,J156&lt;0,J156&gt;10,K156&lt;0,L156&lt;0,COUNTIFS(Library!$B$3:$B$58,C156,Library!$D$3:$D$58,D156)&lt;&gt;1),"",MIN(10,J156*(1+K156*L156)))</x:f>
        <x:v>1</x:v>
      </x:c>
      <x:c r="N156" s="432" t="n">
        <x:f>IF(D156="seconds",IF(AND(ISNUMBER($B$177),$B$177&gt;0),G156/$B$177,""),IF(D156="reps/leg",G156*2,G156))</x:f>
        <x:v>40</x:v>
      </x:c>
      <x:c r="O156" s="432" t="n">
        <x:f>IF(COUNT(M156:N156)&lt;&gt;2,"",M156*N156)</x:f>
        <x:v>40</x:v>
      </x:c>
      <x:c r="P156" s="432" t="n">
        <x:f>IF(COUNT(O156:O158)&lt;&gt;COUNT(N156:N158),"",IF(SUM(N156:N158)=0,0,ROUND(SUM(O156:O158)/SUM(N156:N158),1)))</x:f>
        <x:v>1</x:v>
      </x:c>
      <x:c r="Q156" s="432" t="str">
        <x:f>IF(COUNT(I156:I158)=0,"",MEDIAN(I156:I158))</x:f>
      </x:c>
      <x:c r="R156" s="400" t="n">
        <x:f>COUNT(I156:I158)</x:f>
        <x:v>0</x:v>
      </x:c>
      <x:c r="S156" s="400" t="n">
        <x:v>3</x:v>
      </x:c>
      <x:c r="T156"/>
      <x:c r="U156"/>
      <x:c r="V156"/>
      <x:c r="W156"/>
      <x:c r="X156"/>
      <x:c r="Y156"/>
      <x:c r="Z156"/>
      <x:c r="AA156"/>
      <x:c r="AB156"/>
    </x:row>
    <x:row r="157" ht="38" hidden="0" customHeight="1">
      <x:c r="A157" s="402" t="n">
        <x:f>Daily!A46</x:f>
        <x:v>46396.5</x:v>
      </x:c>
      <x:c r="B157" s="391" t="str">
        <x:f>Daily!D46</x:f>
        <x:v>Skill micro-session</x:v>
      </x:c>
      <x:c r="C157" s="400" t="str">
        <x:v>Easy chest-to-wall hold</x:v>
      </x:c>
      <x:c r="D157" s="400" t="str">
        <x:v>seconds</x:v>
      </x:c>
      <x:c r="E157" s="400" t="n">
        <x:v>3</x:v>
      </x:c>
      <x:c r="F157" s="400" t="n">
        <x:v>15</x:v>
      </x:c>
      <x:c r="G157" s="400" t="n">
        <x:f>E157*F157</x:f>
        <x:v>45</x:v>
      </x:c>
      <x:c r="H157" s="400" t="str">
        <x:f>IF(AND(OR(Daily!N46=TRUE,Daily!AB46=TRUE),COUNT(Daily!O46,Daily!P46,Daily!Q46)&gt;0),SUM(Daily!O46,Daily!P46,Daily!Q46)*86400,"")</x:f>
      </x:c>
      <x:c r="I157" s="432" t="str">
        <x:f>IF(AND(ISNUMBER(H157),ISNUMBER(G157),G157&gt;0),100*H157/G157,"")</x:f>
      </x:c>
      <x:c r="J157" s="432" t="n">
        <x:f>IF(COUNTIF(Library!$B$3:$B$58,C157)&lt;&gt;1,"",INDEX(Library!$C$3:$C$58,MATCH(C157,Library!$B$3:$B$58,0)))</x:f>
        <x:v>1</x:v>
      </x:c>
      <x:c r="K157" s="433" t="n">
        <x:f>IF(COUNTIFS(Loads!$A$3:$A$1000,"&gt;="&amp;INT(A157),Loads!$A$3:$A$1000,"&lt;"&amp;(INT(A157)+1),Loads!$B$3:$B$1000,B157,Loads!$C$3:$C$1000,C157)=0,0,IF(OR(COUNTIFS(Loads!$A$3:$A$1000,"&gt;="&amp;INT(A157),Loads!$A$3:$A$1000,"&lt;"&amp;(INT(A157)+1),Loads!$B$3:$B$1000,B157,Loads!$C$3:$C$1000,C157)&lt;&gt;1,COUNTIFS(Loads!$A$3:$A$1000,"&gt;="&amp;INT(A157),Loads!$A$3:$A$1000,"&lt;"&amp;(INT(A157)+1),Loads!$B$3:$B$1000,B157,Loads!$C$3:$C$1000,C157,Loads!$E$3:$E$1000,"&lt;&gt;")&lt;&gt;1),"",SUMIFS(Loads!$E$3:$E$1000,Loads!$A$3:$A$1000,"&gt;="&amp;INT(A157),Loads!$A$3:$A$1000,"&lt;"&amp;(INT(A157)+1),Loads!$B$3:$B$1000,B157,Loads!$C$3:$C$1000,C157)))</x:f>
        <x:v>0</x:v>
      </x:c>
      <x:c r="L157" s="434" t="n">
        <x:f>IF(COUNTIF(Library!$B$3:$B$58,C157)&lt;&gt;1,"",IF(COUNTIFS(Library!$B$3:$B$58,C157,Library!$E$3:$E$58,"&lt;&gt;")=0,0,INDEX(Library!$E$3:$E$58,MATCH(C157,Library!$B$3:$B$58,0))))</x:f>
        <x:v>0</x:v>
      </x:c>
      <x:c r="M157" s="432" t="n">
        <x:f>IF(OR(COUNT(J157:L157)&lt;&gt;3,J157&lt;0,J157&gt;10,K157&lt;0,L157&lt;0,COUNTIFS(Library!$B$3:$B$58,C157,Library!$D$3:$D$58,D157)&lt;&gt;1),"",MIN(10,J157*(1+K157*L157)))</x:f>
        <x:v>1</x:v>
      </x:c>
      <x:c r="N157" s="432" t="n">
        <x:f>IF(D157="seconds",IF(AND(ISNUMBER($B$177),$B$177&gt;0),G157/$B$177,""),IF(D157="reps/leg",G157*2,G157))</x:f>
        <x:v>15</x:v>
      </x:c>
      <x:c r="O157" s="432" t="n">
        <x:f>IF(COUNT(M157:N157)&lt;&gt;2,"",M157*N157)</x:f>
        <x:v>15</x:v>
      </x:c>
      <x:c r="P157" s="432"/>
      <x:c r="Q157" s="432"/>
      <x:c r="R157" s="400"/>
      <x:c r="S157" s="400"/>
      <x:c r="T157"/>
      <x:c r="U157"/>
      <x:c r="V157"/>
      <x:c r="W157"/>
      <x:c r="X157"/>
      <x:c r="Y157"/>
      <x:c r="Z157"/>
      <x:c r="AA157"/>
      <x:c r="AB157"/>
    </x:row>
    <x:row r="158" ht="38" hidden="0" customHeight="1">
      <x:c r="A158" s="402" t="n">
        <x:f>Daily!A46</x:f>
        <x:v>46396.5</x:v>
      </x:c>
      <x:c r="B158" s="391" t="str">
        <x:f>Daily!D46</x:f>
        <x:v>Skill micro-session</x:v>
      </x:c>
      <x:c r="C158" s="400" t="str">
        <x:v>Wall handstand line drill</x:v>
      </x:c>
      <x:c r="D158" s="400" t="str">
        <x:v>seconds</x:v>
      </x:c>
      <x:c r="E158" s="400" t="n">
        <x:v>3</x:v>
      </x:c>
      <x:c r="F158" s="400" t="n">
        <x:v>15</x:v>
      </x:c>
      <x:c r="G158" s="400" t="n">
        <x:f>E158*F158</x:f>
        <x:v>45</x:v>
      </x:c>
      <x:c r="H158" s="400" t="str">
        <x:f>IF(AND(OR(Daily!T46=TRUE,Daily!AB46=TRUE),COUNT(Daily!U46,Daily!V46,Daily!W46)&gt;0),SUM(Daily!U46,Daily!V46,Daily!W46)*86400,"")</x:f>
      </x:c>
      <x:c r="I158" s="432" t="str">
        <x:f>IF(AND(ISNUMBER(H158),ISNUMBER(G158),G158&gt;0),100*H158/G158,"")</x:f>
      </x:c>
      <x:c r="J158" s="432" t="n">
        <x:f>IF(COUNTIF(Library!$B$3:$B$58,C158)&lt;&gt;1,"",INDEX(Library!$C$3:$C$58,MATCH(C158,Library!$B$3:$B$58,0)))</x:f>
        <x:v>1</x:v>
      </x:c>
      <x:c r="K158" s="433" t="n">
        <x:f>IF(COUNTIFS(Loads!$A$3:$A$1000,"&gt;="&amp;INT(A158),Loads!$A$3:$A$1000,"&lt;"&amp;(INT(A158)+1),Loads!$B$3:$B$1000,B158,Loads!$C$3:$C$1000,C158)=0,0,IF(OR(COUNTIFS(Loads!$A$3:$A$1000,"&gt;="&amp;INT(A158),Loads!$A$3:$A$1000,"&lt;"&amp;(INT(A158)+1),Loads!$B$3:$B$1000,B158,Loads!$C$3:$C$1000,C158)&lt;&gt;1,COUNTIFS(Loads!$A$3:$A$1000,"&gt;="&amp;INT(A158),Loads!$A$3:$A$1000,"&lt;"&amp;(INT(A158)+1),Loads!$B$3:$B$1000,B158,Loads!$C$3:$C$1000,C158,Loads!$E$3:$E$1000,"&lt;&gt;")&lt;&gt;1),"",SUMIFS(Loads!$E$3:$E$1000,Loads!$A$3:$A$1000,"&gt;="&amp;INT(A158),Loads!$A$3:$A$1000,"&lt;"&amp;(INT(A158)+1),Loads!$B$3:$B$1000,B158,Loads!$C$3:$C$1000,C158)))</x:f>
        <x:v>0</x:v>
      </x:c>
      <x:c r="L158" s="434" t="n">
        <x:f>IF(COUNTIF(Library!$B$3:$B$58,C158)&lt;&gt;1,"",IF(COUNTIFS(Library!$B$3:$B$58,C158,Library!$E$3:$E$58,"&lt;&gt;")=0,0,INDEX(Library!$E$3:$E$58,MATCH(C158,Library!$B$3:$B$58,0))))</x:f>
        <x:v>0</x:v>
      </x:c>
      <x:c r="M158" s="432" t="n">
        <x:f>IF(OR(COUNT(J158:L158)&lt;&gt;3,J158&lt;0,J158&gt;10,K158&lt;0,L158&lt;0,COUNTIFS(Library!$B$3:$B$58,C158,Library!$D$3:$D$58,D158)&lt;&gt;1),"",MIN(10,J158*(1+K158*L158)))</x:f>
        <x:v>1</x:v>
      </x:c>
      <x:c r="N158" s="432" t="n">
        <x:f>IF(D158="seconds",IF(AND(ISNUMBER($B$177),$B$177&gt;0),G158/$B$177,""),IF(D158="reps/leg",G158*2,G158))</x:f>
        <x:v>15</x:v>
      </x:c>
      <x:c r="O158" s="432" t="n">
        <x:f>IF(COUNT(M158:N158)&lt;&gt;2,"",M158*N158)</x:f>
        <x:v>15</x:v>
      </x:c>
      <x:c r="P158" s="432"/>
      <x:c r="Q158" s="432"/>
      <x:c r="R158" s="400"/>
      <x:c r="S158" s="400"/>
      <x:c r="T158"/>
      <x:c r="U158"/>
      <x:c r="V158"/>
      <x:c r="W158"/>
      <x:c r="X158"/>
      <x:c r="Y158"/>
      <x:c r="Z158"/>
      <x:c r="AA158"/>
      <x:c r="AB158"/>
    </x:row>
    <x:row r="159" ht="38" hidden="0" customHeight="1">
      <x:c r="A159" s="402" t="n">
        <x:f>Daily!A47</x:f>
        <x:v>46398.5</x:v>
      </x:c>
      <x:c r="B159" s="391" t="str">
        <x:f>Daily!D47</x:f>
        <x:v>Skill A + Cal-Intervals</x:v>
      </x:c>
      <x:c r="C159" s="400" t="str">
        <x:v>Muscle-up test</x:v>
      </x:c>
      <x:c r="D159" s="400" t="str">
        <x:v>reps</x:v>
      </x:c>
      <x:c r="E159" s="400" t="n">
        <x:v>3</x:v>
      </x:c>
      <x:c r="F159" s="400" t="n">
        <x:v>1</x:v>
      </x:c>
      <x:c r="G159" s="400" t="n">
        <x:f>E159*F159</x:f>
        <x:v>3</x:v>
      </x:c>
      <x:c r="H159" s="400" t="str">
        <x:f>IF(AND(OR(Daily!Z47=TRUE,Daily!AB47=TRUE),COUNT(Daily!AA47)&gt;0),SUM(Daily!AA47),"")</x:f>
      </x:c>
      <x:c r="I159" s="432" t="str">
        <x:f>IF(AND(ISNUMBER(H159),ISNUMBER(G159),G159&gt;0),100*H159/G159,"")</x:f>
      </x:c>
      <x:c r="J159" s="432" t="n">
        <x:f>IF(COUNTIF(Library!$B$3:$B$58,C159)&lt;&gt;1,"",INDEX(Library!$C$3:$C$58,MATCH(C159,Library!$B$3:$B$58,0)))</x:f>
        <x:v>8</x:v>
      </x:c>
      <x:c r="K159" s="433" t="n">
        <x:f>IF(COUNTIFS(Loads!$A$3:$A$1000,"&gt;="&amp;INT(A159),Loads!$A$3:$A$1000,"&lt;"&amp;(INT(A159)+1),Loads!$B$3:$B$1000,B159,Loads!$C$3:$C$1000,C159)=0,0,IF(OR(COUNTIFS(Loads!$A$3:$A$1000,"&gt;="&amp;INT(A159),Loads!$A$3:$A$1000,"&lt;"&amp;(INT(A159)+1),Loads!$B$3:$B$1000,B159,Loads!$C$3:$C$1000,C159)&lt;&gt;1,COUNTIFS(Loads!$A$3:$A$1000,"&gt;="&amp;INT(A159),Loads!$A$3:$A$1000,"&lt;"&amp;(INT(A159)+1),Loads!$B$3:$B$1000,B159,Loads!$C$3:$C$1000,C159,Loads!$E$3:$E$1000,"&lt;&gt;")&lt;&gt;1),"",SUMIFS(Loads!$E$3:$E$1000,Loads!$A$3:$A$1000,"&gt;="&amp;INT(A159),Loads!$A$3:$A$1000,"&lt;"&amp;(INT(A159)+1),Loads!$B$3:$B$1000,B159,Loads!$C$3:$C$1000,C159)))</x:f>
        <x:v>0</x:v>
      </x:c>
      <x:c r="L159" s="434" t="n">
        <x:f>IF(COUNTIF(Library!$B$3:$B$58,C159)&lt;&gt;1,"",IF(COUNTIFS(Library!$B$3:$B$58,C159,Library!$E$3:$E$58,"&lt;&gt;")=0,0,INDEX(Library!$E$3:$E$58,MATCH(C159,Library!$B$3:$B$58,0))))</x:f>
        <x:v>0.04</x:v>
      </x:c>
      <x:c r="M159" s="432" t="n">
        <x:f>IF(OR(COUNT(J159:L159)&lt;&gt;3,J159&lt;0,J159&gt;10,K159&lt;0,L159&lt;0,COUNTIFS(Library!$B$3:$B$58,C159,Library!$D$3:$D$58,D159)&lt;&gt;1),"",MIN(10,J159*(1+K159*L159)))</x:f>
        <x:v>8</x:v>
      </x:c>
      <x:c r="N159" s="432" t="n">
        <x:f>IF(D159="seconds",IF(AND(ISNUMBER($B$177),$B$177&gt;0),G159/$B$177,""),IF(D159="reps/leg",G159*2,G159))</x:f>
        <x:v>3</x:v>
      </x:c>
      <x:c r="O159" s="432" t="n">
        <x:f>IF(COUNT(M159:N159)&lt;&gt;2,"",M159*N159)</x:f>
        <x:v>24</x:v>
      </x:c>
      <x:c r="P159" s="432" t="n">
        <x:f>IF(COUNT(O159:O162)&lt;&gt;COUNT(N159:N162),"",IF(SUM(N159:N162)=0,0,ROUND(SUM(O159:O162)/SUM(N159:N162),1)))</x:f>
        <x:v>5.2</x:v>
      </x:c>
      <x:c r="Q159" s="432" t="str">
        <x:f>IF(COUNT(I159:I162)=0,"",MEDIAN(I159:I162))</x:f>
      </x:c>
      <x:c r="R159" s="400" t="n">
        <x:f>COUNT(I159:I162)</x:f>
        <x:v>0</x:v>
      </x:c>
      <x:c r="S159" s="400" t="n">
        <x:v>4</x:v>
      </x:c>
      <x:c r="T159"/>
      <x:c r="U159"/>
      <x:c r="V159"/>
      <x:c r="W159"/>
      <x:c r="X159"/>
      <x:c r="Y159"/>
      <x:c r="Z159"/>
      <x:c r="AA159"/>
      <x:c r="AB159"/>
    </x:row>
    <x:row r="160" ht="38" hidden="0" customHeight="1">
      <x:c r="A160" s="402" t="n">
        <x:f>Daily!A47</x:f>
        <x:v>46398.5</x:v>
      </x:c>
      <x:c r="B160" s="391" t="str">
        <x:f>Daily!D47</x:f>
        <x:v>Skill A + Cal-Intervals</x:v>
      </x:c>
      <x:c r="C160" s="400" t="str">
        <x:v>Pistol test</x:v>
      </x:c>
      <x:c r="D160" s="400" t="str">
        <x:v>reps/leg</x:v>
      </x:c>
      <x:c r="E160" s="400" t="n">
        <x:v>1</x:v>
      </x:c>
      <x:c r="F160" s="400" t="n">
        <x:v>5</x:v>
      </x:c>
      <x:c r="G160" s="400" t="n">
        <x:f>E160*F160</x:f>
        <x:v>5</x:v>
      </x:c>
      <x:c r="H160" s="400"/>
      <x:c r="I160" s="432"/>
      <x:c r="J160" s="432" t="n">
        <x:f>IF(COUNTIF(Library!$B$3:$B$58,C160)&lt;&gt;1,"",INDEX(Library!$C$3:$C$58,MATCH(C160,Library!$B$3:$B$58,0)))</x:f>
        <x:v>8</x:v>
      </x:c>
      <x:c r="K160" s="433" t="n">
        <x:f>IF(COUNTIFS(Loads!$A$3:$A$1000,"&gt;="&amp;INT(A160),Loads!$A$3:$A$1000,"&lt;"&amp;(INT(A160)+1),Loads!$B$3:$B$1000,B160,Loads!$C$3:$C$1000,C160)=0,0,IF(OR(COUNTIFS(Loads!$A$3:$A$1000,"&gt;="&amp;INT(A160),Loads!$A$3:$A$1000,"&lt;"&amp;(INT(A160)+1),Loads!$B$3:$B$1000,B160,Loads!$C$3:$C$1000,C160)&lt;&gt;1,COUNTIFS(Loads!$A$3:$A$1000,"&gt;="&amp;INT(A160),Loads!$A$3:$A$1000,"&lt;"&amp;(INT(A160)+1),Loads!$B$3:$B$1000,B160,Loads!$C$3:$C$1000,C160,Loads!$E$3:$E$1000,"&lt;&gt;")&lt;&gt;1),"",SUMIFS(Loads!$E$3:$E$1000,Loads!$A$3:$A$1000,"&gt;="&amp;INT(A160),Loads!$A$3:$A$1000,"&lt;"&amp;(INT(A160)+1),Loads!$B$3:$B$1000,B160,Loads!$C$3:$C$1000,C160)))</x:f>
        <x:v>0</x:v>
      </x:c>
      <x:c r="L160" s="434" t="n">
        <x:f>IF(COUNTIF(Library!$B$3:$B$58,C160)&lt;&gt;1,"",IF(COUNTIFS(Library!$B$3:$B$58,C160,Library!$E$3:$E$58,"&lt;&gt;")=0,0,INDEX(Library!$E$3:$E$58,MATCH(C160,Library!$B$3:$B$58,0))))</x:f>
        <x:v>0.03</x:v>
      </x:c>
      <x:c r="M160" s="432" t="n">
        <x:f>IF(OR(COUNT(J160:L160)&lt;&gt;3,J160&lt;0,J160&gt;10,K160&lt;0,L160&lt;0,COUNTIFS(Library!$B$3:$B$58,C160,Library!$D$3:$D$58,D160)&lt;&gt;1),"",MIN(10,J160*(1+K160*L160)))</x:f>
        <x:v>8</x:v>
      </x:c>
      <x:c r="N160" s="432" t="n">
        <x:f>IF(D160="seconds",IF(AND(ISNUMBER($B$177),$B$177&gt;0),G160/$B$177,""),IF(D160="reps/leg",G160*2,G160))</x:f>
        <x:v>10</x:v>
      </x:c>
      <x:c r="O160" s="432" t="n">
        <x:f>IF(COUNT(M160:N160)&lt;&gt;2,"",M160*N160)</x:f>
        <x:v>80</x:v>
      </x:c>
      <x:c r="P160" s="432"/>
      <x:c r="Q160" s="432"/>
      <x:c r="R160" s="400"/>
      <x:c r="S160" s="400"/>
      <x:c r="T160"/>
      <x:c r="U160"/>
      <x:c r="V160"/>
      <x:c r="W160"/>
      <x:c r="X160"/>
      <x:c r="Y160"/>
      <x:c r="Z160"/>
      <x:c r="AA160"/>
      <x:c r="AB160"/>
    </x:row>
    <x:row r="161" ht="38" hidden="0" customHeight="1">
      <x:c r="A161" s="402" t="n">
        <x:f>Daily!A47</x:f>
        <x:v>46398.5</x:v>
      </x:c>
      <x:c r="B161" s="391" t="str">
        <x:f>Daily!D47</x:f>
        <x:v>Skill A + Cal-Intervals</x:v>
      </x:c>
      <x:c r="C161" s="400" t="str">
        <x:v>Easy scapular pull-up</x:v>
      </x:c>
      <x:c r="D161" s="400" t="str">
        <x:v>reps</x:v>
      </x:c>
      <x:c r="E161" s="400" t="n">
        <x:v>1</x:v>
      </x:c>
      <x:c r="F161" s="400" t="n">
        <x:v>5</x:v>
      </x:c>
      <x:c r="G161" s="400" t="n">
        <x:f>E161*F161</x:f>
        <x:v>5</x:v>
      </x:c>
      <x:c r="H161" s="400"/>
      <x:c r="I161" s="432"/>
      <x:c r="J161" s="432" t="n">
        <x:f>IF(COUNTIF(Library!$B$3:$B$58,C161)&lt;&gt;1,"",INDEX(Library!$C$3:$C$58,MATCH(C161,Library!$B$3:$B$58,0)))</x:f>
        <x:v>1</x:v>
      </x:c>
      <x:c r="K161" s="433" t="n">
        <x:f>IF(COUNTIFS(Loads!$A$3:$A$1000,"&gt;="&amp;INT(A161),Loads!$A$3:$A$1000,"&lt;"&amp;(INT(A161)+1),Loads!$B$3:$B$1000,B161,Loads!$C$3:$C$1000,C161)=0,0,IF(OR(COUNTIFS(Loads!$A$3:$A$1000,"&gt;="&amp;INT(A161),Loads!$A$3:$A$1000,"&lt;"&amp;(INT(A161)+1),Loads!$B$3:$B$1000,B161,Loads!$C$3:$C$1000,C161)&lt;&gt;1,COUNTIFS(Loads!$A$3:$A$1000,"&gt;="&amp;INT(A161),Loads!$A$3:$A$1000,"&lt;"&amp;(INT(A161)+1),Loads!$B$3:$B$1000,B161,Loads!$C$3:$C$1000,C161,Loads!$E$3:$E$1000,"&lt;&gt;")&lt;&gt;1),"",SUMIFS(Loads!$E$3:$E$1000,Loads!$A$3:$A$1000,"&gt;="&amp;INT(A161),Loads!$A$3:$A$1000,"&lt;"&amp;(INT(A161)+1),Loads!$B$3:$B$1000,B161,Loads!$C$3:$C$1000,C161)))</x:f>
        <x:v>0</x:v>
      </x:c>
      <x:c r="L161" s="434" t="n">
        <x:f>IF(COUNTIF(Library!$B$3:$B$58,C161)&lt;&gt;1,"",IF(COUNTIFS(Library!$B$3:$B$58,C161,Library!$E$3:$E$58,"&lt;&gt;")=0,0,INDEX(Library!$E$3:$E$58,MATCH(C161,Library!$B$3:$B$58,0))))</x:f>
        <x:v>0.04</x:v>
      </x:c>
      <x:c r="M161" s="432" t="n">
        <x:f>IF(OR(COUNT(J161:L161)&lt;&gt;3,J161&lt;0,J161&gt;10,K161&lt;0,L161&lt;0,COUNTIFS(Library!$B$3:$B$58,C161,Library!$D$3:$D$58,D161)&lt;&gt;1),"",MIN(10,J161*(1+K161*L161)))</x:f>
        <x:v>1</x:v>
      </x:c>
      <x:c r="N161" s="432" t="n">
        <x:f>IF(D161="seconds",IF(AND(ISNUMBER($B$177),$B$177&gt;0),G161/$B$177,""),IF(D161="reps/leg",G161*2,G161))</x:f>
        <x:v>5</x:v>
      </x:c>
      <x:c r="O161" s="432" t="n">
        <x:f>IF(COUNT(M161:N161)&lt;&gt;2,"",M161*N161)</x:f>
        <x:v>5</x:v>
      </x:c>
      <x:c r="P161" s="432"/>
      <x:c r="Q161" s="432"/>
      <x:c r="R161" s="400"/>
      <x:c r="S161" s="400"/>
      <x:c r="T161"/>
      <x:c r="U161"/>
      <x:c r="V161"/>
      <x:c r="W161"/>
      <x:c r="X161"/>
      <x:c r="Y161"/>
      <x:c r="Z161"/>
      <x:c r="AA161"/>
      <x:c r="AB161"/>
    </x:row>
    <x:row r="162" ht="38" hidden="0" customHeight="1">
      <x:c r="A162" s="402" t="n">
        <x:f>Daily!A47</x:f>
        <x:v>46398.5</x:v>
      </x:c>
      <x:c r="B162" s="391" t="str">
        <x:f>Daily!D47</x:f>
        <x:v>Skill A + Cal-Intervals</x:v>
      </x:c>
      <x:c r="C162" s="400" t="str">
        <x:v>Cal-Intervals</x:v>
      </x:c>
      <x:c r="D162" s="400" t="str">
        <x:v>rounds</x:v>
      </x:c>
      <x:c r="E162" s="400" t="n">
        <x:v>1</x:v>
      </x:c>
      <x:c r="F162" s="400" t="n">
        <x:v>2</x:v>
      </x:c>
      <x:c r="G162" s="400" t="n">
        <x:v>2</x:v>
      </x:c>
      <x:c r="H162" s="400" t="str">
        <x:f>IF(AND(OR(Daily!Z47=TRUE,Daily!AB47=TRUE),ISNUMBER(Daily!AA47)),Daily!AA47,"")</x:f>
      </x:c>
      <x:c r="I162" s="432" t="str">
        <x:f>IF(AND(ISNUMBER(H162),G162&gt;0),100*H162/G162,"")</x:f>
      </x:c>
      <x:c r="J162" s="432" t="n">
        <x:f>IF(OR(COUNT(Library!F67:F70)&lt;&gt;4,COUNT(Library!E67:E70)&lt;&gt;4,SUM(Library!E67:E70)=0),"",SUM(Library!F67:F70)/SUM(Library!E67:E70))</x:f>
        <x:v>5</x:v>
      </x:c>
      <x:c r="K162" s="433"/>
      <x:c r="L162" s="434"/>
      <x:c r="M162" s="432" t="n">
        <x:f>IF(ISNUMBER(J162),J162,"")</x:f>
        <x:v>5</x:v>
      </x:c>
      <x:c r="N162" s="432" t="n">
        <x:f>IF(COUNT(Library!E67:E70)&lt;&gt;4,"",G162*SUM(Library!E67:E70))</x:f>
        <x:v>80</x:v>
      </x:c>
      <x:c r="O162" s="432" t="n">
        <x:f>IF(COUNT(Library!F67:F70)&lt;&gt;4,"",G162*SUM(Library!F67:F70))</x:f>
        <x:v>400</x:v>
      </x:c>
      <x:c r="P162" s="432"/>
      <x:c r="Q162" s="432"/>
      <x:c r="R162" s="400"/>
      <x:c r="S162" s="400"/>
      <x:c r="T162"/>
      <x:c r="U162"/>
      <x:c r="V162"/>
      <x:c r="W162"/>
      <x:c r="X162"/>
      <x:c r="Y162"/>
      <x:c r="Z162"/>
      <x:c r="AA162"/>
      <x:c r="AB162"/>
    </x:row>
    <x:row r="163" ht="38" hidden="0" customHeight="1">
      <x:c r="A163" s="402" t="n">
        <x:f>Daily!A48</x:f>
        <x:v>46399.5</x:v>
      </x:c>
      <x:c r="B163" s="391" t="str">
        <x:f>Daily!D48</x:f>
        <x:v>Handstand technique</x:v>
      </x:c>
      <x:c r="C163" s="400" t="str">
        <x:v>Wrist/shoulder mobility</x:v>
      </x:c>
      <x:c r="D163" s="400" t="str">
        <x:v>seconds</x:v>
      </x:c>
      <x:c r="E163" s="400" t="n">
        <x:v>1</x:v>
      </x:c>
      <x:c r="F163" s="400" t="n">
        <x:v>60</x:v>
      </x:c>
      <x:c r="G163" s="400" t="n">
        <x:f>E163*F163</x:f>
        <x:v>60</x:v>
      </x:c>
      <x:c r="H163" s="400" t="str">
        <x:f>IF(AND(OR(Daily!H48=TRUE,Daily!AB48=TRUE),COUNT(Daily!I48)&gt;0),SUM(Daily!I48)*86400,"")</x:f>
      </x:c>
      <x:c r="I163" s="432" t="str">
        <x:f>IF(AND(ISNUMBER(H163),ISNUMBER(G163),G163&gt;0),100*H163/G163,"")</x:f>
      </x:c>
      <x:c r="J163" s="432" t="n">
        <x:f>IF(COUNTIF(Library!$B$3:$B$58,C163)&lt;&gt;1,"",INDEX(Library!$C$3:$C$58,MATCH(C163,Library!$B$3:$B$58,0)))</x:f>
        <x:v>1</x:v>
      </x:c>
      <x:c r="K163" s="433" t="n">
        <x:f>IF(COUNTIFS(Loads!$A$3:$A$1000,"&gt;="&amp;INT(A163),Loads!$A$3:$A$1000,"&lt;"&amp;(INT(A163)+1),Loads!$B$3:$B$1000,B163,Loads!$C$3:$C$1000,C163)=0,0,IF(OR(COUNTIFS(Loads!$A$3:$A$1000,"&gt;="&amp;INT(A163),Loads!$A$3:$A$1000,"&lt;"&amp;(INT(A163)+1),Loads!$B$3:$B$1000,B163,Loads!$C$3:$C$1000,C163)&lt;&gt;1,COUNTIFS(Loads!$A$3:$A$1000,"&gt;="&amp;INT(A163),Loads!$A$3:$A$1000,"&lt;"&amp;(INT(A163)+1),Loads!$B$3:$B$1000,B163,Loads!$C$3:$C$1000,C163,Loads!$E$3:$E$1000,"&lt;&gt;")&lt;&gt;1),"",SUMIFS(Loads!$E$3:$E$1000,Loads!$A$3:$A$1000,"&gt;="&amp;INT(A163),Loads!$A$3:$A$1000,"&lt;"&amp;(INT(A163)+1),Loads!$B$3:$B$1000,B163,Loads!$C$3:$C$1000,C163)))</x:f>
        <x:v>0</x:v>
      </x:c>
      <x:c r="L163" s="434" t="n">
        <x:f>IF(COUNTIF(Library!$B$3:$B$58,C163)&lt;&gt;1,"",IF(COUNTIFS(Library!$B$3:$B$58,C163,Library!$E$3:$E$58,"&lt;&gt;")=0,0,INDEX(Library!$E$3:$E$58,MATCH(C163,Library!$B$3:$B$58,0))))</x:f>
        <x:v>0</x:v>
      </x:c>
      <x:c r="M163" s="432" t="n">
        <x:f>IF(OR(COUNT(J163:L163)&lt;&gt;3,J163&lt;0,J163&gt;10,K163&lt;0,L163&lt;0,COUNTIFS(Library!$B$3:$B$58,C163,Library!$D$3:$D$58,D163)&lt;&gt;1),"",MIN(10,J163*(1+K163*L163)))</x:f>
        <x:v>1</x:v>
      </x:c>
      <x:c r="N163" s="432" t="n">
        <x:f>IF(D163="seconds",IF(AND(ISNUMBER($B$177),$B$177&gt;0),G163/$B$177,""),IF(D163="reps/leg",G163*2,G163))</x:f>
        <x:v>20</x:v>
      </x:c>
      <x:c r="O163" s="432" t="n">
        <x:f>IF(COUNT(M163:N163)&lt;&gt;2,"",M163*N163)</x:f>
        <x:v>20</x:v>
      </x:c>
      <x:c r="P163" s="432" t="n">
        <x:f>IF(COUNT(O163:O165)&lt;&gt;COUNT(N163:N165),"",IF(SUM(N163:N165)=0,0,ROUND(SUM(O163:O165)/SUM(N163:N165),1)))</x:f>
        <x:v>1</x:v>
      </x:c>
      <x:c r="Q163" s="432" t="str">
        <x:f>IF(COUNT(I163:I165)=0,"",MEDIAN(I163:I165))</x:f>
      </x:c>
      <x:c r="R163" s="400" t="n">
        <x:f>COUNT(I163:I165)</x:f>
        <x:v>0</x:v>
      </x:c>
      <x:c r="S163" s="400" t="n">
        <x:v>3</x:v>
      </x:c>
      <x:c r="T163"/>
      <x:c r="U163"/>
      <x:c r="V163"/>
      <x:c r="W163"/>
      <x:c r="X163"/>
      <x:c r="Y163"/>
      <x:c r="Z163"/>
      <x:c r="AA163"/>
      <x:c r="AB163"/>
    </x:row>
    <x:row r="164" ht="38" hidden="0" customHeight="1">
      <x:c r="A164" s="402" t="n">
        <x:f>Daily!A48</x:f>
        <x:v>46399.5</x:v>
      </x:c>
      <x:c r="B164" s="391" t="str">
        <x:f>Daily!D48</x:f>
        <x:v>Handstand technique</x:v>
      </x:c>
      <x:c r="C164" s="400" t="str">
        <x:v>Easy chest-to-wall hold</x:v>
      </x:c>
      <x:c r="D164" s="400" t="str">
        <x:v>seconds</x:v>
      </x:c>
      <x:c r="E164" s="400" t="n">
        <x:v>2</x:v>
      </x:c>
      <x:c r="F164" s="400" t="n">
        <x:v>10</x:v>
      </x:c>
      <x:c r="G164" s="400" t="n">
        <x:f>E164*F164</x:f>
        <x:v>20</x:v>
      </x:c>
      <x:c r="H164" s="400" t="str">
        <x:f>IF(AND(OR(Daily!N48=TRUE,Daily!AB48=TRUE),COUNT(Daily!O48,Daily!P48)&gt;0),SUM(Daily!O48,Daily!P48)*86400,"")</x:f>
      </x:c>
      <x:c r="I164" s="432" t="str">
        <x:f>IF(AND(ISNUMBER(H164),ISNUMBER(G164),G164&gt;0),100*H164/G164,"")</x:f>
      </x:c>
      <x:c r="J164" s="432" t="n">
        <x:f>IF(COUNTIF(Library!$B$3:$B$58,C164)&lt;&gt;1,"",INDEX(Library!$C$3:$C$58,MATCH(C164,Library!$B$3:$B$58,0)))</x:f>
        <x:v>1</x:v>
      </x:c>
      <x:c r="K164" s="433" t="n">
        <x:f>IF(COUNTIFS(Loads!$A$3:$A$1000,"&gt;="&amp;INT(A164),Loads!$A$3:$A$1000,"&lt;"&amp;(INT(A164)+1),Loads!$B$3:$B$1000,B164,Loads!$C$3:$C$1000,C164)=0,0,IF(OR(COUNTIFS(Loads!$A$3:$A$1000,"&gt;="&amp;INT(A164),Loads!$A$3:$A$1000,"&lt;"&amp;(INT(A164)+1),Loads!$B$3:$B$1000,B164,Loads!$C$3:$C$1000,C164)&lt;&gt;1,COUNTIFS(Loads!$A$3:$A$1000,"&gt;="&amp;INT(A164),Loads!$A$3:$A$1000,"&lt;"&amp;(INT(A164)+1),Loads!$B$3:$B$1000,B164,Loads!$C$3:$C$1000,C164,Loads!$E$3:$E$1000,"&lt;&gt;")&lt;&gt;1),"",SUMIFS(Loads!$E$3:$E$1000,Loads!$A$3:$A$1000,"&gt;="&amp;INT(A164),Loads!$A$3:$A$1000,"&lt;"&amp;(INT(A164)+1),Loads!$B$3:$B$1000,B164,Loads!$C$3:$C$1000,C164)))</x:f>
        <x:v>0</x:v>
      </x:c>
      <x:c r="L164" s="434" t="n">
        <x:f>IF(COUNTIF(Library!$B$3:$B$58,C164)&lt;&gt;1,"",IF(COUNTIFS(Library!$B$3:$B$58,C164,Library!$E$3:$E$58,"&lt;&gt;")=0,0,INDEX(Library!$E$3:$E$58,MATCH(C164,Library!$B$3:$B$58,0))))</x:f>
        <x:v>0</x:v>
      </x:c>
      <x:c r="M164" s="432" t="n">
        <x:f>IF(OR(COUNT(J164:L164)&lt;&gt;3,J164&lt;0,J164&gt;10,K164&lt;0,L164&lt;0,COUNTIFS(Library!$B$3:$B$58,C164,Library!$D$3:$D$58,D164)&lt;&gt;1),"",MIN(10,J164*(1+K164*L164)))</x:f>
        <x:v>1</x:v>
      </x:c>
      <x:c r="N164" s="432" t="n">
        <x:f>IF(D164="seconds",IF(AND(ISNUMBER($B$177),$B$177&gt;0),G164/$B$177,""),IF(D164="reps/leg",G164*2,G164))</x:f>
        <x:v>6.666666666666667</x:v>
      </x:c>
      <x:c r="O164" s="432" t="n">
        <x:f>IF(COUNT(M164:N164)&lt;&gt;2,"",M164*N164)</x:f>
        <x:v>6.666666666666667</x:v>
      </x:c>
      <x:c r="P164" s="432"/>
      <x:c r="Q164" s="432"/>
      <x:c r="R164" s="400"/>
      <x:c r="S164" s="400"/>
      <x:c r="T164"/>
      <x:c r="U164"/>
      <x:c r="V164"/>
      <x:c r="W164"/>
      <x:c r="X164"/>
      <x:c r="Y164"/>
      <x:c r="Z164"/>
      <x:c r="AA164"/>
      <x:c r="AB164"/>
    </x:row>
    <x:row r="165" ht="38" hidden="0" customHeight="1">
      <x:c r="A165" s="402" t="n">
        <x:f>Daily!A48</x:f>
        <x:v>46399.5</x:v>
      </x:c>
      <x:c r="B165" s="391" t="str">
        <x:f>Daily!D48</x:f>
        <x:v>Handstand technique</x:v>
      </x:c>
      <x:c r="C165" s="400" t="str">
        <x:v>Wall handstand line drill</x:v>
      </x:c>
      <x:c r="D165" s="400" t="str">
        <x:v>seconds</x:v>
      </x:c>
      <x:c r="E165" s="400" t="n">
        <x:v>1</x:v>
      </x:c>
      <x:c r="F165" s="400" t="n">
        <x:v>10</x:v>
      </x:c>
      <x:c r="G165" s="400" t="n">
        <x:f>E165*F165</x:f>
        <x:v>10</x:v>
      </x:c>
      <x:c r="H165" s="400" t="str">
        <x:f>IF(AND(OR(Daily!T48=TRUE,Daily!AB48=TRUE),COUNT(Daily!U48)&gt;0),SUM(Daily!U48)*86400,"")</x:f>
      </x:c>
      <x:c r="I165" s="432" t="str">
        <x:f>IF(AND(ISNUMBER(H165),ISNUMBER(G165),G165&gt;0),100*H165/G165,"")</x:f>
      </x:c>
      <x:c r="J165" s="432" t="n">
        <x:f>IF(COUNTIF(Library!$B$3:$B$58,C165)&lt;&gt;1,"",INDEX(Library!$C$3:$C$58,MATCH(C165,Library!$B$3:$B$58,0)))</x:f>
        <x:v>1</x:v>
      </x:c>
      <x:c r="K165" s="433" t="n">
        <x:f>IF(COUNTIFS(Loads!$A$3:$A$1000,"&gt;="&amp;INT(A165),Loads!$A$3:$A$1000,"&lt;"&amp;(INT(A165)+1),Loads!$B$3:$B$1000,B165,Loads!$C$3:$C$1000,C165)=0,0,IF(OR(COUNTIFS(Loads!$A$3:$A$1000,"&gt;="&amp;INT(A165),Loads!$A$3:$A$1000,"&lt;"&amp;(INT(A165)+1),Loads!$B$3:$B$1000,B165,Loads!$C$3:$C$1000,C165)&lt;&gt;1,COUNTIFS(Loads!$A$3:$A$1000,"&gt;="&amp;INT(A165),Loads!$A$3:$A$1000,"&lt;"&amp;(INT(A165)+1),Loads!$B$3:$B$1000,B165,Loads!$C$3:$C$1000,C165,Loads!$E$3:$E$1000,"&lt;&gt;")&lt;&gt;1),"",SUMIFS(Loads!$E$3:$E$1000,Loads!$A$3:$A$1000,"&gt;="&amp;INT(A165),Loads!$A$3:$A$1000,"&lt;"&amp;(INT(A165)+1),Loads!$B$3:$B$1000,B165,Loads!$C$3:$C$1000,C165)))</x:f>
        <x:v>0</x:v>
      </x:c>
      <x:c r="L165" s="434" t="n">
        <x:f>IF(COUNTIF(Library!$B$3:$B$58,C165)&lt;&gt;1,"",IF(COUNTIFS(Library!$B$3:$B$58,C165,Library!$E$3:$E$58,"&lt;&gt;")=0,0,INDEX(Library!$E$3:$E$58,MATCH(C165,Library!$B$3:$B$58,0))))</x:f>
        <x:v>0</x:v>
      </x:c>
      <x:c r="M165" s="432" t="n">
        <x:f>IF(OR(COUNT(J165:L165)&lt;&gt;3,J165&lt;0,J165&gt;10,K165&lt;0,L165&lt;0,COUNTIFS(Library!$B$3:$B$58,C165,Library!$D$3:$D$58,D165)&lt;&gt;1),"",MIN(10,J165*(1+K165*L165)))</x:f>
        <x:v>1</x:v>
      </x:c>
      <x:c r="N165" s="432" t="n">
        <x:f>IF(D165="seconds",IF(AND(ISNUMBER($B$177),$B$177&gt;0),G165/$B$177,""),IF(D165="reps/leg",G165*2,G165))</x:f>
        <x:v>3.3333333333333335</x:v>
      </x:c>
      <x:c r="O165" s="432" t="n">
        <x:f>IF(COUNT(M165:N165)&lt;&gt;2,"",M165*N165)</x:f>
        <x:v>3.3333333333333335</x:v>
      </x:c>
      <x:c r="P165" s="432"/>
      <x:c r="Q165" s="432"/>
      <x:c r="R165" s="400"/>
      <x:c r="S165" s="400"/>
      <x:c r="T165"/>
      <x:c r="U165"/>
      <x:c r="V165"/>
      <x:c r="W165"/>
      <x:c r="X165"/>
      <x:c r="Y165"/>
      <x:c r="Z165"/>
      <x:c r="AA165"/>
      <x:c r="AB165"/>
    </x:row>
    <x:row r="166" ht="38" hidden="0" customHeight="1">
      <x:c r="A166" s="402" t="n">
        <x:f>Daily!A49</x:f>
        <x:v>46401.5</x:v>
      </x:c>
      <x:c r="B166" s="391" t="str">
        <x:f>Daily!D49</x:f>
        <x:v>Skill B + Cal-Intervals</x:v>
      </x:c>
      <x:c r="C166" s="400" t="str">
        <x:v>Wall HSPU test</x:v>
      </x:c>
      <x:c r="D166" s="400" t="str">
        <x:v>reps</x:v>
      </x:c>
      <x:c r="E166" s="400" t="n">
        <x:v>1</x:v>
      </x:c>
      <x:c r="F166" s="400" t="n">
        <x:v>5</x:v>
      </x:c>
      <x:c r="G166" s="400" t="n">
        <x:f>E166*F166</x:f>
        <x:v>5</x:v>
      </x:c>
      <x:c r="H166" s="400" t="str">
        <x:f>IF(AND(OR(Daily!N49=TRUE,Daily!AB49=TRUE),COUNT(Daily!O49)&gt;0),SUM(Daily!O49)*86400,"")</x:f>
      </x:c>
      <x:c r="I166" s="432" t="str">
        <x:f>IF(AND(ISNUMBER(H166),ISNUMBER(G166),G166&gt;0),100*H166/G166,"")</x:f>
      </x:c>
      <x:c r="J166" s="432" t="n">
        <x:f>IF(COUNTIF(Library!$B$3:$B$58,C166)&lt;&gt;1,"",INDEX(Library!$C$3:$C$58,MATCH(C166,Library!$B$3:$B$58,0)))</x:f>
        <x:v>8</x:v>
      </x:c>
      <x:c r="K166" s="433" t="n">
        <x:f>IF(COUNTIFS(Loads!$A$3:$A$1000,"&gt;="&amp;INT(A166),Loads!$A$3:$A$1000,"&lt;"&amp;(INT(A166)+1),Loads!$B$3:$B$1000,B166,Loads!$C$3:$C$1000,C166)=0,0,IF(OR(COUNTIFS(Loads!$A$3:$A$1000,"&gt;="&amp;INT(A166),Loads!$A$3:$A$1000,"&lt;"&amp;(INT(A166)+1),Loads!$B$3:$B$1000,B166,Loads!$C$3:$C$1000,C166)&lt;&gt;1,COUNTIFS(Loads!$A$3:$A$1000,"&gt;="&amp;INT(A166),Loads!$A$3:$A$1000,"&lt;"&amp;(INT(A166)+1),Loads!$B$3:$B$1000,B166,Loads!$C$3:$C$1000,C166,Loads!$E$3:$E$1000,"&lt;&gt;")&lt;&gt;1),"",SUMIFS(Loads!$E$3:$E$1000,Loads!$A$3:$A$1000,"&gt;="&amp;INT(A166),Loads!$A$3:$A$1000,"&lt;"&amp;(INT(A166)+1),Loads!$B$3:$B$1000,B166,Loads!$C$3:$C$1000,C166)))</x:f>
        <x:v>0</x:v>
      </x:c>
      <x:c r="L166" s="434" t="n">
        <x:f>IF(COUNTIF(Library!$B$3:$B$58,C166)&lt;&gt;1,"",IF(COUNTIFS(Library!$B$3:$B$58,C166,Library!$E$3:$E$58,"&lt;&gt;")=0,0,INDEX(Library!$E$3:$E$58,MATCH(C166,Library!$B$3:$B$58,0))))</x:f>
        <x:v>0</x:v>
      </x:c>
      <x:c r="M166" s="432" t="n">
        <x:f>IF(OR(COUNT(J166:L166)&lt;&gt;3,J166&lt;0,J166&gt;10,K166&lt;0,L166&lt;0,COUNTIFS(Library!$B$3:$B$58,C166,Library!$D$3:$D$58,D166)&lt;&gt;1),"",MIN(10,J166*(1+K166*L166)))</x:f>
        <x:v>8</x:v>
      </x:c>
      <x:c r="N166" s="432" t="n">
        <x:f>IF(D166="seconds",IF(AND(ISNUMBER($B$177),$B$177&gt;0),G166/$B$177,""),IF(D166="reps/leg",G166*2,G166))</x:f>
        <x:v>5</x:v>
      </x:c>
      <x:c r="O166" s="432" t="n">
        <x:f>IF(COUNT(M166:N166)&lt;&gt;2,"",M166*N166)</x:f>
        <x:v>40</x:v>
      </x:c>
      <x:c r="P166" s="432" t="n">
        <x:f>IF(COUNT(O166:O169)&lt;&gt;COUNT(N166:N169),"",IF(SUM(N166:N169)=0,0,ROUND(SUM(O166:O169)/SUM(N166:N169),1)))</x:f>
        <x:v>3.7</x:v>
      </x:c>
      <x:c r="Q166" s="432" t="str">
        <x:f>IF(COUNT(I166:I169)=0,"",MEDIAN(I166:I169))</x:f>
      </x:c>
      <x:c r="R166" s="400" t="n">
        <x:f>COUNT(I166:I169)</x:f>
        <x:v>0</x:v>
      </x:c>
      <x:c r="S166" s="400" t="n">
        <x:v>4</x:v>
      </x:c>
      <x:c r="T166"/>
      <x:c r="U166"/>
      <x:c r="V166"/>
      <x:c r="W166"/>
      <x:c r="X166"/>
      <x:c r="Y166"/>
      <x:c r="Z166"/>
      <x:c r="AA166"/>
      <x:c r="AB166"/>
    </x:row>
    <x:row r="167" ht="38" hidden="0" customHeight="1">
      <x:c r="A167" s="402" t="n">
        <x:f>Daily!A49</x:f>
        <x:v>46401.5</x:v>
      </x:c>
      <x:c r="B167" s="391" t="str">
        <x:f>Daily!D49</x:f>
        <x:v>Skill B + Cal-Intervals</x:v>
      </x:c>
      <x:c r="C167" s="400" t="str">
        <x:v>Easy wall handstand</x:v>
      </x:c>
      <x:c r="D167" s="400" t="str">
        <x:v>seconds</x:v>
      </x:c>
      <x:c r="E167" s="400" t="n">
        <x:v>1</x:v>
      </x:c>
      <x:c r="F167" s="400" t="n">
        <x:v>15</x:v>
      </x:c>
      <x:c r="G167" s="400" t="n">
        <x:f>E167*F167</x:f>
        <x:v>15</x:v>
      </x:c>
      <x:c r="H167" s="400" t="str">
        <x:f>IF(AND(OR(Daily!T49=TRUE,Daily!AB49=TRUE),COUNT(Daily!U49)&gt;0),SUM(Daily!U49)*86400,"")</x:f>
      </x:c>
      <x:c r="I167" s="432" t="str">
        <x:f>IF(AND(ISNUMBER(H167),ISNUMBER(G167),G167&gt;0),100*H167/G167,"")</x:f>
      </x:c>
      <x:c r="J167" s="432" t="n">
        <x:f>IF(COUNTIF(Library!$B$3:$B$58,C167)&lt;&gt;1,"",INDEX(Library!$C$3:$C$58,MATCH(C167,Library!$B$3:$B$58,0)))</x:f>
        <x:v>1</x:v>
      </x:c>
      <x:c r="K167" s="433" t="n">
        <x:f>IF(COUNTIFS(Loads!$A$3:$A$1000,"&gt;="&amp;INT(A167),Loads!$A$3:$A$1000,"&lt;"&amp;(INT(A167)+1),Loads!$B$3:$B$1000,B167,Loads!$C$3:$C$1000,C167)=0,0,IF(OR(COUNTIFS(Loads!$A$3:$A$1000,"&gt;="&amp;INT(A167),Loads!$A$3:$A$1000,"&lt;"&amp;(INT(A167)+1),Loads!$B$3:$B$1000,B167,Loads!$C$3:$C$1000,C167)&lt;&gt;1,COUNTIFS(Loads!$A$3:$A$1000,"&gt;="&amp;INT(A167),Loads!$A$3:$A$1000,"&lt;"&amp;(INT(A167)+1),Loads!$B$3:$B$1000,B167,Loads!$C$3:$C$1000,C167,Loads!$E$3:$E$1000,"&lt;&gt;")&lt;&gt;1),"",SUMIFS(Loads!$E$3:$E$1000,Loads!$A$3:$A$1000,"&gt;="&amp;INT(A167),Loads!$A$3:$A$1000,"&lt;"&amp;(INT(A167)+1),Loads!$B$3:$B$1000,B167,Loads!$C$3:$C$1000,C167)))</x:f>
        <x:v>0</x:v>
      </x:c>
      <x:c r="L167" s="434" t="n">
        <x:f>IF(COUNTIF(Library!$B$3:$B$58,C167)&lt;&gt;1,"",IF(COUNTIFS(Library!$B$3:$B$58,C167,Library!$E$3:$E$58,"&lt;&gt;")=0,0,INDEX(Library!$E$3:$E$58,MATCH(C167,Library!$B$3:$B$58,0))))</x:f>
        <x:v>0</x:v>
      </x:c>
      <x:c r="M167" s="432" t="n">
        <x:f>IF(OR(COUNT(J167:L167)&lt;&gt;3,J167&lt;0,J167&gt;10,K167&lt;0,L167&lt;0,COUNTIFS(Library!$B$3:$B$58,C167,Library!$D$3:$D$58,D167)&lt;&gt;1),"",MIN(10,J167*(1+K167*L167)))</x:f>
        <x:v>1</x:v>
      </x:c>
      <x:c r="N167" s="432" t="n">
        <x:f>IF(D167="seconds",IF(AND(ISNUMBER($B$177),$B$177&gt;0),G167/$B$177,""),IF(D167="reps/leg",G167*2,G167))</x:f>
        <x:v>5</x:v>
      </x:c>
      <x:c r="O167" s="432" t="n">
        <x:f>IF(COUNT(M167:N167)&lt;&gt;2,"",M167*N167)</x:f>
        <x:v>5</x:v>
      </x:c>
      <x:c r="P167" s="432"/>
      <x:c r="Q167" s="432"/>
      <x:c r="R167" s="400"/>
      <x:c r="S167" s="400"/>
      <x:c r="T167"/>
      <x:c r="U167"/>
      <x:c r="V167"/>
      <x:c r="W167"/>
      <x:c r="X167"/>
      <x:c r="Y167"/>
      <x:c r="Z167"/>
      <x:c r="AA167"/>
      <x:c r="AB167"/>
    </x:row>
    <x:row r="168" ht="38" hidden="0" customHeight="1">
      <x:c r="A168" s="402" t="n">
        <x:f>Daily!A49</x:f>
        <x:v>46401.5</x:v>
      </x:c>
      <x:c r="B168" s="391" t="str">
        <x:f>Daily!D49</x:f>
        <x:v>Skill B + Cal-Intervals</x:v>
      </x:c>
      <x:c r="C168" s="400" t="str">
        <x:v>Gentle wrist/shoulder mobility</x:v>
      </x:c>
      <x:c r="D168" s="400" t="str">
        <x:v>seconds</x:v>
      </x:c>
      <x:c r="E168" s="400" t="n">
        <x:v>1</x:v>
      </x:c>
      <x:c r="F168" s="400" t="n">
        <x:v>120</x:v>
      </x:c>
      <x:c r="G168" s="400" t="n">
        <x:f>E168*F168</x:f>
        <x:v>120</x:v>
      </x:c>
      <x:c r="H168" s="400" t="str">
        <x:f>IF(AND(OR(Daily!Z49=TRUE,Daily!AB49=TRUE),COUNT(Daily!AA49)&gt;0),SUM(Daily!AA49),"")</x:f>
      </x:c>
      <x:c r="I168" s="432" t="str">
        <x:f>IF(AND(ISNUMBER(H168),ISNUMBER(G168),G168&gt;0),100*H168/G168,"")</x:f>
      </x:c>
      <x:c r="J168" s="432" t="n">
        <x:f>IF(COUNTIF(Library!$B$3:$B$58,C168)&lt;&gt;1,"",INDEX(Library!$C$3:$C$58,MATCH(C168,Library!$B$3:$B$58,0)))</x:f>
        <x:v>1</x:v>
      </x:c>
      <x:c r="K168" s="433" t="n">
        <x:f>IF(COUNTIFS(Loads!$A$3:$A$1000,"&gt;="&amp;INT(A168),Loads!$A$3:$A$1000,"&lt;"&amp;(INT(A168)+1),Loads!$B$3:$B$1000,B168,Loads!$C$3:$C$1000,C168)=0,0,IF(OR(COUNTIFS(Loads!$A$3:$A$1000,"&gt;="&amp;INT(A168),Loads!$A$3:$A$1000,"&lt;"&amp;(INT(A168)+1),Loads!$B$3:$B$1000,B168,Loads!$C$3:$C$1000,C168)&lt;&gt;1,COUNTIFS(Loads!$A$3:$A$1000,"&gt;="&amp;INT(A168),Loads!$A$3:$A$1000,"&lt;"&amp;(INT(A168)+1),Loads!$B$3:$B$1000,B168,Loads!$C$3:$C$1000,C168,Loads!$E$3:$E$1000,"&lt;&gt;")&lt;&gt;1),"",SUMIFS(Loads!$E$3:$E$1000,Loads!$A$3:$A$1000,"&gt;="&amp;INT(A168),Loads!$A$3:$A$1000,"&lt;"&amp;(INT(A168)+1),Loads!$B$3:$B$1000,B168,Loads!$C$3:$C$1000,C168)))</x:f>
        <x:v>0</x:v>
      </x:c>
      <x:c r="L168" s="434" t="n">
        <x:f>IF(COUNTIF(Library!$B$3:$B$58,C168)&lt;&gt;1,"",IF(COUNTIFS(Library!$B$3:$B$58,C168,Library!$E$3:$E$58,"&lt;&gt;")=0,0,INDEX(Library!$E$3:$E$58,MATCH(C168,Library!$B$3:$B$58,0))))</x:f>
        <x:v>0</x:v>
      </x:c>
      <x:c r="M168" s="432" t="n">
        <x:f>IF(OR(COUNT(J168:L168)&lt;&gt;3,J168&lt;0,J168&gt;10,K168&lt;0,L168&lt;0,COUNTIFS(Library!$B$3:$B$58,C168,Library!$D$3:$D$58,D168)&lt;&gt;1),"",MIN(10,J168*(1+K168*L168)))</x:f>
        <x:v>1</x:v>
      </x:c>
      <x:c r="N168" s="432" t="n">
        <x:f>IF(D168="seconds",IF(AND(ISNUMBER($B$177),$B$177&gt;0),G168/$B$177,""),IF(D168="reps/leg",G168*2,G168))</x:f>
        <x:v>40</x:v>
      </x:c>
      <x:c r="O168" s="432" t="n">
        <x:f>IF(COUNT(M168:N168)&lt;&gt;2,"",M168*N168)</x:f>
        <x:v>40</x:v>
      </x:c>
      <x:c r="P168" s="432"/>
      <x:c r="Q168" s="432"/>
      <x:c r="R168" s="400"/>
      <x:c r="S168" s="400"/>
      <x:c r="T168"/>
      <x:c r="U168"/>
      <x:c r="V168"/>
      <x:c r="W168"/>
      <x:c r="X168"/>
      <x:c r="Y168"/>
      <x:c r="Z168"/>
      <x:c r="AA168"/>
      <x:c r="AB168"/>
    </x:row>
    <x:row r="169" ht="38" hidden="0" customHeight="1">
      <x:c r="A169" s="402" t="n">
        <x:f>Daily!A49</x:f>
        <x:v>46401.5</x:v>
      </x:c>
      <x:c r="B169" s="391" t="str">
        <x:f>Daily!D49</x:f>
        <x:v>Skill B + Cal-Intervals</x:v>
      </x:c>
      <x:c r="C169" s="400" t="str">
        <x:v>Cal-Intervals</x:v>
      </x:c>
      <x:c r="D169" s="400" t="str">
        <x:v>rounds</x:v>
      </x:c>
      <x:c r="E169" s="400" t="n">
        <x:v>1</x:v>
      </x:c>
      <x:c r="F169" s="400" t="n">
        <x:v>2</x:v>
      </x:c>
      <x:c r="G169" s="400" t="n">
        <x:v>2</x:v>
      </x:c>
      <x:c r="H169" s="400" t="str">
        <x:f>IF(AND(OR(Daily!Z49=TRUE,Daily!AB49=TRUE),ISNUMBER(Daily!AA49)),Daily!AA49,"")</x:f>
      </x:c>
      <x:c r="I169" s="432" t="str">
        <x:f>IF(AND(ISNUMBER(H169),G169&gt;0),100*H169/G169,"")</x:f>
      </x:c>
      <x:c r="J169" s="432" t="n">
        <x:f>IF(OR(COUNT(Library!F67:F70)&lt;&gt;4,COUNT(Library!E67:E70)&lt;&gt;4,SUM(Library!E67:E70)=0),"",SUM(Library!F67:F70)/SUM(Library!E67:E70))</x:f>
        <x:v>5</x:v>
      </x:c>
      <x:c r="K169" s="433"/>
      <x:c r="L169" s="434"/>
      <x:c r="M169" s="432" t="n">
        <x:f>IF(ISNUMBER(J169),J169,"")</x:f>
        <x:v>5</x:v>
      </x:c>
      <x:c r="N169" s="432" t="n">
        <x:f>IF(COUNT(Library!E67:E70)&lt;&gt;4,"",G169*SUM(Library!E67:E70))</x:f>
        <x:v>80</x:v>
      </x:c>
      <x:c r="O169" s="432" t="n">
        <x:f>IF(COUNT(Library!F67:F70)&lt;&gt;4,"",G169*SUM(Library!F67:F70))</x:f>
        <x:v>400</x:v>
      </x:c>
      <x:c r="P169" s="432"/>
      <x:c r="Q169" s="432"/>
      <x:c r="R169" s="400"/>
      <x:c r="S169" s="400"/>
      <x:c r="T169"/>
      <x:c r="U169"/>
      <x:c r="V169"/>
      <x:c r="W169"/>
      <x:c r="X169"/>
      <x:c r="Y169"/>
      <x:c r="Z169"/>
      <x:c r="AA169"/>
      <x:c r="AB169"/>
    </x:row>
    <x:row r="170" ht="38" hidden="0" customHeight="1">
      <x:c r="A170" s="402" t="n">
        <x:f>Daily!A50</x:f>
        <x:v>46403.5</x:v>
      </x:c>
      <x:c r="B170" s="391" t="str">
        <x:f>Daily!D50</x:f>
        <x:v>Skill micro-session</x:v>
      </x:c>
      <x:c r="C170" s="400" t="str">
        <x:v>Wrist/shoulder mobility</x:v>
      </x:c>
      <x:c r="D170" s="400" t="str">
        <x:v>seconds</x:v>
      </x:c>
      <x:c r="E170" s="400" t="n">
        <x:v>1</x:v>
      </x:c>
      <x:c r="F170" s="400" t="n">
        <x:v>60</x:v>
      </x:c>
      <x:c r="G170" s="400" t="n">
        <x:f>E170*F170</x:f>
        <x:v>60</x:v>
      </x:c>
      <x:c r="H170" s="400" t="str">
        <x:f>IF(AND(OR(Daily!H50=TRUE,Daily!AB50=TRUE),COUNT(Daily!I50)&gt;0),SUM(Daily!I50)*86400,"")</x:f>
      </x:c>
      <x:c r="I170" s="432" t="str">
        <x:f>IF(AND(ISNUMBER(H170),ISNUMBER(G170),G170&gt;0),100*H170/G170,"")</x:f>
      </x:c>
      <x:c r="J170" s="432" t="n">
        <x:f>IF(COUNTIF(Library!$B$3:$B$58,C170)&lt;&gt;1,"",INDEX(Library!$C$3:$C$58,MATCH(C170,Library!$B$3:$B$58,0)))</x:f>
        <x:v>1</x:v>
      </x:c>
      <x:c r="K170" s="433" t="n">
        <x:f>IF(COUNTIFS(Loads!$A$3:$A$1000,"&gt;="&amp;INT(A170),Loads!$A$3:$A$1000,"&lt;"&amp;(INT(A170)+1),Loads!$B$3:$B$1000,B170,Loads!$C$3:$C$1000,C170)=0,0,IF(OR(COUNTIFS(Loads!$A$3:$A$1000,"&gt;="&amp;INT(A170),Loads!$A$3:$A$1000,"&lt;"&amp;(INT(A170)+1),Loads!$B$3:$B$1000,B170,Loads!$C$3:$C$1000,C170)&lt;&gt;1,COUNTIFS(Loads!$A$3:$A$1000,"&gt;="&amp;INT(A170),Loads!$A$3:$A$1000,"&lt;"&amp;(INT(A170)+1),Loads!$B$3:$B$1000,B170,Loads!$C$3:$C$1000,C170,Loads!$E$3:$E$1000,"&lt;&gt;")&lt;&gt;1),"",SUMIFS(Loads!$E$3:$E$1000,Loads!$A$3:$A$1000,"&gt;="&amp;INT(A170),Loads!$A$3:$A$1000,"&lt;"&amp;(INT(A170)+1),Loads!$B$3:$B$1000,B170,Loads!$C$3:$C$1000,C170)))</x:f>
        <x:v>0</x:v>
      </x:c>
      <x:c r="L170" s="434" t="n">
        <x:f>IF(COUNTIF(Library!$B$3:$B$58,C170)&lt;&gt;1,"",IF(COUNTIFS(Library!$B$3:$B$58,C170,Library!$E$3:$E$58,"&lt;&gt;")=0,0,INDEX(Library!$E$3:$E$58,MATCH(C170,Library!$B$3:$B$58,0))))</x:f>
        <x:v>0</x:v>
      </x:c>
      <x:c r="M170" s="432" t="n">
        <x:f>IF(OR(COUNT(J170:L170)&lt;&gt;3,J170&lt;0,J170&gt;10,K170&lt;0,L170&lt;0,COUNTIFS(Library!$B$3:$B$58,C170,Library!$D$3:$D$58,D170)&lt;&gt;1),"",MIN(10,J170*(1+K170*L170)))</x:f>
        <x:v>1</x:v>
      </x:c>
      <x:c r="N170" s="432" t="n">
        <x:f>IF(D170="seconds",IF(AND(ISNUMBER($B$177),$B$177&gt;0),G170/$B$177,""),IF(D170="reps/leg",G170*2,G170))</x:f>
        <x:v>20</x:v>
      </x:c>
      <x:c r="O170" s="432" t="n">
        <x:f>IF(COUNT(M170:N170)&lt;&gt;2,"",M170*N170)</x:f>
        <x:v>20</x:v>
      </x:c>
      <x:c r="P170" s="432" t="n">
        <x:f>IF(COUNT(O170:O172)&lt;&gt;COUNT(N170:N172),"",IF(SUM(N170:N172)=0,0,ROUND(SUM(O170:O172)/SUM(N170:N172),1)))</x:f>
        <x:v>1</x:v>
      </x:c>
      <x:c r="Q170" s="432" t="str">
        <x:f>IF(COUNT(I170:I172)=0,"",MEDIAN(I170:I172))</x:f>
      </x:c>
      <x:c r="R170" s="400" t="n">
        <x:f>COUNT(I170:I172)</x:f>
        <x:v>0</x:v>
      </x:c>
      <x:c r="S170" s="400" t="n">
        <x:v>3</x:v>
      </x:c>
      <x:c r="T170"/>
      <x:c r="U170"/>
      <x:c r="V170"/>
      <x:c r="W170"/>
      <x:c r="X170"/>
      <x:c r="Y170"/>
      <x:c r="Z170"/>
      <x:c r="AA170"/>
      <x:c r="AB170"/>
    </x:row>
    <x:row r="171" ht="38" hidden="0" customHeight="1">
      <x:c r="A171" s="402" t="n">
        <x:f>Daily!A50</x:f>
        <x:v>46403.5</x:v>
      </x:c>
      <x:c r="B171" s="391" t="str">
        <x:f>Daily!D50</x:f>
        <x:v>Skill micro-session</x:v>
      </x:c>
      <x:c r="C171" s="400" t="str">
        <x:v>Easy chest-to-wall hold</x:v>
      </x:c>
      <x:c r="D171" s="400" t="str">
        <x:v>seconds</x:v>
      </x:c>
      <x:c r="E171" s="400" t="n">
        <x:v>2</x:v>
      </x:c>
      <x:c r="F171" s="400" t="n">
        <x:v>10</x:v>
      </x:c>
      <x:c r="G171" s="400" t="n">
        <x:f>E171*F171</x:f>
        <x:v>20</x:v>
      </x:c>
      <x:c r="H171" s="400" t="str">
        <x:f>IF(AND(OR(Daily!N50=TRUE,Daily!AB50=TRUE),COUNT(Daily!O50,Daily!P50)&gt;0),SUM(Daily!O50,Daily!P50)*86400,"")</x:f>
      </x:c>
      <x:c r="I171" s="432" t="str">
        <x:f>IF(AND(ISNUMBER(H171),ISNUMBER(G171),G171&gt;0),100*H171/G171,"")</x:f>
      </x:c>
      <x:c r="J171" s="432" t="n">
        <x:f>IF(COUNTIF(Library!$B$3:$B$58,C171)&lt;&gt;1,"",INDEX(Library!$C$3:$C$58,MATCH(C171,Library!$B$3:$B$58,0)))</x:f>
        <x:v>1</x:v>
      </x:c>
      <x:c r="K171" s="433" t="n">
        <x:f>IF(COUNTIFS(Loads!$A$3:$A$1000,"&gt;="&amp;INT(A171),Loads!$A$3:$A$1000,"&lt;"&amp;(INT(A171)+1),Loads!$B$3:$B$1000,B171,Loads!$C$3:$C$1000,C171)=0,0,IF(OR(COUNTIFS(Loads!$A$3:$A$1000,"&gt;="&amp;INT(A171),Loads!$A$3:$A$1000,"&lt;"&amp;(INT(A171)+1),Loads!$B$3:$B$1000,B171,Loads!$C$3:$C$1000,C171)&lt;&gt;1,COUNTIFS(Loads!$A$3:$A$1000,"&gt;="&amp;INT(A171),Loads!$A$3:$A$1000,"&lt;"&amp;(INT(A171)+1),Loads!$B$3:$B$1000,B171,Loads!$C$3:$C$1000,C171,Loads!$E$3:$E$1000,"&lt;&gt;")&lt;&gt;1),"",SUMIFS(Loads!$E$3:$E$1000,Loads!$A$3:$A$1000,"&gt;="&amp;INT(A171),Loads!$A$3:$A$1000,"&lt;"&amp;(INT(A171)+1),Loads!$B$3:$B$1000,B171,Loads!$C$3:$C$1000,C171)))</x:f>
        <x:v>0</x:v>
      </x:c>
      <x:c r="L171" s="434" t="n">
        <x:f>IF(COUNTIF(Library!$B$3:$B$58,C171)&lt;&gt;1,"",IF(COUNTIFS(Library!$B$3:$B$58,C171,Library!$E$3:$E$58,"&lt;&gt;")=0,0,INDEX(Library!$E$3:$E$58,MATCH(C171,Library!$B$3:$B$58,0))))</x:f>
        <x:v>0</x:v>
      </x:c>
      <x:c r="M171" s="432" t="n">
        <x:f>IF(OR(COUNT(J171:L171)&lt;&gt;3,J171&lt;0,J171&gt;10,K171&lt;0,L171&lt;0,COUNTIFS(Library!$B$3:$B$58,C171,Library!$D$3:$D$58,D171)&lt;&gt;1),"",MIN(10,J171*(1+K171*L171)))</x:f>
        <x:v>1</x:v>
      </x:c>
      <x:c r="N171" s="432" t="n">
        <x:f>IF(D171="seconds",IF(AND(ISNUMBER($B$177),$B$177&gt;0),G171/$B$177,""),IF(D171="reps/leg",G171*2,G171))</x:f>
        <x:v>6.666666666666667</x:v>
      </x:c>
      <x:c r="O171" s="432" t="n">
        <x:f>IF(COUNT(M171:N171)&lt;&gt;2,"",M171*N171)</x:f>
        <x:v>6.666666666666667</x:v>
      </x:c>
      <x:c r="P171" s="432"/>
      <x:c r="Q171" s="432"/>
      <x:c r="R171" s="400"/>
      <x:c r="S171" s="400"/>
      <x:c r="T171"/>
      <x:c r="U171"/>
      <x:c r="V171"/>
      <x:c r="W171"/>
      <x:c r="X171"/>
      <x:c r="Y171"/>
      <x:c r="Z171"/>
      <x:c r="AA171"/>
      <x:c r="AB171"/>
    </x:row>
    <x:row r="172" ht="38" hidden="0" customHeight="1">
      <x:c r="A172" s="402" t="n">
        <x:f>Daily!A50</x:f>
        <x:v>46403.5</x:v>
      </x:c>
      <x:c r="B172" s="391" t="str">
        <x:f>Daily!D50</x:f>
        <x:v>Skill micro-session</x:v>
      </x:c>
      <x:c r="C172" s="400" t="str">
        <x:v>Wall handstand line drill</x:v>
      </x:c>
      <x:c r="D172" s="400" t="str">
        <x:v>seconds</x:v>
      </x:c>
      <x:c r="E172" s="400" t="n">
        <x:v>1</x:v>
      </x:c>
      <x:c r="F172" s="400" t="n">
        <x:v>10</x:v>
      </x:c>
      <x:c r="G172" s="400" t="n">
        <x:f>E172*F172</x:f>
        <x:v>10</x:v>
      </x:c>
      <x:c r="H172" s="400" t="str">
        <x:f>IF(AND(OR(Daily!T50=TRUE,Daily!AB50=TRUE),COUNT(Daily!U50)&gt;0),SUM(Daily!U50)*86400,"")</x:f>
      </x:c>
      <x:c r="I172" s="432" t="str">
        <x:f>IF(AND(ISNUMBER(H172),ISNUMBER(G172),G172&gt;0),100*H172/G172,"")</x:f>
      </x:c>
      <x:c r="J172" s="432" t="n">
        <x:f>IF(COUNTIF(Library!$B$3:$B$58,C172)&lt;&gt;1,"",INDEX(Library!$C$3:$C$58,MATCH(C172,Library!$B$3:$B$58,0)))</x:f>
        <x:v>1</x:v>
      </x:c>
      <x:c r="K172" s="433" t="n">
        <x:f>IF(COUNTIFS(Loads!$A$3:$A$1000,"&gt;="&amp;INT(A172),Loads!$A$3:$A$1000,"&lt;"&amp;(INT(A172)+1),Loads!$B$3:$B$1000,B172,Loads!$C$3:$C$1000,C172)=0,0,IF(OR(COUNTIFS(Loads!$A$3:$A$1000,"&gt;="&amp;INT(A172),Loads!$A$3:$A$1000,"&lt;"&amp;(INT(A172)+1),Loads!$B$3:$B$1000,B172,Loads!$C$3:$C$1000,C172)&lt;&gt;1,COUNTIFS(Loads!$A$3:$A$1000,"&gt;="&amp;INT(A172),Loads!$A$3:$A$1000,"&lt;"&amp;(INT(A172)+1),Loads!$B$3:$B$1000,B172,Loads!$C$3:$C$1000,C172,Loads!$E$3:$E$1000,"&lt;&gt;")&lt;&gt;1),"",SUMIFS(Loads!$E$3:$E$1000,Loads!$A$3:$A$1000,"&gt;="&amp;INT(A172),Loads!$A$3:$A$1000,"&lt;"&amp;(INT(A172)+1),Loads!$B$3:$B$1000,B172,Loads!$C$3:$C$1000,C172)))</x:f>
        <x:v>0</x:v>
      </x:c>
      <x:c r="L172" s="434" t="n">
        <x:f>IF(COUNTIF(Library!$B$3:$B$58,C172)&lt;&gt;1,"",IF(COUNTIFS(Library!$B$3:$B$58,C172,Library!$E$3:$E$58,"&lt;&gt;")=0,0,INDEX(Library!$E$3:$E$58,MATCH(C172,Library!$B$3:$B$58,0))))</x:f>
        <x:v>0</x:v>
      </x:c>
      <x:c r="M172" s="432" t="n">
        <x:f>IF(OR(COUNT(J172:L172)&lt;&gt;3,J172&lt;0,J172&gt;10,K172&lt;0,L172&lt;0,COUNTIFS(Library!$B$3:$B$58,C172,Library!$D$3:$D$58,D172)&lt;&gt;1),"",MIN(10,J172*(1+K172*L172)))</x:f>
        <x:v>1</x:v>
      </x:c>
      <x:c r="N172" s="432" t="n">
        <x:f>IF(D172="seconds",IF(AND(ISNUMBER($B$177),$B$177&gt;0),G172/$B$177,""),IF(D172="reps/leg",G172*2,G172))</x:f>
        <x:v>3.3333333333333335</x:v>
      </x:c>
      <x:c r="O172" s="432" t="n">
        <x:f>IF(COUNT(M172:N172)&lt;&gt;2,"",M172*N172)</x:f>
        <x:v>3.3333333333333335</x:v>
      </x:c>
      <x:c r="P172" s="432"/>
      <x:c r="Q172" s="432"/>
      <x:c r="R172" s="400"/>
      <x:c r="S172" s="400"/>
      <x:c r="T172"/>
      <x:c r="U172"/>
      <x:c r="V172"/>
      <x:c r="W172"/>
      <x:c r="X172"/>
      <x:c r="Y172"/>
      <x:c r="Z172"/>
      <x:c r="AA172"/>
      <x:c r="AB172"/>
    </x:row>
    <x:row r="173" ht="36" hidden="0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</x:row>
    <x:row r="174" ht="36" hidden="0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</x:row>
    <x:row r="175" ht="28" hidden="0" customHeight="1">
      <x:c r="A175" s="436" t="str">
        <x:v>Assumptions</x:v>
      </x:c>
      <x:c r="B175" s="436"/>
      <x:c r="C175" s="436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</x:row>
    <x:row r="176" ht="28" hidden="0" customHeight="1">
      <x:c r="A176" s="438" t="str">
        <x:v>Setting</x:v>
      </x:c>
      <x:c r="B176" s="438" t="str">
        <x:v>Value</x:v>
      </x:c>
      <x:c r="C176" s="438" t="str">
        <x:v>Unit</x:v>
      </x:c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</x:row>
    <x:row r="177" ht="28" hidden="0" customHeight="1">
      <x:c r="A177" s="391" t="str">
        <x:v>Timed work</x:v>
      </x:c>
      <x:c r="B177" s="440" t="n">
        <x:v>3</x:v>
      </x:c>
      <x:c r="C177" s="391" t="str">
        <x:v>seconds per rep</x:v>
      </x:c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</x:row>
    <x:row r="178" ht="36" hidden="0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</x:row>
    <x:row r="179" ht="36" hidden="0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</x:row>
    <x:row r="180" ht="36" hidden="0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</x:row>
    <x:row r="181" ht="36" hidden="0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</x:row>
    <x:row r="182" ht="36" hidden="0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</x:row>
    <x:row r="183" ht="36" hidden="0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</x:row>
    <x:row r="184" ht="36" hidden="0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</x:row>
    <x:row r="185" ht="36" hidden="0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</x:row>
    <x:row r="186" ht="36" hidden="0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</x:row>
    <x:row r="187" ht="36" hidden="0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</x:row>
    <x:row r="188" ht="36" hidden="0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</x:row>
    <x:row r="189" ht="36" hidden="0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</x:row>
    <x:row r="190" ht="36" hidden="0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</x:row>
    <x:row r="191" ht="36" hidden="0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</x:row>
    <x:row r="192" ht="36" hidden="0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</x:row>
    <x:row r="193" ht="36" hidden="0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</x:row>
    <x:row r="194" ht="36" hidden="0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</x:row>
    <x:row r="195" ht="36" hidden="0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</x:row>
    <x:row r="196" ht="36" hidden="0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</x:row>
    <x:row r="197" ht="36" hidden="0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</x:row>
    <x:row r="198" ht="36" hidden="0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</x:row>
    <x:row r="199" ht="36" hidden="0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</x:row>
    <x:row r="200" ht="36" hidden="0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</x:row>
    <x:row r="201" ht="36" hidden="0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</x:row>
    <x:row r="202" ht="36" hidden="0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</x:row>
    <x:row r="203" ht="36" hidden="0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</x:row>
    <x:row r="204" ht="36" hidden="0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</x:row>
    <x:row r="205" ht="36" hidden="0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</x:row>
    <x:row r="206" ht="36" hidden="0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</x:row>
    <x:row r="207" ht="36" hidden="0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</x:row>
    <x:row r="208" ht="36" hidden="0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</x:row>
    <x:row r="209" ht="36" hidden="0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</x:row>
    <x:row r="210" ht="36" hidden="0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</x:row>
    <x:row r="211" ht="36" hidden="0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</x:row>
    <x:row r="212" ht="36" hidden="0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</x:row>
    <x:row r="213" ht="36" hidden="0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</x:row>
    <x:row r="214" ht="36" hidden="0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</x:row>
    <x:row r="215" ht="36" hidden="0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</x:row>
    <x:row r="216" ht="36" hidden="0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</x:row>
    <x:row r="217" ht="36" hidden="0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</x:row>
    <x:row r="218" ht="36" hidden="0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</x:row>
    <x:row r="219" ht="36" hidden="0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</x:row>
    <x:row r="220" ht="36" hidden="0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</x:row>
    <x:row r="221" ht="36" hidden="0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</x:row>
    <x:row r="222" ht="36" hidden="0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</x:row>
    <x:row r="223" ht="36" hidden="0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</x:row>
    <x:row r="224" ht="36" hidden="0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</x:row>
    <x:row r="225" ht="36" hidden="0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</x:row>
    <x:row r="226" ht="36" hidden="0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</x:row>
    <x:row r="227" ht="36" hidden="0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</x:row>
    <x:row r="228" ht="36" hidden="0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</x:row>
    <x:row r="229" ht="36" hidden="0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</x:row>
    <x:row r="230" ht="36" hidden="0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</x:row>
    <x:row r="231" ht="36" hidden="0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</x:row>
    <x:row r="232" ht="36" hidden="0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</x:row>
    <x:row r="233" ht="36" hidden="0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</x:row>
    <x:row r="234" ht="36" hidden="0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</x:row>
    <x:row r="235" ht="36" hidden="0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</x:row>
    <x:row r="236" ht="36" hidden="0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</x:row>
    <x:row r="237" ht="36" hidden="0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</x:row>
    <x:row r="238" ht="36" hidden="0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</x:row>
    <x:row r="239" ht="36" hidden="0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</x:row>
    <x:row r="240" ht="36" hidden="0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</x:row>
    <x:row r="241" ht="36" hidden="0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</x:row>
    <x:row r="242" ht="36" hidden="0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</x:row>
    <x:row r="243" ht="36" hidden="0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</x:row>
    <x:row r="244" ht="36" hidden="0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</x:row>
    <x:row r="245" ht="36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</x:row>
    <x:row r="246" ht="36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</x:row>
    <x:row r="247" ht="36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</x:row>
    <x:row r="248" ht="36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</x:row>
    <x:row r="249" ht="36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</x:row>
    <x:row r="250" ht="36" customHeight="1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</x:row>
    <x:row r="251" ht="36" customHeight="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</x:row>
    <x:row r="252" ht="36" customHeight="1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</x:row>
    <x:row r="253" ht="36" customHeight="1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</x:row>
    <x:row r="254" ht="36" customHeight="1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</x:row>
    <x:row r="255" ht="36" customHeight="1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</x:row>
    <x:row r="256" ht="36" customHeight="1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</x:row>
    <x:row r="257" ht="36" customHeight="1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</x:row>
    <x:row r="258" ht="36" customHeight="1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</x:row>
    <x:row r="259" ht="36" customHeight="1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</x:row>
    <x:row r="260" ht="36" customHeight="1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</x:row>
  </x:sheetData>
  <x:mergeCells>
    <x:mergeCell ref="A1:D1"/>
    <x:mergeCell ref="A175:C175"/>
  </x:mergeCells>
  <x:conditionalFormatting sqref="X5:X244">
    <x:cfRule type="expression" dxfId="9" priority="1">
      <x:formula>NOT(ISNUMBER(X5))</x:formula>
    </x:cfRule>
  </x:conditionalFormatting>
  <x:dataValidations count="1">
    <x:dataValidation type="decimal" operator="greaterThan" sqref="B177">
      <x:formula1>0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f1a8d291d42543a9"/>
    <x:tablePart xmlns:r="http://schemas.openxmlformats.org/officeDocument/2006/relationships" r:id="Rf0dc95dbe580446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43" hidden="0" customWidth="1"/>
    <x:col min="3" max="3" width="20" hidden="0" customWidth="1"/>
    <x:col min="4" max="4" width="16" hidden="0" customWidth="1"/>
    <x:col min="5" max="5" width="20" hidden="0" customWidth="1"/>
    <x:col min="6" max="6" width="20" hidden="0" customWidth="1"/>
  </x:cols>
  <x:sheetData>
    <x:row r="1" ht="26" customHeight="1">
      <x:c r="A1" s="394" t="str">
        <x:v>Exercise arsenal</x:v>
      </x:c>
      <x:c r="B1" s="394"/>
      <x:c r="C1" s="394"/>
      <x:c r="D1" s="394"/>
      <x:c r="E1" s="394"/>
    </x:row>
    <x:row r="2" ht="34" customHeight="1">
      <x:c r="A2" s="397" t="str">
        <x:v>Group</x:v>
      </x:c>
      <x:c r="B2" s="397" t="str">
        <x:v>Exercise</x:v>
      </x:c>
      <x:c r="C2" s="397" t="str">
        <x:v>Base intensity (0–10)</x:v>
      </x:c>
      <x:c r="D2" s="397" t="str">
        <x:v>Unit</x:v>
      </x:c>
      <x:c r="E2" s="397" t="str">
        <x:v>Growth per kg</x:v>
      </x:c>
    </x:row>
    <x:row r="3" ht="30" customHeight="1">
      <x:c r="A3" s="391" t="str">
        <x:v>Cal-Intervals</x:v>
      </x:c>
      <x:c r="B3" s="400" t="str">
        <x:v>Push-up</x:v>
      </x:c>
      <x:c r="C3" s="398" t="n">
        <x:v>4</x:v>
      </x:c>
      <x:c r="D3" s="391" t="str">
        <x:v>seconds</x:v>
      </x:c>
      <x:c r="E3" s="399" t="n">
        <x:v>0.02</x:v>
      </x:c>
    </x:row>
    <x:row r="4" ht="30" customHeight="1">
      <x:c r="A4" s="391" t="str">
        <x:v>Cal-Intervals</x:v>
      </x:c>
      <x:c r="B4" s="400" t="str">
        <x:v>Squat</x:v>
      </x:c>
      <x:c r="C4" s="398" t="n">
        <x:v>5</x:v>
      </x:c>
      <x:c r="D4" s="391" t="str">
        <x:v>seconds</x:v>
      </x:c>
      <x:c r="E4" s="399" t="n">
        <x:v>0.02</x:v>
      </x:c>
    </x:row>
    <x:row r="5" ht="30" customHeight="1">
      <x:c r="A5" s="391" t="str">
        <x:v>Cal-Intervals</x:v>
      </x:c>
      <x:c r="B5" s="400" t="str">
        <x:v>Upside-down hanging shoulder/ab work</x:v>
      </x:c>
      <x:c r="C5" s="398" t="n">
        <x:v>5</x:v>
      </x:c>
      <x:c r="D5" s="391" t="str">
        <x:v>seconds</x:v>
      </x:c>
      <x:c r="E5" s="399"/>
    </x:row>
    <x:row r="6" ht="30" customHeight="1">
      <x:c r="A6" s="391" t="str">
        <x:v>Handstand / HSPU</x:v>
      </x:c>
      <x:c r="B6" s="400" t="str">
        <x:v>Chest-to-wall handstand</x:v>
      </x:c>
      <x:c r="C6" s="398" t="n">
        <x:v>4</x:v>
      </x:c>
      <x:c r="D6" s="391" t="str">
        <x:v>seconds</x:v>
      </x:c>
      <x:c r="E6" s="399"/>
    </x:row>
    <x:row r="7" ht="30" customHeight="1">
      <x:c r="A7" s="391" t="str">
        <x:v>Handstand / HSPU</x:v>
      </x:c>
      <x:c r="B7" s="400" t="str">
        <x:v>Deeper wall HSPU</x:v>
      </x:c>
      <x:c r="C7" s="398" t="n">
        <x:v>7</x:v>
      </x:c>
      <x:c r="D7" s="391" t="str">
        <x:v>reps</x:v>
      </x:c>
      <x:c r="E7" s="399"/>
    </x:row>
    <x:row r="8" ht="30" customHeight="1">
      <x:c r="A8" s="391" t="str">
        <x:v>Handstand / HSPU</x:v>
      </x:c>
      <x:c r="B8" s="400" t="str">
        <x:v>Deficit pike push-up</x:v>
      </x:c>
      <x:c r="C8" s="398" t="n">
        <x:v>6</x:v>
      </x:c>
      <x:c r="D8" s="391" t="str">
        <x:v>reps</x:v>
      </x:c>
      <x:c r="E8" s="399"/>
    </x:row>
    <x:row r="9" ht="30" customHeight="1">
      <x:c r="A9" s="391" t="str">
        <x:v>Handstand / HSPU</x:v>
      </x:c>
      <x:c r="B9" s="400" t="str">
        <x:v>Easy chest-to-wall hold</x:v>
      </x:c>
      <x:c r="C9" s="398" t="n">
        <x:v>1</x:v>
      </x:c>
      <x:c r="D9" s="391" t="str">
        <x:v>seconds</x:v>
      </x:c>
      <x:c r="E9" s="399"/>
    </x:row>
    <x:row r="10" ht="30" customHeight="1">
      <x:c r="A10" s="391" t="str">
        <x:v>Handstand / HSPU</x:v>
      </x:c>
      <x:c r="B10" s="400" t="str">
        <x:v>Easy pike push-up</x:v>
      </x:c>
      <x:c r="C10" s="398" t="n">
        <x:v>1</x:v>
      </x:c>
      <x:c r="D10" s="391" t="str">
        <x:v>reps</x:v>
      </x:c>
      <x:c r="E10" s="399"/>
    </x:row>
    <x:row r="11" ht="30" customHeight="1">
      <x:c r="A11" s="391" t="str">
        <x:v>Handstand / HSPU</x:v>
      </x:c>
      <x:c r="B11" s="400" t="str">
        <x:v>Easy wall handstand</x:v>
      </x:c>
      <x:c r="C11" s="398" t="n">
        <x:v>1</x:v>
      </x:c>
      <x:c r="D11" s="391" t="str">
        <x:v>seconds</x:v>
      </x:c>
      <x:c r="E11" s="399"/>
    </x:row>
    <x:row r="12" ht="30" customHeight="1">
      <x:c r="A12" s="391" t="str">
        <x:v>Handstand / HSPU</x:v>
      </x:c>
      <x:c r="B12" s="400" t="str">
        <x:v>Elevated pike push-up</x:v>
      </x:c>
      <x:c r="C12" s="398" t="n">
        <x:v>4</x:v>
      </x:c>
      <x:c r="D12" s="391" t="str">
        <x:v>reps</x:v>
      </x:c>
      <x:c r="E12" s="399"/>
    </x:row>
    <x:row r="13" ht="30" customHeight="1">
      <x:c r="A13" s="391" t="str">
        <x:v>Handstand / HSPU</x:v>
      </x:c>
      <x:c r="B13" s="400" t="str">
        <x:v>Full-ROM wall HSPU</x:v>
      </x:c>
      <x:c r="C13" s="398" t="n">
        <x:v>8</x:v>
      </x:c>
      <x:c r="D13" s="391" t="str">
        <x:v>reps</x:v>
      </x:c>
      <x:c r="E13" s="399"/>
    </x:row>
    <x:row r="14" ht="30" customHeight="1">
      <x:c r="A14" s="391" t="str">
        <x:v>Handstand / HSPU</x:v>
      </x:c>
      <x:c r="B14" s="400" t="str">
        <x:v>Full-ROM wall HSPU negative</x:v>
      </x:c>
      <x:c r="C14" s="398" t="n">
        <x:v>7</x:v>
      </x:c>
      <x:c r="D14" s="391" t="str">
        <x:v>reps</x:v>
      </x:c>
      <x:c r="E14" s="399"/>
    </x:row>
    <x:row r="15" ht="30" customHeight="1">
      <x:c r="A15" s="391" t="str">
        <x:v>Handstand / HSPU</x:v>
      </x:c>
      <x:c r="B15" s="400" t="str">
        <x:v>Partial wall HSPU</x:v>
      </x:c>
      <x:c r="C15" s="398" t="n">
        <x:v>4</x:v>
      </x:c>
      <x:c r="D15" s="391" t="str">
        <x:v>reps</x:v>
      </x:c>
      <x:c r="E15" s="399"/>
    </x:row>
    <x:row r="16" ht="30" customHeight="1">
      <x:c r="A16" s="391" t="str">
        <x:v>Handstand / HSPU</x:v>
      </x:c>
      <x:c r="B16" s="400" t="str">
        <x:v>Pike push-up</x:v>
      </x:c>
      <x:c r="C16" s="398" t="n">
        <x:v>4</x:v>
      </x:c>
      <x:c r="D16" s="391" t="str">
        <x:v>reps</x:v>
      </x:c>
      <x:c r="E16" s="399"/>
    </x:row>
    <x:row r="17" ht="30" customHeight="1">
      <x:c r="A17" s="391" t="str">
        <x:v>Handstand / HSPU</x:v>
      </x:c>
      <x:c r="B17" s="400" t="str">
        <x:v>Pike push-up back-off</x:v>
      </x:c>
      <x:c r="C17" s="398" t="n">
        <x:v>4</x:v>
      </x:c>
      <x:c r="D17" s="391" t="str">
        <x:v>reps</x:v>
      </x:c>
      <x:c r="E17" s="399"/>
    </x:row>
    <x:row r="18" ht="30" customHeight="1">
      <x:c r="A18" s="391" t="str">
        <x:v>Handstand / HSPU</x:v>
      </x:c>
      <x:c r="B18" s="400" t="str">
        <x:v>Wall handstand</x:v>
      </x:c>
      <x:c r="C18" s="398" t="n">
        <x:v>4</x:v>
      </x:c>
      <x:c r="D18" s="391" t="str">
        <x:v>seconds</x:v>
      </x:c>
      <x:c r="E18" s="399"/>
    </x:row>
    <x:row r="19" ht="30" customHeight="1">
      <x:c r="A19" s="391" t="str">
        <x:v>Handstand / HSPU</x:v>
      </x:c>
      <x:c r="B19" s="400" t="str">
        <x:v>Wall handstand line drill</x:v>
      </x:c>
      <x:c r="C19" s="398" t="n">
        <x:v>1</x:v>
      </x:c>
      <x:c r="D19" s="391" t="str">
        <x:v>seconds</x:v>
      </x:c>
      <x:c r="E19" s="399"/>
    </x:row>
    <x:row r="20" ht="30" customHeight="1">
      <x:c r="A20" s="391" t="str">
        <x:v>Handstand / HSPU</x:v>
      </x:c>
      <x:c r="B20" s="400" t="str">
        <x:v>Wall HSPU clusters</x:v>
      </x:c>
      <x:c r="C20" s="398" t="n">
        <x:v>8</x:v>
      </x:c>
      <x:c r="D20" s="391" t="str">
        <x:v>reps</x:v>
      </x:c>
      <x:c r="E20" s="399"/>
    </x:row>
    <x:row r="21" ht="30" customHeight="1">
      <x:c r="A21" s="391" t="str">
        <x:v>Handstand / HSPU</x:v>
      </x:c>
      <x:c r="B21" s="400" t="str">
        <x:v>Wall HSPU negative</x:v>
      </x:c>
      <x:c r="C21" s="398" t="n">
        <x:v>7</x:v>
      </x:c>
      <x:c r="D21" s="391" t="str">
        <x:v>reps</x:v>
      </x:c>
      <x:c r="E21" s="399"/>
    </x:row>
    <x:row r="22" ht="30" customHeight="1">
      <x:c r="A22" s="391" t="str">
        <x:v>Handstand / HSPU</x:v>
      </x:c>
      <x:c r="B22" s="400" t="str">
        <x:v>Wall HSPU test</x:v>
      </x:c>
      <x:c r="C22" s="398" t="n">
        <x:v>8</x:v>
      </x:c>
      <x:c r="D22" s="391" t="str">
        <x:v>reps</x:v>
      </x:c>
      <x:c r="E22" s="399"/>
    </x:row>
    <x:row r="23" ht="30" customHeight="1">
      <x:c r="A23" s="391" t="str">
        <x:v>Mobility</x:v>
      </x:c>
      <x:c r="B23" s="400" t="str">
        <x:v>Gentle wrist/shoulder mobility</x:v>
      </x:c>
      <x:c r="C23" s="398" t="n">
        <x:v>1</x:v>
      </x:c>
      <x:c r="D23" s="391" t="str">
        <x:v>seconds</x:v>
      </x:c>
      <x:c r="E23" s="399"/>
    </x:row>
    <x:row r="24" ht="30" customHeight="1">
      <x:c r="A24" s="391" t="str">
        <x:v>Mobility</x:v>
      </x:c>
      <x:c r="B24" s="400" t="str">
        <x:v>Wrist/shoulder mobility</x:v>
      </x:c>
      <x:c r="C24" s="398" t="n">
        <x:v>1</x:v>
      </x:c>
      <x:c r="D24" s="391" t="str">
        <x:v>seconds</x:v>
      </x:c>
      <x:c r="E24" s="399"/>
    </x:row>
    <x:row r="25" ht="30" customHeight="1">
      <x:c r="A25" s="391" t="str">
        <x:v>Muscle-up</x:v>
      </x:c>
      <x:c r="B25" s="400" t="str">
        <x:v>Band transition drill</x:v>
      </x:c>
      <x:c r="C25" s="398" t="n">
        <x:v>4</x:v>
      </x:c>
      <x:c r="D25" s="391" t="str">
        <x:v>reps</x:v>
      </x:c>
      <x:c r="E25" s="399" t="n">
        <x:v>0.03</x:v>
      </x:c>
    </x:row>
    <x:row r="26" ht="30" customHeight="1">
      <x:c r="A26" s="391" t="str">
        <x:v>Muscle-up</x:v>
      </x:c>
      <x:c r="B26" s="400" t="str">
        <x:v>Band-assisted muscle-up</x:v>
      </x:c>
      <x:c r="C26" s="398" t="n">
        <x:v>6</x:v>
      </x:c>
      <x:c r="D26" s="391" t="str">
        <x:v>reps</x:v>
      </x:c>
      <x:c r="E26" s="399" t="n">
        <x:v>0.04</x:v>
      </x:c>
    </x:row>
    <x:row r="27" ht="30" customHeight="1">
      <x:c r="A27" s="391" t="str">
        <x:v>Muscle-up</x:v>
      </x:c>
      <x:c r="B27" s="400" t="str">
        <x:v>Band-assisted transition</x:v>
      </x:c>
      <x:c r="C27" s="398" t="n">
        <x:v>4</x:v>
      </x:c>
      <x:c r="D27" s="391" t="str">
        <x:v>reps</x:v>
      </x:c>
      <x:c r="E27" s="399" t="n">
        <x:v>0.03</x:v>
      </x:c>
    </x:row>
    <x:row r="28" ht="30" customHeight="1">
      <x:c r="A28" s="391" t="str">
        <x:v>Muscle-up</x:v>
      </x:c>
      <x:c r="B28" s="400" t="str">
        <x:v>Chest-to-bar pull-up</x:v>
      </x:c>
      <x:c r="C28" s="398" t="n">
        <x:v>6</x:v>
      </x:c>
      <x:c r="D28" s="391" t="str">
        <x:v>reps</x:v>
      </x:c>
      <x:c r="E28" s="399" t="n">
        <x:v>0.04</x:v>
      </x:c>
    </x:row>
    <x:row r="29" ht="30" customHeight="1">
      <x:c r="A29" s="391" t="str">
        <x:v>Muscle-up</x:v>
      </x:c>
      <x:c r="B29" s="400" t="str">
        <x:v>Crisp high pull</x:v>
      </x:c>
      <x:c r="C29" s="398" t="n">
        <x:v>4</x:v>
      </x:c>
      <x:c r="D29" s="391" t="str">
        <x:v>reps</x:v>
      </x:c>
      <x:c r="E29" s="399" t="n">
        <x:v>0.04</x:v>
      </x:c>
    </x:row>
    <x:row r="30" ht="30" customHeight="1">
      <x:c r="A30" s="391" t="str">
        <x:v>Muscle-up</x:v>
      </x:c>
      <x:c r="B30" s="400" t="str">
        <x:v>Dip</x:v>
      </x:c>
      <x:c r="C30" s="398" t="n">
        <x:v>4</x:v>
      </x:c>
      <x:c r="D30" s="391" t="str">
        <x:v>reps</x:v>
      </x:c>
      <x:c r="E30" s="399" t="n">
        <x:v>0.02</x:v>
      </x:c>
    </x:row>
    <x:row r="31" ht="30" customHeight="1">
      <x:c r="A31" s="391" t="str">
        <x:v>Muscle-up</x:v>
      </x:c>
      <x:c r="B31" s="400" t="str">
        <x:v>Easy high pull</x:v>
      </x:c>
      <x:c r="C31" s="398" t="n">
        <x:v>1</x:v>
      </x:c>
      <x:c r="D31" s="391" t="str">
        <x:v>reps</x:v>
      </x:c>
      <x:c r="E31" s="399" t="n">
        <x:v>0.04</x:v>
      </x:c>
    </x:row>
    <x:row r="32" ht="30" customHeight="1">
      <x:c r="A32" s="391" t="str">
        <x:v>Muscle-up</x:v>
      </x:c>
      <x:c r="B32" s="400" t="str">
        <x:v>Easy low-bar transition</x:v>
      </x:c>
      <x:c r="C32" s="398" t="n">
        <x:v>1</x:v>
      </x:c>
      <x:c r="D32" s="391" t="str">
        <x:v>reps</x:v>
      </x:c>
      <x:c r="E32" s="399"/>
    </x:row>
    <x:row r="33" ht="30" customHeight="1">
      <x:c r="A33" s="391" t="str">
        <x:v>Muscle-up</x:v>
      </x:c>
      <x:c r="B33" s="400" t="str">
        <x:v>Easy scapular pull-up</x:v>
      </x:c>
      <x:c r="C33" s="398" t="n">
        <x:v>1</x:v>
      </x:c>
      <x:c r="D33" s="391" t="str">
        <x:v>reps</x:v>
      </x:c>
      <x:c r="E33" s="399" t="n">
        <x:v>0.04</x:v>
      </x:c>
    </x:row>
    <x:row r="34" ht="30" customHeight="1">
      <x:c r="A34" s="391" t="str">
        <x:v>Muscle-up</x:v>
      </x:c>
      <x:c r="B34" s="400" t="str">
        <x:v>Explosive pull-up</x:v>
      </x:c>
      <x:c r="C34" s="398" t="n">
        <x:v>4</x:v>
      </x:c>
      <x:c r="D34" s="391" t="str">
        <x:v>reps</x:v>
      </x:c>
      <x:c r="E34" s="399" t="n">
        <x:v>0.04</x:v>
      </x:c>
    </x:row>
    <x:row r="35" ht="30" customHeight="1">
      <x:c r="A35" s="391" t="str">
        <x:v>Muscle-up</x:v>
      </x:c>
      <x:c r="B35" s="400" t="str">
        <x:v>High pull</x:v>
      </x:c>
      <x:c r="C35" s="398" t="n">
        <x:v>4</x:v>
      </x:c>
      <x:c r="D35" s="391" t="str">
        <x:v>reps</x:v>
      </x:c>
      <x:c r="E35" s="399" t="n">
        <x:v>0.04</x:v>
      </x:c>
    </x:row>
    <x:row r="36" ht="30" customHeight="1">
      <x:c r="A36" s="391" t="str">
        <x:v>Muscle-up</x:v>
      </x:c>
      <x:c r="B36" s="400" t="str">
        <x:v>High pull (chest-to-bar intent)</x:v>
      </x:c>
      <x:c r="C36" s="398" t="n">
        <x:v>6</x:v>
      </x:c>
      <x:c r="D36" s="391" t="str">
        <x:v>reps</x:v>
      </x:c>
      <x:c r="E36" s="399" t="n">
        <x:v>0.04</x:v>
      </x:c>
    </x:row>
    <x:row r="37" ht="30" customHeight="1">
      <x:c r="A37" s="391" t="str">
        <x:v>Muscle-up</x:v>
      </x:c>
      <x:c r="B37" s="400" t="str">
        <x:v>Jumping muscle-up</x:v>
      </x:c>
      <x:c r="C37" s="398" t="n">
        <x:v>4</x:v>
      </x:c>
      <x:c r="D37" s="391" t="str">
        <x:v>reps</x:v>
      </x:c>
      <x:c r="E37" s="399" t="n">
        <x:v>0.04</x:v>
      </x:c>
    </x:row>
    <x:row r="38" ht="30" customHeight="1">
      <x:c r="A38" s="391" t="str">
        <x:v>Muscle-up</x:v>
      </x:c>
      <x:c r="B38" s="400" t="str">
        <x:v>Light-band muscle-up</x:v>
      </x:c>
      <x:c r="C38" s="398" t="n">
        <x:v>7</x:v>
      </x:c>
      <x:c r="D38" s="391" t="str">
        <x:v>reps</x:v>
      </x:c>
      <x:c r="E38" s="399" t="n">
        <x:v>0.04</x:v>
      </x:c>
    </x:row>
    <x:row r="39" ht="30" customHeight="1">
      <x:c r="A39" s="391" t="str">
        <x:v>Muscle-up</x:v>
      </x:c>
      <x:c r="B39" s="400" t="str">
        <x:v>Light-band or strict muscle-up</x:v>
      </x:c>
      <x:c r="C39" s="398" t="n">
        <x:v>8</x:v>
      </x:c>
      <x:c r="D39" s="391" t="str">
        <x:v>reps</x:v>
      </x:c>
      <x:c r="E39" s="399" t="n">
        <x:v>0.04</x:v>
      </x:c>
    </x:row>
    <x:row r="40" ht="30" customHeight="1">
      <x:c r="A40" s="391" t="str">
        <x:v>Muscle-up</x:v>
      </x:c>
      <x:c r="B40" s="400" t="str">
        <x:v>Low-bar slow transition</x:v>
      </x:c>
      <x:c r="C40" s="398" t="n">
        <x:v>4</x:v>
      </x:c>
      <x:c r="D40" s="391" t="str">
        <x:v>reps</x:v>
      </x:c>
      <x:c r="E40" s="399"/>
    </x:row>
    <x:row r="41" ht="30" customHeight="1">
      <x:c r="A41" s="391" t="str">
        <x:v>Muscle-up</x:v>
      </x:c>
      <x:c r="B41" s="400" t="str">
        <x:v>Low-bar transition</x:v>
      </x:c>
      <x:c r="C41" s="398" t="n">
        <x:v>4</x:v>
      </x:c>
      <x:c r="D41" s="391" t="str">
        <x:v>reps</x:v>
      </x:c>
      <x:c r="E41" s="399"/>
    </x:row>
    <x:row r="42" ht="30" customHeight="1">
      <x:c r="A42" s="391" t="str">
        <x:v>Muscle-up</x:v>
      </x:c>
      <x:c r="B42" s="400" t="str">
        <x:v>Muscle-up test</x:v>
      </x:c>
      <x:c r="C42" s="398" t="n">
        <x:v>8</x:v>
      </x:c>
      <x:c r="D42" s="391" t="str">
        <x:v>reps</x:v>
      </x:c>
      <x:c r="E42" s="399" t="n">
        <x:v>0.04</x:v>
      </x:c>
    </x:row>
    <x:row r="43" ht="30" customHeight="1">
      <x:c r="A43" s="391" t="str">
        <x:v>Muscle-up</x:v>
      </x:c>
      <x:c r="B43" s="400" t="str">
        <x:v>Pull-up</x:v>
      </x:c>
      <x:c r="C43" s="398" t="n">
        <x:v>6</x:v>
      </x:c>
      <x:c r="D43" s="391" t="str">
        <x:v>reps</x:v>
      </x:c>
      <x:c r="E43" s="399" t="n">
        <x:v>0.04</x:v>
      </x:c>
    </x:row>
    <x:row r="44" ht="30" customHeight="1">
      <x:c r="A44" s="391" t="str">
        <x:v>Muscle-up</x:v>
      </x:c>
      <x:c r="B44" s="400" t="str">
        <x:v>Quality muscle-up attempts</x:v>
      </x:c>
      <x:c r="C44" s="398" t="n">
        <x:v>8</x:v>
      </x:c>
      <x:c r="D44" s="391" t="str">
        <x:v>reps</x:v>
      </x:c>
      <x:c r="E44" s="399" t="n">
        <x:v>0.04</x:v>
      </x:c>
    </x:row>
    <x:row r="45" ht="30" customHeight="1">
      <x:c r="A45" s="391" t="str">
        <x:v>Muscle-up</x:v>
      </x:c>
      <x:c r="B45" s="400" t="str">
        <x:v>Scapular pull-up</x:v>
      </x:c>
      <x:c r="C45" s="398" t="n">
        <x:v>2</x:v>
      </x:c>
      <x:c r="D45" s="391" t="str">
        <x:v>reps</x:v>
      </x:c>
      <x:c r="E45" s="399" t="n">
        <x:v>0.04</x:v>
      </x:c>
    </x:row>
    <x:row r="46" ht="30" customHeight="1">
      <x:c r="A46" s="391" t="str">
        <x:v>Muscle-up</x:v>
      </x:c>
      <x:c r="B46" s="400" t="str">
        <x:v>Stronger-band back-off muscle-up</x:v>
      </x:c>
      <x:c r="C46" s="398" t="n">
        <x:v>4</x:v>
      </x:c>
      <x:c r="D46" s="391" t="str">
        <x:v>reps</x:v>
      </x:c>
      <x:c r="E46" s="399" t="n">
        <x:v>0.04</x:v>
      </x:c>
    </x:row>
    <x:row r="47" ht="30" customHeight="1">
      <x:c r="A47" s="391" t="str">
        <x:v>Pistol squat</x:v>
      </x:c>
      <x:c r="B47" s="400" t="str">
        <x:v>Assisted full-depth pistol</x:v>
      </x:c>
      <x:c r="C47" s="398" t="n">
        <x:v>4</x:v>
      </x:c>
      <x:c r="D47" s="391" t="str">
        <x:v>reps/leg</x:v>
      </x:c>
      <x:c r="E47" s="399" t="n">
        <x:v>0.03</x:v>
      </x:c>
    </x:row>
    <x:row r="48" ht="30" customHeight="1">
      <x:c r="A48" s="391" t="str">
        <x:v>Pistol squat</x:v>
      </x:c>
      <x:c r="B48" s="400" t="str">
        <x:v>Assisted pistol</x:v>
      </x:c>
      <x:c r="C48" s="398" t="n">
        <x:v>2</x:v>
      </x:c>
      <x:c r="D48" s="391" t="str">
        <x:v>reps/leg</x:v>
      </x:c>
      <x:c r="E48" s="399" t="n">
        <x:v>0.03</x:v>
      </x:c>
    </x:row>
    <x:row r="49" ht="30" customHeight="1">
      <x:c r="A49" s="391" t="str">
        <x:v>Pistol squat</x:v>
      </x:c>
      <x:c r="B49" s="400" t="str">
        <x:v>Assisted smooth pistol</x:v>
      </x:c>
      <x:c r="C49" s="398" t="n">
        <x:v>2</x:v>
      </x:c>
      <x:c r="D49" s="391" t="str">
        <x:v>reps/leg</x:v>
      </x:c>
      <x:c r="E49" s="399" t="n">
        <x:v>0.03</x:v>
      </x:c>
    </x:row>
    <x:row r="50" ht="30" customHeight="1">
      <x:c r="A50" s="391" t="str">
        <x:v>Pistol squat</x:v>
      </x:c>
      <x:c r="B50" s="400" t="str">
        <x:v>Box pistol</x:v>
      </x:c>
      <x:c r="C50" s="398" t="n">
        <x:v>2</x:v>
      </x:c>
      <x:c r="D50" s="391" t="str">
        <x:v>reps/leg</x:v>
      </x:c>
      <x:c r="E50" s="399" t="n">
        <x:v>0.03</x:v>
      </x:c>
    </x:row>
    <x:row r="51" ht="30" customHeight="1">
      <x:c r="A51" s="391" t="str">
        <x:v>Pistol squat</x:v>
      </x:c>
      <x:c r="B51" s="400" t="str">
        <x:v>Clean pistol</x:v>
      </x:c>
      <x:c r="C51" s="398" t="n">
        <x:v>8</x:v>
      </x:c>
      <x:c r="D51" s="391" t="str">
        <x:v>reps/leg</x:v>
      </x:c>
      <x:c r="E51" s="399" t="n">
        <x:v>0.03</x:v>
      </x:c>
    </x:row>
    <x:row r="52" ht="30" customHeight="1">
      <x:c r="A52" s="391" t="str">
        <x:v>Pistol squat</x:v>
      </x:c>
      <x:c r="B52" s="400" t="str">
        <x:v>Counterweight pistol</x:v>
      </x:c>
      <x:c r="C52" s="398" t="n">
        <x:v>4</x:v>
      </x:c>
      <x:c r="D52" s="391" t="str">
        <x:v>reps/leg</x:v>
      </x:c>
      <x:c r="E52" s="399" t="n">
        <x:v>0.03</x:v>
      </x:c>
    </x:row>
    <x:row r="53" ht="30" customHeight="1">
      <x:c r="A53" s="391" t="str">
        <x:v>Pistol squat</x:v>
      </x:c>
      <x:c r="B53" s="400" t="str">
        <x:v>Light-counterweight pistol</x:v>
      </x:c>
      <x:c r="C53" s="398" t="n">
        <x:v>4</x:v>
      </x:c>
      <x:c r="D53" s="391" t="str">
        <x:v>reps/leg</x:v>
      </x:c>
      <x:c r="E53" s="399" t="n">
        <x:v>0.03</x:v>
      </x:c>
    </x:row>
    <x:row r="54" ht="30" customHeight="1">
      <x:c r="A54" s="391" t="str">
        <x:v>Pistol squat</x:v>
      </x:c>
      <x:c r="B54" s="400" t="str">
        <x:v>Lower-box pistol with counterweight</x:v>
      </x:c>
      <x:c r="C54" s="398" t="n">
        <x:v>2</x:v>
      </x:c>
      <x:c r="D54" s="391" t="str">
        <x:v>reps/leg</x:v>
      </x:c>
      <x:c r="E54" s="399" t="n">
        <x:v>0.03</x:v>
      </x:c>
    </x:row>
    <x:row r="55" ht="30" customHeight="1">
      <x:c r="A55" s="391" t="str">
        <x:v>Pistol squat</x:v>
      </x:c>
      <x:c r="B55" s="400" t="str">
        <x:v>Pistol clusters</x:v>
      </x:c>
      <x:c r="C55" s="398" t="n">
        <x:v>8</x:v>
      </x:c>
      <x:c r="D55" s="391" t="str">
        <x:v>reps/leg</x:v>
      </x:c>
      <x:c r="E55" s="399" t="n">
        <x:v>0.03</x:v>
      </x:c>
    </x:row>
    <x:row r="56" ht="30" customHeight="1">
      <x:c r="A56" s="391" t="str">
        <x:v>Pistol squat</x:v>
      </x:c>
      <x:c r="B56" s="400" t="str">
        <x:v>Pistol test</x:v>
      </x:c>
      <x:c r="C56" s="398" t="n">
        <x:v>8</x:v>
      </x:c>
      <x:c r="D56" s="391" t="str">
        <x:v>reps/leg</x:v>
      </x:c>
      <x:c r="E56" s="399" t="n">
        <x:v>0.03</x:v>
      </x:c>
    </x:row>
    <x:row r="57" ht="30" customHeight="1">
      <x:c r="A57" s="391" t="str">
        <x:v>Pistol squat</x:v>
      </x:c>
      <x:c r="B57" s="400" t="str">
        <x:v>Unassisted pistol</x:v>
      </x:c>
      <x:c r="C57" s="398" t="n">
        <x:v>2</x:v>
      </x:c>
      <x:c r="D57" s="391" t="str">
        <x:v>reps/leg</x:v>
      </x:c>
      <x:c r="E57" s="399" t="n">
        <x:v>0.03</x:v>
      </x:c>
    </x:row>
    <x:row r="58" ht="30" customHeight="1">
      <x:c r="A58" s="391" t="str">
        <x:v>Pistol squat</x:v>
      </x:c>
      <x:c r="B58" s="400" t="str">
        <x:v>Unassisted pistol to target</x:v>
      </x:c>
      <x:c r="C58" s="398" t="n">
        <x:v>2</x:v>
      </x:c>
      <x:c r="D58" s="391" t="str">
        <x:v>reps/leg</x:v>
      </x:c>
      <x:c r="E58" s="399" t="n">
        <x:v>0.03</x:v>
      </x:c>
    </x:row>
    <x:row r="59" ht="30" customHeight="1">
      <x:c r="A59"/>
      <x:c r="B59"/>
      <x:c r="C59"/>
      <x:c r="D59"/>
      <x:c r="E59"/>
    </x:row>
    <x:row r="60" ht="26" customHeight="1">
      <x:c r="A60" s="394" t="str">
        <x:v>Equipment</x:v>
      </x:c>
      <x:c r="B60" s="394"/>
      <x:c r="C60" s="394"/>
      <x:c r="D60" s="394"/>
      <x:c r="E60" s="394"/>
    </x:row>
    <x:row r="61" ht="26" customHeight="1">
      <x:c r="A61" s="397" t="str">
        <x:v>Equipment</x:v>
      </x:c>
      <x:c r="B61" s="397" t="str">
        <x:v>Min kg</x:v>
      </x:c>
      <x:c r="C61" s="397" t="str">
        <x:v>Max kg</x:v>
      </x:c>
      <x:c r="D61" s="397" t="str">
        <x:v>Notes</x:v>
      </x:c>
      <x:c r="E61" s="391"/>
    </x:row>
    <x:row r="62" ht="44" customHeight="1">
      <x:c r="A62" s="391" t="str">
        <x:v>Weight vest</x:v>
      </x:c>
      <x:c r="B62" s="398" t="n">
        <x:v>6</x:v>
      </x:c>
      <x:c r="C62" s="398" t="n">
        <x:v>10</x:v>
      </x:c>
      <x:c r="D62" s="400" t="str">
        <x:v>Optional added load; 0 kg means bodyweight.</x:v>
      </x:c>
      <x:c r="E62" s="391"/>
    </x:row>
    <x:row r="65" ht="30" customHeight="1">
      <x:c r="A65" s="425" t="str">
        <x:v>Cal-Intervals</x:v>
      </x:c>
      <x:c r="B65" s="425"/>
      <x:c r="C65" s="425"/>
      <x:c r="D65" s="425"/>
      <x:c r="E65" s="425"/>
      <x:c r="F65" s="425"/>
    </x:row>
    <x:row r="66" ht="38" customHeight="1">
      <x:c r="A66" s="428" t="str">
        <x:v>Exercise</x:v>
      </x:c>
      <x:c r="B66" s="428" t="str">
        <x:v>Work seconds</x:v>
      </x:c>
      <x:c r="C66" s="428" t="str">
        <x:v>Rest seconds</x:v>
      </x:c>
      <x:c r="D66" s="428" t="str">
        <x:v>Base intensity</x:v>
      </x:c>
      <x:c r="E66" s="428" t="str">
        <x:v>Volume weight</x:v>
      </x:c>
      <x:c r="F66" s="428" t="str">
        <x:v>Contribution</x:v>
      </x:c>
    </x:row>
    <x:row r="67" ht="42" customHeight="1">
      <x:c r="A67" s="429" t="str">
        <x:v>Pull-up</x:v>
      </x:c>
      <x:c r="B67" s="430" t="n">
        <x:v>30</x:v>
      </x:c>
      <x:c r="C67" s="430" t="n">
        <x:v>20</x:v>
      </x:c>
      <x:c r="D67" s="431" t="n">
        <x:f>IF(COUNTIF($B$3:$B$59,A67)&lt;&gt;1,"",INDEX($C$3:$C$59,MATCH(A67,$B$3:$B$59,0)))</x:f>
        <x:v>6</x:v>
      </x:c>
      <x:c r="E67" s="431" t="n">
        <x:f>IF(AND(ISNUMBER(B67),B67&gt;=0,ISNUMBER(Scoring!$B$177),Scoring!$B$177&gt;0),B67/Scoring!$B$177,"")</x:f>
        <x:v>10</x:v>
      </x:c>
      <x:c r="F67" s="431" t="n">
        <x:f>IF(COUNT(D67:E67)&lt;&gt;2,"",D67*E67)</x:f>
        <x:v>60</x:v>
      </x:c>
    </x:row>
    <x:row r="68" ht="42" customHeight="1">
      <x:c r="A68" s="429" t="str">
        <x:v>Push-up</x:v>
      </x:c>
      <x:c r="B68" s="430" t="n">
        <x:v>30</x:v>
      </x:c>
      <x:c r="C68" s="430" t="n">
        <x:v>20</x:v>
      </x:c>
      <x:c r="D68" s="431" t="n">
        <x:f>IF(COUNTIF($B$3:$B$59,A68)&lt;&gt;1,"",INDEX($C$3:$C$59,MATCH(A68,$B$3:$B$59,0)))</x:f>
        <x:v>4</x:v>
      </x:c>
      <x:c r="E68" s="431" t="n">
        <x:f>IF(AND(ISNUMBER(B68),B68&gt;=0,ISNUMBER(Scoring!$B$177),Scoring!$B$177&gt;0),B68/Scoring!$B$177,"")</x:f>
        <x:v>10</x:v>
      </x:c>
      <x:c r="F68" s="431" t="n">
        <x:f>IF(COUNT(D68:E68)&lt;&gt;2,"",D68*E68)</x:f>
        <x:v>40</x:v>
      </x:c>
    </x:row>
    <x:row r="69" ht="42" customHeight="1">
      <x:c r="A69" s="429" t="str">
        <x:v>Squat</x:v>
      </x:c>
      <x:c r="B69" s="430" t="n">
        <x:v>30</x:v>
      </x:c>
      <x:c r="C69" s="430" t="n">
        <x:v>20</x:v>
      </x:c>
      <x:c r="D69" s="431" t="n">
        <x:f>IF(COUNTIF($B$3:$B$59,A69)&lt;&gt;1,"",INDEX($C$3:$C$59,MATCH(A69,$B$3:$B$59,0)))</x:f>
        <x:v>5</x:v>
      </x:c>
      <x:c r="E69" s="431" t="n">
        <x:f>IF(AND(ISNUMBER(B69),B69&gt;=0,ISNUMBER(Scoring!$B$177),Scoring!$B$177&gt;0),B69/Scoring!$B$177,"")</x:f>
        <x:v>10</x:v>
      </x:c>
      <x:c r="F69" s="431" t="n">
        <x:f>IF(COUNT(D69:E69)&lt;&gt;2,"",D69*E69)</x:f>
        <x:v>50</x:v>
      </x:c>
    </x:row>
    <x:row r="70" ht="42" customHeight="1">
      <x:c r="A70" s="429" t="str">
        <x:v>Upside-down hanging shoulder/ab work</x:v>
      </x:c>
      <x:c r="B70" s="430" t="n">
        <x:v>30</x:v>
      </x:c>
      <x:c r="C70" s="430" t="n">
        <x:v>20</x:v>
      </x:c>
      <x:c r="D70" s="431" t="n">
        <x:f>IF(COUNTIF($B$3:$B$59,A70)&lt;&gt;1,"",INDEX($C$3:$C$59,MATCH(A70,$B$3:$B$59,0)))</x:f>
        <x:v>5</x:v>
      </x:c>
      <x:c r="E70" s="431" t="n">
        <x:f>IF(AND(ISNUMBER(B70),B70&gt;=0,ISNUMBER(Scoring!$B$177),Scoring!$B$177&gt;0),B70/Scoring!$B$177,"")</x:f>
        <x:v>10</x:v>
      </x:c>
      <x:c r="F70" s="431" t="n">
        <x:f>IF(COUNT(D70:E70)&lt;&gt;2,"",D70*E70)</x:f>
        <x:v>50</x:v>
      </x:c>
    </x:row>
  </x:sheetData>
  <x:mergeCells>
    <x:mergeCell ref="A1:E1"/>
    <x:mergeCell ref="A60:E60"/>
    <x:mergeCell ref="D62:E62"/>
    <x:mergeCell ref="A65:F65"/>
  </x:mergeCells>
  <x:dataValidations count="2">
    <x:dataValidation type="decimal" operator="between" sqref="C3:C58">
      <x:formula1>0</x:formula1>
      <x:formula2>10</x:formula2>
    </x:dataValidation>
    <x:dataValidation type="decimal" operator="greaterThanOrEqual" sqref="E3:E58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f28ff52d494e9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24" hidden="0" customWidth="1"/>
    <x:col min="4" max="4" width="19" hidden="0" customWidth="1"/>
    <x:col min="5" max="5" width="14" hidden="0" customWidth="1"/>
    <x:col min="6" max="6" width="14" hidden="0" customWidth="1"/>
    <x:col min="7" max="7" width="38" hidden="0" customWidth="1"/>
  </x:cols>
  <x:sheetData>
    <x:row r="1" ht="26" customHeight="1">
      <x:c r="A1" s="394" t="str">
        <x:v>Added load</x:v>
      </x:c>
      <x:c r="B1" s="394"/>
      <x:c r="C1" s="394"/>
      <x:c r="D1" s="394"/>
      <x:c r="E1" s="394"/>
      <x:c r="F1" s="394"/>
      <x:c r="G1" s="394"/>
    </x:row>
    <x:row r="2" ht="32" customHeight="1">
      <x:c r="A2" s="397" t="str">
        <x:v>Date</x:v>
      </x:c>
      <x:c r="B2" s="397" t="str">
        <x:v>Session</x:v>
      </x:c>
      <x:c r="C2" s="397" t="str">
        <x:v>Exercise</x:v>
      </x:c>
      <x:c r="D2" s="397" t="str">
        <x:v>Equipment</x:v>
      </x:c>
      <x:c r="E2" s="397" t="str">
        <x:v>Planned kg</x:v>
      </x:c>
      <x:c r="F2" s="397" t="str">
        <x:v>Actual kg</x:v>
      </x:c>
      <x:c r="G2" s="397" t="str">
        <x:v>Notes</x:v>
      </x:c>
    </x:row>
    <x:row r="3" ht="46" customHeight="1">
      <x:c r="A3" s="402" t="n">
        <x:f>Daily!A19</x:f>
        <x:v>46349.5</x:v>
      </x:c>
      <x:c r="B3" s="391" t="str">
        <x:f>Daily!D19</x:f>
        <x:v>Skill A (weighted)</x:v>
      </x:c>
      <x:c r="C3" s="398" t="str">
        <x:v>Pull-up</x:v>
      </x:c>
      <x:c r="D3" s="398" t="str">
        <x:v>Weight vest</x:v>
      </x:c>
      <x:c r="E3" s="403" t="n">
        <x:v>6</x:v>
      </x:c>
      <x:c r="F3" s="403"/>
      <x:c r="G3" s="401"/>
    </x:row>
    <x:row r="4" ht="46" customHeight="1">
      <x:c r="A4" s="402" t="n">
        <x:f>Daily!A19</x:f>
        <x:v>46349.5</x:v>
      </x:c>
      <x:c r="B4" s="391" t="str">
        <x:f>Daily!D19</x:f>
        <x:v>Skill A (weighted)</x:v>
      </x:c>
      <x:c r="C4" s="398" t="str">
        <x:v>Dip</x:v>
      </x:c>
      <x:c r="D4" s="398" t="str">
        <x:v>Weight vest</x:v>
      </x:c>
      <x:c r="E4" s="403" t="n">
        <x:v>6</x:v>
      </x:c>
      <x:c r="F4" s="403"/>
      <x:c r="G4" s="401"/>
    </x:row>
    <x:row r="5" ht="46" customHeight="1">
      <x:c r="A5" s="402" t="n">
        <x:f>Daily!A27</x:f>
        <x:v>46363.5</x:v>
      </x:c>
      <x:c r="B5" s="391" t="str">
        <x:f>Daily!D27</x:f>
        <x:v>Skill A (weighted)</x:v>
      </x:c>
      <x:c r="C5" s="398" t="str">
        <x:v>Pull-up</x:v>
      </x:c>
      <x:c r="D5" s="398" t="str">
        <x:v>Weight vest</x:v>
      </x:c>
      <x:c r="E5" s="403" t="n">
        <x:v>6</x:v>
      </x:c>
      <x:c r="F5" s="403"/>
      <x:c r="G5" s="401"/>
    </x:row>
    <x:row r="6" ht="46" customHeight="1">
      <x:c r="A6" s="402" t="n">
        <x:f>Daily!A27</x:f>
        <x:v>46363.5</x:v>
      </x:c>
      <x:c r="B6" s="391" t="str">
        <x:f>Daily!D27</x:f>
        <x:v>Skill A (weighted)</x:v>
      </x:c>
      <x:c r="C6" s="398" t="str">
        <x:v>Dip</x:v>
      </x:c>
      <x:c r="D6" s="398" t="str">
        <x:v>Weight vest</x:v>
      </x:c>
      <x:c r="E6" s="403" t="n">
        <x:v>6</x:v>
      </x:c>
      <x:c r="F6" s="403"/>
      <x:c r="G6" s="401"/>
    </x:row>
    <x:row r="7" ht="46" customHeight="1">
      <x:c r="A7" s="402" t="n">
        <x:f>Daily!A35</x:f>
        <x:v>46377.5</x:v>
      </x:c>
      <x:c r="B7" s="391" t="str">
        <x:f>Daily!D35</x:f>
        <x:v>Skill A (weighted)</x:v>
      </x:c>
      <x:c r="C7" s="398" t="str">
        <x:v>Pull-up</x:v>
      </x:c>
      <x:c r="D7" s="398" t="str">
        <x:v>Weight vest</x:v>
      </x:c>
      <x:c r="E7" s="403" t="n">
        <x:v>6</x:v>
      </x:c>
      <x:c r="F7" s="403"/>
      <x:c r="G7" s="401"/>
    </x:row>
    <x:row r="8" ht="46" customHeight="1">
      <x:c r="A8" s="402" t="n">
        <x:f>Daily!A35</x:f>
        <x:v>46377.5</x:v>
      </x:c>
      <x:c r="B8" s="391" t="str">
        <x:f>Daily!D35</x:f>
        <x:v>Skill A (weighted)</x:v>
      </x:c>
      <x:c r="C8" s="398" t="str">
        <x:v>Dip</x:v>
      </x:c>
      <x:c r="D8" s="398" t="str">
        <x:v>Weight vest</x:v>
      </x:c>
      <x:c r="E8" s="403" t="n">
        <x:v>6</x:v>
      </x:c>
      <x:c r="F8" s="403"/>
      <x:c r="G8" s="401"/>
    </x:row>
  </x:sheetData>
  <x:mergeCells>
    <x:mergeCell ref="A1:G1"/>
  </x:mergeCells>
  <x:dataValidations count="3">
    <x:dataValidation type="list" sqref="C3:C1000">
      <x:formula1>Library!$B$3:$B$59</x:formula1>
    </x:dataValidation>
    <x:dataValidation type="list" sqref="D3:D1000">
      <x:formula1>Library!$A$62</x:formula1>
    </x:dataValidation>
    <x:dataValidation type="decimal" operator="greaterThanOrEqual" sqref="E3:F1000">
      <x:formula1>0</x:formula1>
    </x:dataValidation>
  </x:dataValidations>
  <x:pageMargins left="0.7" right="0.7" top="0.75" bottom="0.75" header="0.3" footer="0.3"/>
</x:worksheet>
</file>
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9d504771394c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ategy" sheetId="1" r:id="R8129c81d71444a9e"/>
    <x:sheet xmlns:r="http://schemas.openxmlformats.org/officeDocument/2006/relationships" name="Recurring" sheetId="2" r:id="R48454b377b554a02"/>
    <x:sheet xmlns:r="http://schemas.openxmlformats.org/officeDocument/2006/relationships" name="Daily" sheetId="3" r:id="R68818eeb32a14ac4"/>
    <x:sheet xmlns:r="http://schemas.openxmlformats.org/officeDocument/2006/relationships" name="Scoring" sheetId="4" r:id="R0303584faca9404d"/>
  </x:sheets>
</x:workbook>
</file>

<file path=xl/sharedStrings.xml><?xml version="1.0" encoding="utf-8"?>
<x:sst xmlns:x="http://schemas.openxmlformats.org/spreadsheetml/2006/main">
  <x:si>
    <x:t xml:space="preserve">Plan</x:t>
  </x:si>
  <x:si>
    <x:t xml:space="preserve">schema_version</x:t>
  </x:si>
  <x:si>
    <x:t xml:space="preserve">plan_id</x:t>
  </x:si>
  <x:si>
    <x:t xml:space="preserve">plan_name</x:t>
  </x:si>
  <x:si>
    <x:t xml:space="preserve">timezone</x:t>
  </x:si>
  <x:si>
    <x:t xml:space="preserve">start_date</x:t>
  </x:si>
  <x:si>
    <x:t xml:space="preserve">1</x:t>
  </x:si>
  <x:si>
    <x:t xml:space="preserve">my-training</x:t>
  </x:si>
  <x:si>
    <x:t xml:space="preserve">12-week hybrid plan</x:t>
  </x:si>
  <x:si>
    <x:t xml:space="preserve">Europe/Berlin</x:t>
  </x:si>
  <x:si>
    <x:t xml:space="preserve">Goals</x:t>
  </x:si>
  <x:si>
    <x:t xml:space="preserve">goal_id</x:t>
  </x:si>
  <x:si>
    <x:t xml:space="preserve">title</x:t>
  </x:si>
  <x:si>
    <x:t xml:space="preserve">benchmark</x:t>
  </x:si>
  <x:si>
    <x:t xml:space="preserve">baseline</x:t>
  </x:si>
  <x:si>
    <x:t xml:space="preserve">test</x:t>
  </x:si>
  <x:si>
    <x:t xml:space="preserve">category</x:t>
  </x:si>
  <x:si>
    <x:t xml:space="preserve">result_column</x:t>
  </x:si>
  <x:si>
    <x:t xml:space="preserve">garmin_types</x:t>
  </x:si>
  <x:si>
    <x:t xml:space="preserve">muscle-up</x:t>
  </x:si>
  <x:si>
    <x:t xml:space="preserve">Muscle-up</x:t>
  </x:si>
  <x:si>
    <x:t xml:space="preserve">Band-assisted or first strict rep</x:t>
  </x:si>
  <x:si>
    <x:t xml:space="preserve">7 pull-ups reported; confirm strict form. Muscle-up baseline not established.</x:t>
  </x:si>
  <x:si>
    <x:t xml:space="preserve">Record assistance and controlled full movement</x:t>
  </x:si>
  <x:si>
    <x:t xml:space="preserve">milestone</x:t>
  </x:si>
  <x:si>
    <x:t xml:space="preserve">Muscle-up result</x:t>
  </x:si>
  <x:si>
    <x:t xml:space="preserve">hspu</x:t>
  </x:si>
  <x:si>
    <x:t xml:space="preserve">Handstand push-up</x:t>
  </x:si>
  <x:si>
    <x:t xml:space="preserve">3–5 controlled wall reps or deep negatives</x:t>
  </x:si>
  <x:si>
    <x:t xml:space="preserve">Not established</x:t>
  </x:si>
  <x:si>
    <x:t xml:space="preserve">Chest-to-wall, full lockout</x:t>
  </x:si>
  <x:si>
    <x:t xml:space="preserve">HSPU result</x:t>
  </x:si>
  <x:si>
    <x:t xml:space="preserve">pistol</x:t>
  </x:si>
  <x:si>
    <x:t xml:space="preserve">Pistol squat</x:t>
  </x:si>
  <x:si>
    <x:t xml:space="preserve">3–5 clean reps per leg</x:t>
  </x:si>
  <x:si>
    <x:t xml:space="preserve">Heel down, controlled depth</x:t>
  </x:si>
  <x:si>
    <x:t xml:space="preserve">Pistol result</x:t>
  </x:si>
  <x:si>
    <x:t xml:space="preserve">running</x:t>
  </x:si>
  <x:si>
    <x:t xml:space="preserve">Running</x:t>
  </x:si>
  <x:si>
    <x:t xml:space="preserve">Maintain or improve 12 km pace</x:t>
  </x:si>
  <x:si>
    <x:t xml:space="preserve">12 km at 5:00/km (reported)</x:t>
  </x:si>
  <x:si>
    <x:t xml:space="preserve">12 km steady test in week 12</x:t>
  </x:si>
  <x:si>
    <x:t xml:space="preserve">maintenance</x:t>
  </x:si>
  <x:si>
    <x:t xml:space="preserve">swimming</x:t>
  </x:si>
  <x:si>
    <x:t xml:space="preserve">Swimming</x:t>
  </x:si>
  <x:si>
    <x:t xml:space="preserve">Maintain regular swimming</x:t>
  </x:si>
  <x:si>
    <x:t xml:space="preserve">3 fixed 60 min guided swims/week; optional fourth (reported routine)</x:t>
  </x:si>
  <x:si>
    <x:t xml:space="preserve">Record duration and distance for comparable swims</x:t>
  </x:si>
  <x:si>
    <x:t xml:space="preserve">Parts</x:t>
  </x:si>
  <x:si>
    <x:t xml:space="preserve">part_id</x:t>
  </x:si>
  <x:si>
    <x:t xml:space="preserve">version</x:t>
  </x:si>
  <x:si>
    <x:t xml:space="preserve">prescription</x:t>
  </x:si>
  <x:si>
    <x:t xml:space="preserve">goal_ids</x:t>
  </x:si>
  <x:si>
    <x:t xml:space="preserve">A</x:t>
  </x:si>
  <x:si>
    <x:t xml:space="preserve">Skills A</x:t>
  </x:si>
  <x:si>
    <x:t xml:space="preserve">Follow block A in Week plans, then Core. A/B/C label the three daily exercises.</x:t>
  </x:si>
  <x:si>
    <x:t xml:space="preserve">muscle-up, pistol</x:t>
  </x:si>
  <x:si>
    <x:t xml:space="preserve">B</x:t>
  </x:si>
  <x:si>
    <x:t xml:space="preserve">Skills B</x:t>
  </x:si>
  <x:si>
    <x:t xml:space="preserve">Follow block B in Week plans, then Core. A/B/C label the three daily exercises.</x:t>
  </x:si>
  <x:si>
    <x:t xml:space="preserve">hspu, pistol</x:t>
  </x:si>
  <x:si>
    <x:t xml:space="preserve">Technique</x:t>
  </x:si>
  <x:si>
    <x:t xml:space="preserve">Light technique</x:t>
  </x:si>
  <x:si>
    <x:t xml:space="preserve">Follow the easy technique session in Daily. A/B/C label its three exercises.</x:t>
  </x:si>
  <x:si>
    <x:t xml:space="preserve">Core</x:t>
  </x:si>
  <x:si>
    <x:t xml:space="preserve">Core circuit — 16 min 40 sec</x:t>
  </x:si>
  <x:si>
    <x:t xml:space="preserve">5 rounds: pull-ups, push-ups, weighted squats, upside-down hanging shoulder/ab work. Each exercise: 30 sec work + 20 sec rest.</x:t>
  </x:si>
  <x:si>
    <x:t xml:space="preserve">muscle-up, hspu, pistol</x:t>
  </x:si>
  <x:si>
    <x:t xml:space="preserve">Week plans</x:t>
  </x:si>
  <x:si>
    <x:t xml:space="preserve">Week</x:t>
  </x:si>
  <x:si>
    <x:t xml:space="preserve">Start</x:t>
  </x:si>
  <x:si>
    <x:t xml:space="preserve">Phase</x:t>
  </x:si>
  <x:si>
    <x:t xml:space="preserve">Focus</x:t>
  </x:si>
  <x:si>
    <x:t xml:space="preserve">Targets</x:t>
  </x:si>
  <x:si>
    <x:t xml:space="preserve">Advance when</x:t>
  </x:si>
  <x:si>
    <x:t xml:space="preserve">Minutes</x:t>
  </x:si>
  <x:si>
    <x:t xml:space="preserve">Foundation</x:t>
  </x:si>
  <x:si>
    <x:t xml:space="preserve">35 min skills before each circuit; leave reps in reserve</x:t>
  </x:si>
  <x:si>
    <x:t xml:space="preserve">Muscle-up: Scapular pulls + chest-to-bar intent; HSPU: Chest-to-wall hold + pike push-up; Pistol: Box pistol + ankle mobility</x:t>
  </x:si>
  <x:si>
    <x:t xml:space="preserve">Review recorded results and comfort. Repeat or adjust the week if needed.</x:t>
  </x:si>
  <x:si>
    <x:t xml:space="preserve">A) Scapular pull-up: 3 x 5, B) High pull (chest-to-bar intent): 3 x 3, C) Box pistol: 3 x 5/leg, Core: 5 rounds</x:t>
  </x:si>
  <x:si>
    <x:t xml:space="preserve">A) Chest-to-wall handstand: 3 x 20 sec, B) Pike push-up: 3 x 5, C) Box pistol: 3 x 5/leg, Core: 5 rounds</x:t>
  </x:si>
  <x:si>
    <x:t xml:space="preserve">Muscle-up: Band transition drill + high pull; HSPU: Wall hold + elevated pike push-up; Pistol: Lower box pistol + counterweight</x:t>
  </x:si>
  <x:si>
    <x:t xml:space="preserve">A) Band transition drill: 3 x 3, B) High pull: 3 x 3, C) Lower-box pistol with counterweight: 3 x 4/leg, Core: 5 rounds</x:t>
  </x:si>
  <x:si>
    <x:t xml:space="preserve">A) Wall handstand: 3 x 25 sec, B) Elevated pike push-up: 3 x 4, C) Lower-box pistol with counterweight: 3 x 4/leg, Core: 5 rounds</x:t>
  </x:si>
  <x:si>
    <x:t xml:space="preserve">Muscle-up: Explosive pull + low-bar transition; HSPU: Wall negative + pike push-up; Pistol: Assisted pistol to depth</x:t>
  </x:si>
  <x:si>
    <x:t xml:space="preserve">A) Explosive pull-up: 4 x 2, B) Low-bar transition: 3 x 3, C) Assisted full-depth pistol: 3 x 4/leg, Core: 5 rounds</x:t>
  </x:si>
  <x:si>
    <x:t xml:space="preserve">A) Wall HSPU negative: 3 x 2 (lower 3 sec), B) Pike push-up: 3 x 5, C) Assisted full-depth pistol: 3 x 4/leg, Core: 5 rounds</x:t>
  </x:si>
  <x:si>
    <x:t xml:space="preserve">Deload</x:t>
  </x:si>
  <x:si>
    <x:t xml:space="preserve">3 rounds; skip optional strength</x:t>
  </x:si>
  <x:si>
    <x:t xml:space="preserve">Muscle-up: Easy technique only; HSPU: Easy holds + mobility; Pistol: Easy assisted reps</x:t>
  </x:si>
  <x:si>
    <x:t xml:space="preserve">A) Easy scapular pull-up: 1 x 5, B) Easy low-bar transition: 1 x 3, C) Assisted pistol: 1 x 3/leg, Core: 3 rounds</x:t>
  </x:si>
  <x:si>
    <x:t xml:space="preserve">A) Easy wall handstand: 1 x 15 sec, B) Gentle wrist/shoulder mobility: 2 min, C) Assisted pistol: 1 x 3/leg, Core: 3 rounds</x:t>
  </x:si>
  <x:si>
    <x:t xml:space="preserve">Build</x:t>
  </x:si>
  <x:si>
    <x:t xml:space="preserve">Muscle-up: Chest-to-bar + band muscle-up; HSPU: Deficit pike + wall negative; Pistol: Counterweight pistol</x:t>
  </x:si>
  <x:si>
    <x:t xml:space="preserve">A) Chest-to-bar pull-up: 3 x 3, B) Band-assisted muscle-up: 4 x 1, C) Counterweight pistol: 3 x 4/leg, Core: 5 rounds</x:t>
  </x:si>
  <x:si>
    <x:t xml:space="preserve">A) Deficit pike push-up: 3 x 4, B) Wall HSPU negative: 3 x 2 (lower 3 sec), C) Counterweight pistol: 3 x 4/leg, Core: 5 rounds</x:t>
  </x:si>
  <x:si>
    <x:t xml:space="preserve">Muscle-up: Jumping muscle-up + slow transition; HSPU: Partial wall HSPU + negative; Pistol: Light counterweight pistol</x:t>
  </x:si>
  <x:si>
    <x:t xml:space="preserve">A) Jumping muscle-up: 3 x 3, B) Low-bar slow transition: 3 x 3, C) Light-counterweight pistol: 3 x 4/leg, Core: 5 rounds</x:t>
  </x:si>
  <x:si>
    <x:t xml:space="preserve">A) Partial wall HSPU: 3 x 3, B) Wall HSPU negative: 3 x 2 (lower 3 sec), C) Light-counterweight pistol: 3 x 4/leg, Core: 5 rounds</x:t>
  </x:si>
  <x:si>
    <x:t xml:space="preserve">Muscle-up: Light-band muscle-up singles; HSPU: Deeper wall HSPU; Pistol: Unassisted singles to target</x:t>
  </x:si>
  <x:si>
    <x:t xml:space="preserve">A) Light-band muscle-up: 4 x 1, B) Band-assisted transition: 3 x 2, C) Unassisted pistol to target: 3 x 1/leg, Core: 5 rounds</x:t>
  </x:si>
  <x:si>
    <x:t xml:space="preserve">A) Deeper wall HSPU: 3 x 2, B) Easy wall handstand: 2 x 20 sec, C) Unassisted pistol to target: 3 x 1/leg, Core: 5 rounds</x:t>
  </x:si>
  <x:si>
    <x:t xml:space="preserve">Muscle-up: Easy high pulls + transitions; HSPU: Easy holds + pike reps; Pistol: Assisted smooth reps</x:t>
  </x:si>
  <x:si>
    <x:t xml:space="preserve">A) Easy high pull: 1 x 3, B) Easy low-bar transition: 1 x 3, C) Assisted smooth pistol: 1 x 3/leg, Core: 3 rounds</x:t>
  </x:si>
  <x:si>
    <x:t xml:space="preserve">A) Easy wall handstand: 1 x 15 sec, B) Easy pike push-up: 1 x 4, C) Assisted smooth pistol: 1 x 3/leg, Core: 3 rounds</x:t>
  </x:si>
  <x:si>
    <x:t xml:space="preserve">Specific</x:t>
  </x:si>
  <x:si>
    <x:t xml:space="preserve">Muscle-up: Light-band or strict attempts, then back-off; HSPU: Full-ROM negatives + partial reps; Pistol: Unassisted singles</x:t>
  </x:si>
  <x:si>
    <x:t xml:space="preserve">A) Light-band or strict muscle-up: 3 x 1, B) Stronger-band back-off muscle-up: 2 x 2, C) Unassisted pistol: 3 x 1/leg, Core: 5 rounds</x:t>
  </x:si>
  <x:si>
    <x:t xml:space="preserve">A) Full-ROM wall HSPU negative: 3 x 1, B) Partial wall HSPU: 3 x 3, C) Unassisted pistol: 3 x 1/leg, Core: 5 rounds</x:t>
  </x:si>
  <x:si>
    <x:t xml:space="preserve">Muscle-up: 3-5 quality attempts + band reps; HSPU: Wall HSPU clusters; Pistol: Pistol clusters</x:t>
  </x:si>
  <x:si>
    <x:t xml:space="preserve">A) Quality muscle-up attempts: 3-5 singles, B) Band-assisted muscle-up: 2 x 2, C) Pistol clusters: 3 x (1+1)/leg (20 sec between reps), Core: 5 rounds</x:t>
  </x:si>
  <x:si>
    <x:t xml:space="preserve">A) Wall HSPU clusters: 3 x (1+1) (20 sec between reps), B) Easy wall handstand: 2 x 20 sec, C) Pistol clusters: 3 x (1+1)/leg (20 sec between reps), Core: 5 rounds</x:t>
  </x:si>
  <x:si>
    <x:t xml:space="preserve">Muscle-up: 3 quality attempts + crisp high pulls; HSPU: Full-ROM attempts + back-off; Pistol: Sets of clean pistols</x:t>
  </x:si>
  <x:si>
    <x:t xml:space="preserve">A) Quality muscle-up attempts: 3 singles, B) Crisp high pull: 3 x 2, C) Clean pistol: 3 x 2/leg, Core: 5 rounds</x:t>
  </x:si>
  <x:si>
    <x:t xml:space="preserve">A) Full-ROM wall HSPU: 3 single attempts, B) Pike push-up back-off: 2 x 4, C) Clean pistol: 3 x 2/leg, Core: 5 rounds</x:t>
  </x:si>
  <x:si>
    <x:t xml:space="preserve">Test</x:t>
  </x:si>
  <x:si>
    <x:t xml:space="preserve">2 easy rounds; tests replace extras</x:t>
  </x:si>
  <x:si>
    <x:t xml:space="preserve">Muscle-up: Test after warm-up; HSPU: Test after warm-up; Pistol: Test after warm-up</x:t>
  </x:si>
  <x:si>
    <x:t xml:space="preserve">A) Muscle-up test: up to 3 rested singles, B) Pistol test: 1 clean set/leg (cap at 5), C) Easy scapular pull-up: 1 x 5 if time remains, Core: 2 rounds</x:t>
  </x:si>
  <x:si>
    <x:t xml:space="preserve">A) Wall HSPU test: 1 clean set (cap at 5), B) Easy wall handstand: 1 x 15 sec, C) Gentle wrist/shoulder mobility: 2 min, Core: 2 rounds</x:t>
  </x:si>
  <x:si>
    <x:t xml:space="preserve">Exercise arsenal</x:t>
  </x:si>
  <x:si>
    <x:t xml:space="preserve">Group</x:t>
  </x:si>
  <x:si>
    <x:t xml:space="preserve">Exercise</x:t>
  </x:si>
  <x:si>
    <x:t xml:space="preserve">Easy scapular pull-up</x:t>
  </x:si>
  <x:si>
    <x:t xml:space="preserve">Scapular pull-up</x:t>
  </x:si>
  <x:si>
    <x:t xml:space="preserve">Easy high pull</x:t>
  </x:si>
  <x:si>
    <x:t xml:space="preserve">High pull</x:t>
  </x:si>
  <x:si>
    <x:t xml:space="preserve">High pull (chest-to-bar intent)</x:t>
  </x:si>
  <x:si>
    <x:t xml:space="preserve">Explosive pull-up</x:t>
  </x:si>
  <x:si>
    <x:t xml:space="preserve">Chest-to-bar pull-up</x:t>
  </x:si>
  <x:si>
    <x:t xml:space="preserve">Crisp high pull</x:t>
  </x:si>
  <x:si>
    <x:t xml:space="preserve">Easy low-bar transition</x:t>
  </x:si>
  <x:si>
    <x:t xml:space="preserve">Low-bar transition</x:t>
  </x:si>
  <x:si>
    <x:t xml:space="preserve">Low-bar slow transition</x:t>
  </x:si>
  <x:si>
    <x:t xml:space="preserve">Band transition drill</x:t>
  </x:si>
  <x:si>
    <x:t xml:space="preserve">Band-assisted transition</x:t>
  </x:si>
  <x:si>
    <x:t xml:space="preserve">Jumping muscle-up</x:t>
  </x:si>
  <x:si>
    <x:t xml:space="preserve">Band-assisted muscle-up</x:t>
  </x:si>
  <x:si>
    <x:t xml:space="preserve">Stronger-band back-off muscle-up</x:t>
  </x:si>
  <x:si>
    <x:t xml:space="preserve">Light-band muscle-up</x:t>
  </x:si>
  <x:si>
    <x:t xml:space="preserve">Light-band or strict muscle-up</x:t>
  </x:si>
  <x:si>
    <x:t xml:space="preserve">Quality muscle-up attempts</x:t>
  </x:si>
  <x:si>
    <x:t xml:space="preserve">Muscle-up test</x:t>
  </x:si>
  <x:si>
    <x:t xml:space="preserve">Handstand / HSPU</x:t>
  </x:si>
  <x:si>
    <x:t xml:space="preserve">Easy chest-to-wall hold</x:t>
  </x:si>
  <x:si>
    <x:t xml:space="preserve">Chest-to-wall handstand</x:t>
  </x:si>
  <x:si>
    <x:t xml:space="preserve">Easy wall handstand</x:t>
  </x:si>
  <x:si>
    <x:t xml:space="preserve">Wall handstand</x:t>
  </x:si>
  <x:si>
    <x:t xml:space="preserve">Wall handstand line drill</x:t>
  </x:si>
  <x:si>
    <x:t xml:space="preserve">Easy pike push-up</x:t>
  </x:si>
  <x:si>
    <x:t xml:space="preserve">Pike push-up</x:t>
  </x:si>
  <x:si>
    <x:t xml:space="preserve">Elevated pike push-up</x:t>
  </x:si>
  <x:si>
    <x:t xml:space="preserve">Deficit pike push-up</x:t>
  </x:si>
  <x:si>
    <x:t xml:space="preserve">Wall HSPU negative</x:t>
  </x:si>
  <x:si>
    <x:t xml:space="preserve">Full-ROM wall HSPU negative</x:t>
  </x:si>
  <x:si>
    <x:t xml:space="preserve">Partial wall HSPU</x:t>
  </x:si>
  <x:si>
    <x:t xml:space="preserve">Deeper wall HSPU</x:t>
  </x:si>
  <x:si>
    <x:t xml:space="preserve">Full-ROM wall HSPU</x:t>
  </x:si>
  <x:si>
    <x:t xml:space="preserve">Wall HSPU clusters</x:t>
  </x:si>
  <x:si>
    <x:t xml:space="preserve">Pike push-up back-off</x:t>
  </x:si>
  <x:si>
    <x:t xml:space="preserve">Wall HSPU test</x:t>
  </x:si>
  <x:si>
    <x:t xml:space="preserve">Box pistol</x:t>
  </x:si>
  <x:si>
    <x:t xml:space="preserve">Lower-box pistol with counterweight</x:t>
  </x:si>
  <x:si>
    <x:t xml:space="preserve">Assisted pistol</x:t>
  </x:si>
  <x:si>
    <x:t xml:space="preserve">Assisted smooth pistol</x:t>
  </x:si>
  <x:si>
    <x:t xml:space="preserve">Assisted full-depth pistol</x:t>
  </x:si>
  <x:si>
    <x:t xml:space="preserve">Counterweight pistol</x:t>
  </x:si>
  <x:si>
    <x:t xml:space="preserve">Light-counterweight pistol</x:t>
  </x:si>
  <x:si>
    <x:t xml:space="preserve">Unassisted pistol to target</x:t>
  </x:si>
  <x:si>
    <x:t xml:space="preserve">Unassisted pistol</x:t>
  </x:si>
  <x:si>
    <x:t xml:space="preserve">Pistol clusters</x:t>
  </x:si>
  <x:si>
    <x:t xml:space="preserve">Clean pistol</x:t>
  </x:si>
  <x:si>
    <x:t xml:space="preserve">Pistol test</x:t>
  </x:si>
  <x:si>
    <x:t xml:space="preserve">Pull-up</x:t>
  </x:si>
  <x:si>
    <x:t xml:space="preserve">Push-up</x:t>
  </x:si>
  <x:si>
    <x:t xml:space="preserve">Weighted squat</x:t>
  </x:si>
  <x:si>
    <x:t xml:space="preserve">Upside-down hanging shoulder/ab work</x:t>
  </x:si>
  <x:si>
    <x:t xml:space="preserve">Mobility</x:t>
  </x:si>
  <x:si>
    <x:t xml:space="preserve">Gentle wrist/shoulder mobility</x:t>
  </x:si>
  <x:si>
    <x:t xml:space="preserve">Wrist/shoulder mobility</x:t>
  </x:si>
  <x:si>
    <x:t xml:space="preserve">Weekly schedule</x:t>
  </x:si>
  <x:si>
    <x:t xml:space="preserve">Day</x:t>
  </x:si>
  <x:si>
    <x:t xml:space="preserve">Time Start</x:t>
  </x:si>
  <x:si>
    <x:t xml:space="preserve">Time End</x:t>
  </x:si>
  <x:si>
    <x:t xml:space="preserve">Activity</x:t>
  </x:si>
  <x:si>
    <x:t xml:space="preserve">Recorded by</x:t>
  </x:si>
  <x:si>
    <x:t xml:space="preserve">Notes</x:t>
  </x:si>
  <x:si>
    <x:t xml:space="preserve">Monday</x:t>
  </x:si>
  <x:si>
    <x:t xml:space="preserve">Tuesday</x:t>
  </x:si>
  <x:si>
    <x:t xml:space="preserve">Tracker</x:t>
  </x:si>
  <x:si>
    <x:t xml:space="preserve">Regular weekly swim training</x:t>
  </x:si>
  <x:si>
    <x:t xml:space="preserve">Wednesday</x:t>
  </x:si>
  <x:si>
    <x:t xml:space="preserve">Thursday</x:t>
  </x:si>
  <x:si>
    <x:t xml:space="preserve">Friday</x:t>
  </x:si>
  <x:si>
    <x:t xml:space="preserve">Saturday</x:t>
  </x:si>
  <x:si>
    <x:t xml:space="preserve">Sunday</x:t>
  </x:si>
  <x:si>
    <x:t xml:space="preserve">Regular weekly run</x:t>
  </x:si>
  <x:si>
    <x:t xml:space="preserve">C</x:t>
  </x:si>
  <x:si>
    <x:t xml:space="preserve">Date</x:t>
  </x:si>
  <x:si>
    <x:t xml:space="preserve">Block</x:t>
  </x:si>
  <x:si>
    <x:t xml:space="preserve">Title</x:t>
  </x:si>
  <x:si>
    <x:t xml:space="preserve">Planned minutes</x:t>
  </x:si>
  <x:si>
    <x:t xml:space="preserve">Actual minutes</x:t>
  </x:si>
  <x:si>
    <x:t xml:space="preserve">Status</x:t>
  </x:si>
  <x:si>
    <x:t xml:space="preserve">Done</x:t>
  </x:si>
  <x:si>
    <x:t xml:space="preserve">Skill A + interval circuit</x:t>
  </x:si>
  <x:si>
    <x:t xml:space="preserve">planned</x:t>
  </x:si>
  <x:si>
    <x:t xml:space="preserve">10 min easy technique
A) Wrist/shoulder mobility: 2 min
B) Easy chest-to-wall hold: 3 x 15 sec
C) Wall handstand line drill: 2 x 15 sec</x:t>
  </x:si>
  <x:si>
    <x:t xml:space="preserve">Handstand technique</x:t>
  </x:si>
  <x:si>
    <x:t xml:space="preserve">Skill B + circuit</x:t>
  </x:si>
  <x:si>
    <x:t xml:space="preserve">20 min easy technique
A) Wrist/shoulder mobility: 2 min
B) Easy chest-to-wall hold: 3 x 15 sec
C) Wall handstand line drill: 3 x 15 sec</x:t>
  </x:si>
  <x:si>
    <x:t xml:space="preserve">Skill micro-session</x:t>
  </x:si>
  <x:si>
    <x:t xml:space="preserve">5 min easy technique
A) Wrist/shoulder mobility: 1 min
B) Easy chest-to-wall hold: 2 x 10 sec
C) Wall handstand line drill: 1 x 10 sec</x:t>
  </x:si>
  <x:si>
    <x:t xml:space="preserve">Skill B + interval circuit</x:t>
  </x:si>
  <x:si>
    <x:t xml:space="preserve">10 min easy technique
A) Wrist/shoulder mobility: 1 min
B) Easy chest-to-wall hold: 2 x 10 sec
C) Wall handstand line drill: 1 x 10 sec</x:t>
  </x:si>
</x:sst>
</file>

<file path=xl/styles.xml><?xml version="1.0" encoding="utf-8"?>
<x:styleSheet xmlns:x="http://schemas.openxmlformats.org/spreadsheetml/2006/main">
  <x:numFmts count="18">
    <x:numFmt numFmtId="164" formatCode="General"/>
    <x:numFmt numFmtId="165" formatCode="_-* #,##0.00\ _€_-;\-* #,##0.00\ _€_-;_-* \-??\ _€_-;_-@_-"/>
    <x:numFmt numFmtId="166" formatCode="_-* #,##0.00\ _€_-;\-* #,##0.00\ _€_-;_-* \-??\ _€_-;_-@_-"/>
    <x:numFmt numFmtId="167" formatCode="_-* #,##0\ _€_-;\-* #,##0\ _€_-;_-* &quot;- &quot;_€_-;_-@_-"/>
    <x:numFmt numFmtId="168" formatCode="_-* #,##0\ _€_-;\-* #,##0\ _€_-;_-* &quot;- &quot;_€_-;_-@_-"/>
    <x:numFmt numFmtId="169" formatCode="_-* #,##0.00&quot; €&quot;_-;\-* #,##0.00&quot; €&quot;_-;_-* \-??&quot; €&quot;_-;_-@_-"/>
    <x:numFmt numFmtId="170" formatCode="_-* #,##0.00&quot; €&quot;_-;\-* #,##0.00&quot; €&quot;_-;_-* \-??&quot; €&quot;_-;_-@_-"/>
    <x:numFmt numFmtId="171" formatCode="_-* #,##0&quot; €&quot;_-;\-* #,##0&quot; €&quot;_-;_-* &quot;- €&quot;_-;_-@_-"/>
    <x:numFmt numFmtId="172" formatCode="_-* #,##0&quot; €&quot;_-;\-* #,##0&quot; €&quot;_-;_-* &quot;- €&quot;_-;_-@_-"/>
    <x:numFmt numFmtId="173" formatCode="0\ %"/>
    <x:numFmt numFmtId="174" formatCode="0\ %"/>
    <x:numFmt numFmtId="175" formatCode="yyyy\-mm\-dd"/>
    <x:numFmt numFmtId="176" formatCode="hh:mm"/>
    <x:numFmt numFmtId="177" formatCode="0"/>
    <x:numFmt numFmtId="200" formatCode="mm:ss"/>
    <x:numFmt numFmtId="201" formatCode="yyyy-mm-dd"/>
    <x:numFmt numFmtId="202" formatCode="0.0"/>
    <x:numFmt numFmtId="203" formatCode="0.00"/>
  </x:numFmts>
  <x:fonts count="31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  <x:family val="2"/>
    </x:font>
    <x:font>
      <x:sz val="11"/>
      <x:name val="Calibri"/>
    </x:font>
    <x:font>
      <x:b/>
      <x:sz val="10"/>
      <x:color rgb="FF243247"/>
      <x:name val="Arial"/>
    </x:font>
    <x:font>
      <x:sz val="10"/>
      <x:color rgb="FF243247"/>
      <x:name val="Arial"/>
    </x:font>
    <x:font>
      <x:sz val="10"/>
      <x:color rgb="FF243247"/>
      <x:name val="Arial"/>
      <x:family val="2"/>
    </x:font>
    <x:font>
      <x:b/>
      <x:sz val="10"/>
      <x:color rgb="FFFFFFFF"/>
      <x:name val="Arial"/>
    </x:font>
    <x:font>
      <x:b/>
      <x:sz val="10"/>
      <x:color rgb="FF243247"/>
      <x:name val="Arial"/>
      <x:family val="2"/>
    </x:font>
    <x:font>
      <x:b/>
      <x:sz val="13"/>
      <x:color rgb="FFFFFFFF"/>
      <x:name val="Arial"/>
      <x:family val="2"/>
    </x:font>
    <x:font>
      <x:b/>
      <x:sz val="10"/>
      <x:color rgb="FFFFFFFF"/>
      <x:name val="Arial"/>
      <x:family val="2"/>
    </x:font>
    <x:font>
      <x:b/>
      <x:sz val="10"/>
      <x:color rgb="FF334155"/>
      <x:name val="Arial"/>
    </x:font>
    <x:font>
      <x:sz val="10"/>
      <x:color rgb="FF334155"/>
      <x:name val="Arial"/>
    </x:font>
    <x:font>
      <x:sz val="10"/>
      <x:color rgb="FF334155"/>
      <x:name val="Arial"/>
      <x:family val="2"/>
    </x:font>
    <x:font>
      <x:b/>
      <x:sz val="10"/>
      <x:color rgb="FF334155"/>
      <x:name val="Arial"/>
      <x:family val="2"/>
    </x:font>
    <x:font>
      <x:b/>
      <x:sz val="10"/>
      <x:color rgb="FF475569"/>
      <x:name val="Arial"/>
    </x:font>
    <x:font>
      <x:b/>
      <x:sz val="10"/>
      <x:color rgb="FF355A4B"/>
      <x:name val="Arial"/>
    </x:font>
    <x:font>
      <x:b/>
      <x:sz val="11"/>
      <x:color rgb="FF334155"/>
      <x:name val="Arial"/>
      <x:family val="2"/>
    </x:font>
    <x:font>
      <x:b/>
      <x:sz val="10"/>
      <x:color rgb="FF475569"/>
      <x:name val="Arial"/>
      <x:family val="2"/>
    </x:font>
    <x:font>
      <x:sz val="10"/>
      <x:color rgb="FF64748B"/>
      <x:name val="Arial"/>
      <x:family val="2"/>
    </x:font>
    <x:font>
      <x:sz val="10"/>
      <x:color rgb="FF334155"/>
      <x:name val="Arial"/>
    </x:font>
    <x:font>
      <x:sz val="10"/>
      <x:color rgb="FF334155"/>
      <x:name val="Arial"/>
      <x:family val="2"/>
    </x:font>
    <x:font>
      <x:b/>
      <x:sz val="10"/>
      <x:color rgb="FF334D45"/>
      <x:name val="Arial"/>
    </x:font>
    <x:font>
      <x:b/>
      <x:sz val="10"/>
      <x:color rgb="FF334D45"/>
      <x:name val="Arial"/>
      <x:family val="2"/>
    </x:font>
    <x:font>
      <x:b/>
      <x:sz val="14"/>
      <x:color rgb="FF334155"/>
      <x:name val="Arial"/>
      <x:family val="2"/>
    </x:font>
    <x:font>
      <x:sz val="10"/>
      <x:color rgb="FF475569"/>
      <x:name val="Arial"/>
      <x:family val="2"/>
    </x:font>
    <x:font>
      <x:b/>
      <x:sz val="12"/>
      <x:color rgb="FF334155"/>
      <x:name val="Arial"/>
      <x:family val="2"/>
    </x:font>
    <x:font>
      <x:sz val="10"/>
      <x:color rgb="FF253442"/>
      <x:name val="Arial"/>
      <x:family val="2"/>
    </x:font>
  </x:fonts>
  <x:fills count="50">
    <x:fill>
      <x:patternFill patternType="none"/>
    </x:fill>
    <x:fill>
      <x:patternFill patternType="gray125"/>
    </x:fill>
    <x:fill>
      <x:patternFill patternType="solid">
        <x:fgColor rgb="FFD9E3EF"/>
      </x:patternFill>
    </x:fill>
    <x:fill>
      <x:patternFill patternType="solid">
        <x:fgColor rgb="FF33465E"/>
      </x:patternFill>
    </x:fill>
    <x:fill>
      <x:patternFill patternType="solid">
        <x:fgColor rgb="FFE8EFF8"/>
      </x:patternFill>
    </x:fill>
    <x:fill>
      <x:patternFill patternType="solid">
        <x:fgColor rgb="FFFFF4D6"/>
      </x:patternFill>
    </x:fill>
    <x:fill>
      <x:patternFill patternType="solid">
        <x:fgColor rgb="FFF0F2F5"/>
      </x:patternFill>
    </x:fill>
    <x:fill>
      <x:patternFill patternType="solid">
        <x:fgColor rgb="FFE6ECF3"/>
      </x:patternFill>
    </x:fill>
    <x:fill>
      <x:patternFill patternType="solid">
        <x:fgColor rgb="FFE8F3EC"/>
      </x:patternFill>
    </x:fill>
    <x:fill>
      <x:patternFill patternType="solid">
        <x:fgColor rgb="FFFFF4D5"/>
      </x:patternFill>
    </x:fill>
    <x:fill>
      <x:patternFill patternType="solid">
        <x:fgColor rgb="FFFFFFFF"/>
      </x:patternFill>
    </x:fill>
    <x:fill>
      <x:patternFill patternType="solid">
        <x:fgColor rgb="FFF5F7F8"/>
      </x:patternFill>
    </x:fill>
    <x:fill>
      <x:patternFill patternType="solid">
        <x:fgColor rgb="FFE7EDEE"/>
      </x:patternFill>
    </x:fill>
    <x:fill>
      <x:patternFill patternType="solid">
        <x:fgColor rgb="FFF0F3F4"/>
      </x:patternFill>
    </x:fill>
    <x:fill>
      <x:patternFill patternType="solid">
        <x:fgColor rgb="FFEFF5F1"/>
      </x:patternFill>
    </x:fill>
    <x:fill>
      <x:patternFill patternType="solid">
        <x:fgColor rgb="FFDDEBE4"/>
      </x:patternFill>
    </x:fill>
    <x:fill>
      <x:patternFill patternType="solid">
        <x:fgColor rgb="FFE4EAF0"/>
      </x:patternFill>
    </x:fill>
    <x:fill>
      <x:patternFill patternType="solid">
        <x:fgColor rgb="FFFFFFFF"/>
      </x:patternFill>
    </x:fill>
    <x:fill>
      <x:patternFill patternType="solid">
        <x:fgColor rgb="FFF7F9FA"/>
      </x:patternFill>
    </x:fill>
    <x:fill>
      <x:patternFill patternType="solid">
        <x:fgColor rgb="FFE6ECEA"/>
      </x:patternFill>
    </x:fill>
    <x:fill>
      <x:patternFill patternType="solid">
        <x:fgColor rgb="FFF0F3F4"/>
      </x:patternFill>
    </x:fill>
    <x:fill>
      <x:patternFill patternType="solid">
        <x:fgColor rgb="FFDCEAE3"/>
      </x:patternFill>
    </x:fill>
    <x:fill>
      <x:patternFill patternType="solid">
        <x:fgColor rgb="FFE4EAF0"/>
      </x:patternFill>
    </x:fill>
    <x:fill>
      <x:patternFill patternType="solid">
        <x:fgColor rgb="FFEAF3ED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F7F9FA"/>
      </x:patternFill>
    </x:fill>
    <x:fill>
      <x:patternFill patternType="solid">
        <x:fgColor rgb="FFEAF3ED"/>
      </x:patternFill>
    </x:fill>
    <x:fill>
      <x:patternFill patternType="solid">
        <x:fgColor rgb="FFFFFFFF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E4EAF0"/>
      </x:patternFill>
    </x:fill>
    <x:fill>
      <x:patternFill patternType="solid">
        <x:fgColor rgb="FFF7F9FA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F7F9FA"/>
      </x:patternFill>
    </x:fill>
    <x:fill>
      <x:patternFill patternType="solid">
        <x:fgColor rgb="FFFFFFFF"/>
      </x:patternFill>
    </x:fill>
    <x:fill>
      <x:patternFill patternType="solid">
        <x:fgColor rgb="FFE4EAF0"/>
      </x:patternFill>
    </x:fill>
    <x:fill>
      <x:patternFill patternType="solid">
        <x:fgColor rgb="FFE3EAF0"/>
      </x:patternFill>
    </x:fill>
    <x:fill>
      <x:patternFill patternType="solid">
        <x:fgColor rgb="FFF5F7F9"/>
      </x:patternFill>
    </x:fill>
    <x:fill>
      <x:patternFill patternType="solid">
        <x:fgColor rgb="FFE8F2EC"/>
      </x:patternFill>
    </x:fill>
    <x:fill>
      <x:patternFill patternType="solid">
        <x:fgColor rgb="FFFFFFFF"/>
      </x:patternFill>
    </x:fill>
    <x:fill>
      <x:patternFill patternType="solid">
        <x:fgColor rgb="FFF2F8F4"/>
      </x:patternFill>
    </x:fill>
    <x:fill>
      <x:patternFill patternType="solid">
        <x:fgColor rgb="FFEEF2F5"/>
      </x:patternFill>
    </x:fill>
    <x:fill>
      <x:patternFill patternType="solid">
        <x:fgColor rgb="FFE7F3EC"/>
      </x:patternFill>
    </x:fill>
    <x:fill>
      <x:patternFill patternType="solid">
        <x:fgColor rgb="FFF1F8F4"/>
      </x:patternFill>
    </x:fill>
    <x:fill>
      <x:patternFill patternType="solid">
        <x:fgColor rgb="FFEDF2F6"/>
      </x:patternFill>
    </x:fill>
    <x:fill>
      <x:patternFill patternType="solid">
        <x:fgColor rgb="FFFFFFFF"/>
      </x:patternFill>
    </x:fill>
    <x:fill>
      <x:patternFill patternType="solid">
        <x:fgColor rgb="FFF5F7F9"/>
      </x:patternFill>
    </x:fill>
    <x:fill>
      <x:patternFill patternType="solid">
        <x:fgColor rgb="FFEDF2F6"/>
      </x:patternFill>
    </x:fill>
  </x:fills>
  <x:borders count="11">
    <x:border diagonalUp="0" diagonalDown="0">
      <x:left/>
      <x:right/>
      <x:top/>
      <x:bottom/>
      <x:diagonal/>
    </x:border>
    <x:border diagonalUp="0" diagonalDown="0">
      <x:left style="thin"/>
      <x:right/>
      <x:top style="thin"/>
      <x:bottom style="thin"/>
      <x:diagonal/>
    </x:border>
    <x:border diagonalUp="0" diagonalDown="0">
      <x:left/>
      <x:right style="thin"/>
      <x:top style="thin"/>
      <x:bottom/>
      <x:diagonal/>
    </x:border>
    <x:border diagonalUp="0" diagonalDown="0">
      <x:left/>
      <x:right style="thin"/>
      <x:top/>
      <x:bottom/>
      <x:diagonal/>
    </x:border>
    <x:border diagonalUp="0" diagonalDown="0">
      <x:left/>
      <x:right style="thin"/>
      <x:top/>
      <x:bottom style="thin"/>
      <x:diagonal/>
    </x:border>
    <x:border diagonalUp="0" diagonalDown="0">
      <x:left/>
      <x:right/>
      <x:top style="thin">
        <x:color rgb="FF8297AD"/>
      </x:top>
      <x:bottom style="thin">
        <x:color rgb="FFCCD6E2"/>
      </x:bottom>
      <x:diagonal/>
    </x:border>
    <x:border diagonalUp="0" diagonalDown="0">
      <x:left/>
      <x:right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none"/>
      <x:bottom style="none"/>
      <x:diagonal/>
    </x:border>
    <x:border diagonalUp="0" diagonalDown="0">
      <x:left style="thin">
        <x:color rgb="FFCBD5DF"/>
      </x:left>
      <x:right style="none"/>
      <x:top style="none"/>
      <x:bottom style="none"/>
      <x:diagonal/>
    </x:border>
    <x:border diagonalUp="0" diagonalDown="0">
      <x:left style="thin">
        <x:color rgb="FFE5E9ED"/>
      </x:left>
      <x:right style="thin">
        <x:color rgb="FFE5E9ED"/>
      </x:right>
      <x:top style="thin">
        <x:color rgb="FFE5E9ED"/>
      </x:top>
      <x:bottom style="thin">
        <x:color rgb="FFE5E9ED"/>
      </x:bottom>
      <x:diagonal/>
    </x:border>
    <x:border diagonalUp="0" diagonalDown="0">
      <x:left style="thin">
        <x:color rgb="FFC5D1D5"/>
      </x:left>
      <x:right style="thin">
        <x:color rgb="FFE5E9ED"/>
      </x:right>
      <x:top style="thin">
        <x:color rgb="FFE5E9ED"/>
      </x:top>
      <x:bottom style="thin">
        <x:color rgb="FFE5E9ED"/>
      </x:bottom>
      <x:diagonal/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4" fillId="0" borderId="0" applyFont="1" applyBorder="0" applyAlignment="0" applyProtection="0"/>
    <x:xf numFmtId="167" fontId="4" fillId="0" borderId="0" applyFont="1" applyBorder="0" applyAlignment="0" applyProtection="0"/>
    <x:xf numFmtId="168" fontId="4" fillId="0" borderId="0" applyFont="1" applyBorder="0" applyAlignment="0" applyProtection="0"/>
    <x:xf numFmtId="169" fontId="4" fillId="0" borderId="0" applyFont="1" applyBorder="0" applyAlignment="0" applyProtection="0"/>
    <x:xf numFmtId="170" fontId="4" fillId="0" borderId="0" applyFont="1" applyBorder="0" applyAlignment="0" applyProtection="0"/>
    <x:xf numFmtId="171" fontId="4" fillId="0" borderId="0" applyFont="1" applyBorder="0" applyAlignment="0" applyProtection="0"/>
    <x:xf numFmtId="172" fontId="4" fillId="0" borderId="0" applyFont="1" applyBorder="0" applyAlignment="0" applyProtection="0"/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4" fontId="4" fillId="0" borderId="0" applyFont="1" applyBorder="0" applyAlignment="0" applyProtection="0"/>
  </x:cellStyleXfs>
  <x:cellXfs count="385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0" borderId="0" xfId="30" applyFont="0" applyBorder="0" applyAlignment="1" applyProtection="1">
      <x:alignment horizontal="general" vertical="bottom" wrapText="0" shrinkToFit="0"/>
      <x:protection locked="1" hidden="0"/>
    </x:xf>
    <x:xf numFmtId="164" fontId="7" fillId="2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0" borderId="0" xfId="30" applyFont="1" applyBorder="1" applyAlignment="1" applyProtection="1">
      <x:alignment horizontal="general" vertical="top" wrapText="1" shrinkToFit="0"/>
      <x:protection locked="1" hidden="0"/>
    </x:xf>
    <x:xf numFmtId="164" fontId="9" fillId="0" borderId="0" xfId="30" applyFont="1" applyBorder="1" applyAlignment="1" applyProtection="1">
      <x:alignment horizontal="general" vertical="top" wrapText="1" shrinkToFit="0"/>
      <x:protection locked="1" hidden="0"/>
    </x:xf>
    <x:xf numFmtId="164" fontId="10" fillId="3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0" xfId="30" applyFont="1" applyBorder="1" applyAlignment="1" applyProtection="1">
      <x:alignment horizontal="general" vertical="top" wrapText="1" shrinkToFit="0"/>
      <x:protection locked="1" hidden="0"/>
    </x:xf>
    <x:xf numFmtId="175" fontId="8" fillId="5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2" borderId="0" xfId="28" applyFont="1" applyBorder="1" applyAlignment="1" applyProtection="0">
      <x:alignment horizontal="general" vertical="top" wrapText="1" shrinkToFit="0"/>
      <x:protection locked="1" hidden="0"/>
    </x:xf>
    <x:xf numFmtId="164" fontId="9" fillId="2" borderId="0" xfId="28" applyFont="1" applyBorder="1" applyAlignment="1" applyProtection="0">
      <x:alignment horizontal="general" vertical="top" wrapText="1" shrinkToFit="0"/>
      <x:protection locked="1" hidden="0"/>
    </x:xf>
    <x:xf numFmtId="164" fontId="10" fillId="3" borderId="0" xfId="28" applyFont="1" applyBorder="1" applyAlignment="1" applyProtection="0">
      <x:alignment horizontal="general" vertical="top" wrapText="1" shrinkToFit="0"/>
      <x:protection locked="1" hidden="0"/>
    </x:xf>
    <x:xf numFmtId="164" fontId="8" fillId="5" borderId="0" xfId="28" applyFont="1" applyBorder="1" applyAlignment="1" applyProtection="0">
      <x:alignment horizontal="general" vertical="top" wrapText="1" shrinkToFit="0"/>
      <x:protection locked="1" hidden="0"/>
    </x:xf>
    <x:xf numFmtId="164" fontId="9" fillId="5" borderId="0" xfId="28" applyFont="1" applyBorder="1" applyAlignment="1" applyProtection="0">
      <x:alignment horizontal="general" vertical="top" wrapText="1" shrinkToFit="0"/>
      <x:protection locked="1" hidden="0"/>
    </x:xf>
    <x:xf numFmtId="164" fontId="8" fillId="4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5" borderId="0" xfId="28" applyFont="1" applyBorder="1" applyAlignment="1" applyProtection="1">
      <x:alignment horizontal="general" vertical="top" wrapText="1" shrinkToFit="0"/>
      <x:protection locked="1" hidden="0"/>
    </x:xf>
    <x:xf numFmtId="164" fontId="11" fillId="2" borderId="0" xfId="30" applyFont="1" applyBorder="1" applyAlignment="1" applyProtection="1">
      <x:alignment horizontal="general" vertical="top" wrapText="1" shrinkToFit="0"/>
      <x:protection locked="1" hidden="0"/>
    </x:xf>
    <x:xf numFmtId="175" fontId="8" fillId="6" borderId="0" xfId="30" applyFont="1" applyBorder="1" applyAlignment="1" applyProtection="1">
      <x:alignment horizontal="general" vertical="top" wrapText="1" shrinkToFit="0"/>
      <x:protection locked="1" hidden="0"/>
    </x:xf>
    <x:xf numFmtId="164" fontId="7" fillId="7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1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2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3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4" xfId="30" applyFont="1" applyBorder="1" applyAlignment="1" applyProtection="1">
      <x:alignment horizontal="general" vertical="top" wrapText="1" shrinkToFit="0"/>
      <x:protection locked="1" hidden="0"/>
    </x:xf>
    <x:xf numFmtId="164" fontId="9" fillId="2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5" xfId="30" applyFont="1" applyBorder="1" applyAlignment="1" applyProtection="1">
      <x:alignment horizontal="general" vertical="top" wrapText="1" shrinkToFit="0"/>
      <x:protection locked="1" hidden="0"/>
    </x:xf>
    <x:xf numFmtId="176" fontId="8" fillId="5" borderId="5" xfId="30" applyFont="1" applyBorder="1" applyAlignment="1" applyProtection="1">
      <x:alignment horizontal="general" vertical="top" wrapText="1" shrinkToFit="0"/>
      <x:protection locked="1" hidden="0"/>
    </x:xf>
    <x:xf numFmtId="177" fontId="8" fillId="6" borderId="5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5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6" xfId="30" applyFont="1" applyBorder="1" applyAlignment="1" applyProtection="1">
      <x:alignment horizontal="general" vertical="top" wrapText="1" shrinkToFit="0"/>
      <x:protection locked="1" hidden="0"/>
    </x:xf>
    <x:xf numFmtId="176" fontId="8" fillId="5" borderId="6" xfId="30" applyFont="1" applyBorder="1" applyAlignment="1" applyProtection="1">
      <x:alignment horizontal="general" vertical="top" wrapText="1" shrinkToFit="0"/>
      <x:protection locked="1" hidden="0"/>
    </x:xf>
    <x:xf numFmtId="177" fontId="8" fillId="6" borderId="6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6" xfId="30" applyFont="1" applyBorder="1" applyAlignment="1" applyProtection="1">
      <x:alignment horizontal="general" vertical="top" wrapText="1" shrinkToFit="0"/>
      <x:protection locked="1" hidden="0"/>
    </x:xf>
    <x:xf numFmtId="164" fontId="12" fillId="3" borderId="0" xfId="28" applyFont="1" applyBorder="1" applyAlignment="1" applyProtection="0">
      <x:alignment horizontal="center" vertical="center" wrapText="0" shrinkToFit="0"/>
      <x:protection locked="1" hidden="0"/>
    </x:xf>
    <x:xf numFmtId="164" fontId="10" fillId="3" borderId="0" xfId="28" applyFont="1" applyBorder="1" applyAlignment="1" applyProtection="1">
      <x:alignment horizontal="general" vertical="top" wrapText="1" shrinkToFit="0"/>
      <x:protection locked="1" hidden="0"/>
    </x:xf>
    <x:xf numFmtId="164" fontId="13" fillId="3" borderId="0" xfId="28" applyFont="1" applyBorder="1" applyAlignment="1" applyProtection="0">
      <x:alignment horizontal="center" vertical="bottom" wrapText="1" shrinkToFit="0"/>
      <x:protection locked="1" hidden="0"/>
    </x:xf>
    <x:xf numFmtId="164" fontId="13" fillId="3" borderId="0" xfId="28" applyFont="1" applyBorder="1" applyAlignment="1" applyProtection="0">
      <x:alignment horizontal="general" vertical="bottom" wrapText="1" shrinkToFit="0"/>
      <x:protection locked="1" hidden="0"/>
    </x:xf>
    <x:xf numFmtId="175" fontId="8" fillId="6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6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8" borderId="0" xfId="28" applyFont="1" applyBorder="1" applyAlignment="1" applyProtection="1">
      <x:alignment horizontal="general" vertical="top" wrapText="1" shrinkToFit="0"/>
      <x:protection locked="1" hidden="0"/>
    </x:xf>
    <x:xf numFmtId="164" fontId="5" fillId="9" borderId="0" xfId="28" applyFont="1" applyBorder="1" applyAlignment="1" applyProtection="0">
      <x:alignment horizontal="general" vertical="bottom" wrapText="0" shrinkToFit="0"/>
      <x:protection locked="1" hidden="0"/>
    </x:xf>
    <x:xf numFmtId="164" fontId="0" fillId="0" borderId="0" xfId="0" applyFont="0" applyBorder="0" applyAlignment="0" applyProtection="0">
      <x:alignment horizontal="general" vertical="bottom" wrapText="0" shrinkToFit="0"/>
      <x:protection locked="1" hidden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7" fillId="10" borderId="0" xfId="0" applyNumberFormat="1" applyFont="1" applyFill="1" applyBorder="1" applyAlignment="1">
      <x:alignment horizontal="general" vertical="top" wrapText="1"/>
    </x:xf>
    <x:xf numFmtId="164" fontId="8" fillId="10" borderId="0" xfId="0" applyNumberFormat="1" applyFont="1" applyFill="1" applyBorder="1" applyAlignment="1">
      <x:alignment horizontal="general" vertical="top" wrapText="1"/>
    </x:xf>
    <x:xf numFmtId="164" fontId="9" fillId="10" borderId="0" xfId="0" applyNumberFormat="1" applyFont="1" applyFill="1" applyBorder="1" applyAlignment="1">
      <x:alignment horizontal="general" vertical="top" wrapText="1"/>
    </x:xf>
    <x:xf numFmtId="164" fontId="10" fillId="10" borderId="0" xfId="0" applyNumberFormat="1" applyFont="1" applyFill="1" applyBorder="1" applyAlignment="1">
      <x:alignment horizontal="general" vertical="top" wrapText="1"/>
    </x:xf>
    <x:xf numFmtId="175" fontId="8" fillId="10" borderId="0" xfId="0" applyNumberFormat="1" applyFont="1" applyFill="1" applyBorder="1" applyAlignment="1">
      <x:alignment horizontal="general" vertical="top" wrapText="1"/>
    </x:xf>
    <x:xf numFmtId="164" fontId="11" fillId="10" borderId="0" xfId="0" applyNumberFormat="1" applyFont="1" applyFill="1" applyBorder="1" applyAlignment="1">
      <x:alignment horizontal="general" vertical="top" wrapText="1"/>
    </x:xf>
    <x:xf numFmtId="164" fontId="8" fillId="10" borderId="1" xfId="0" applyNumberFormat="1" applyFont="1" applyFill="1" applyBorder="1" applyAlignment="1">
      <x:alignment horizontal="general" vertical="top" wrapText="1"/>
    </x:xf>
    <x:xf numFmtId="164" fontId="8" fillId="10" borderId="2" xfId="0" applyNumberFormat="1" applyFont="1" applyFill="1" applyBorder="1" applyAlignment="1">
      <x:alignment horizontal="general" vertical="top" wrapText="1"/>
    </x:xf>
    <x:xf numFmtId="164" fontId="8" fillId="10" borderId="3" xfId="0" applyNumberFormat="1" applyFont="1" applyFill="1" applyBorder="1" applyAlignment="1">
      <x:alignment horizontal="general" vertical="top" wrapText="1"/>
    </x:xf>
    <x:xf numFmtId="164" fontId="8" fillId="10" borderId="4" xfId="0" applyNumberFormat="1" applyFont="1" applyFill="1" applyBorder="1" applyAlignment="1">
      <x:alignment horizontal="general" vertical="top" wrapText="1"/>
    </x:xf>
    <x:xf numFmtId="164" fontId="14" fillId="10" borderId="0" xfId="0" applyNumberFormat="1" applyFont="1" applyFill="1" applyBorder="1" applyAlignment="1">
      <x:alignment horizontal="general" vertical="top" wrapText="1"/>
    </x:xf>
    <x:xf numFmtId="164" fontId="15" fillId="10" borderId="0" xfId="0" applyNumberFormat="1" applyFont="1" applyFill="1" applyBorder="1" applyAlignment="1">
      <x:alignment horizontal="general" vertical="top" wrapText="1"/>
    </x:xf>
    <x:xf numFmtId="164" fontId="16" fillId="10" borderId="0" xfId="0" applyNumberFormat="1" applyFont="1" applyFill="1" applyBorder="1" applyAlignment="1">
      <x:alignment horizontal="general" vertical="top" wrapText="1"/>
    </x:xf>
    <x:xf numFmtId="175" fontId="15" fillId="10" borderId="0" xfId="0" applyNumberFormat="1" applyFont="1" applyFill="1" applyBorder="1" applyAlignment="1">
      <x:alignment horizontal="general" vertical="top" wrapText="1"/>
    </x:xf>
    <x:xf numFmtId="164" fontId="17" fillId="10" borderId="0" xfId="0" applyNumberFormat="1" applyFont="1" applyFill="1" applyBorder="1" applyAlignment="1">
      <x:alignment horizontal="general" vertical="top" wrapText="1"/>
    </x:xf>
    <x:xf numFmtId="164" fontId="15" fillId="10" borderId="1" xfId="0" applyNumberFormat="1" applyFont="1" applyFill="1" applyBorder="1" applyAlignment="1">
      <x:alignment horizontal="general" vertical="top" wrapText="1"/>
    </x:xf>
    <x:xf numFmtId="164" fontId="15" fillId="10" borderId="2" xfId="0" applyNumberFormat="1" applyFont="1" applyFill="1" applyBorder="1" applyAlignment="1">
      <x:alignment horizontal="general" vertical="top" wrapText="1"/>
    </x:xf>
    <x:xf numFmtId="164" fontId="15" fillId="10" borderId="3" xfId="0" applyNumberFormat="1" applyFont="1" applyFill="1" applyBorder="1" applyAlignment="1">
      <x:alignment horizontal="general" vertical="top" wrapText="1"/>
    </x:xf>
    <x:xf numFmtId="164" fontId="15" fillId="10" borderId="4" xfId="0" applyNumberFormat="1" applyFont="1" applyFill="1" applyBorder="1" applyAlignment="1">
      <x:alignment horizontal="general" vertical="top" wrapText="1"/>
    </x:xf>
    <x:xf numFmtId="164" fontId="14" fillId="10" borderId="7" xfId="0" applyNumberFormat="1" applyFont="1" applyFill="1" applyBorder="1" applyAlignment="1">
      <x:alignment horizontal="general" vertical="top" wrapText="1"/>
    </x:xf>
    <x:xf numFmtId="164" fontId="15" fillId="10" borderId="7" xfId="0" applyNumberFormat="1" applyFont="1" applyFill="1" applyBorder="1" applyAlignment="1">
      <x:alignment horizontal="general" vertical="top" wrapText="1"/>
    </x:xf>
    <x:xf numFmtId="164" fontId="16" fillId="10" borderId="7" xfId="0" applyNumberFormat="1" applyFont="1" applyFill="1" applyBorder="1" applyAlignment="1">
      <x:alignment horizontal="general" vertical="top" wrapText="1"/>
    </x:xf>
    <x:xf numFmtId="175" fontId="15" fillId="10" borderId="7" xfId="0" applyNumberFormat="1" applyFont="1" applyFill="1" applyBorder="1" applyAlignment="1">
      <x:alignment horizontal="general" vertical="top" wrapText="1"/>
    </x:xf>
    <x:xf numFmtId="164" fontId="17" fillId="10" borderId="7" xfId="0" applyNumberFormat="1" applyFont="1" applyFill="1" applyBorder="1" applyAlignment="1">
      <x:alignment horizontal="general" vertical="top" wrapText="1"/>
    </x:xf>
    <x:xf numFmtId="164" fontId="15" fillId="11" borderId="7" xfId="0" applyNumberFormat="1" applyFont="1" applyFill="1" applyBorder="1" applyAlignment="1">
      <x:alignment horizontal="general" vertical="top" wrapText="1"/>
    </x:xf>
    <x:xf numFmtId="175" fontId="15" fillId="11" borderId="7" xfId="0" applyNumberFormat="1" applyFont="1" applyFill="1" applyBorder="1" applyAlignment="1">
      <x:alignment horizontal="general" vertical="top" wrapText="1"/>
    </x:xf>
    <x:xf numFmtId="164" fontId="16" fillId="11" borderId="7" xfId="0" applyNumberFormat="1" applyFont="1" applyFill="1" applyBorder="1" applyAlignment="1">
      <x:alignment horizontal="general" vertical="top" wrapText="1"/>
    </x:xf>
    <x:xf numFmtId="164" fontId="14" fillId="11" borderId="7" xfId="0" applyNumberFormat="1" applyFont="1" applyFill="1" applyBorder="1" applyAlignment="1">
      <x:alignment horizontal="general" vertical="top" wrapText="1"/>
    </x:xf>
    <x:xf numFmtId="164" fontId="17" fillId="11" borderId="7" xfId="0" applyNumberFormat="1" applyFont="1" applyFill="1" applyBorder="1" applyAlignment="1">
      <x:alignment horizontal="general" vertical="top" wrapText="1"/>
    </x:xf>
    <x:xf numFmtId="164" fontId="14" fillId="12" borderId="7" xfId="0" applyNumberFormat="1" applyFont="1" applyFill="1" applyBorder="1" applyAlignment="1">
      <x:alignment horizontal="general" vertical="top" wrapText="1"/>
    </x:xf>
    <x:xf numFmtId="164" fontId="15" fillId="12" borderId="7" xfId="0" applyNumberFormat="1" applyFont="1" applyFill="1" applyBorder="1" applyAlignment="1">
      <x:alignment horizontal="general" vertical="top" wrapText="1"/>
    </x:xf>
    <x:xf numFmtId="164" fontId="14" fillId="13" borderId="7" xfId="0" applyNumberFormat="1" applyFont="1" applyFill="1" applyBorder="1" applyAlignment="1">
      <x:alignment horizontal="general" vertical="top" wrapText="1"/>
    </x:xf>
    <x:xf numFmtId="164" fontId="15" fillId="13" borderId="7" xfId="0" applyNumberFormat="1" applyFont="1" applyFill="1" applyBorder="1" applyAlignment="1">
      <x:alignment horizontal="general" vertical="top" wrapText="1"/>
    </x:xf>
    <x:xf numFmtId="164" fontId="18" fillId="13" borderId="7" xfId="0" applyNumberFormat="1" applyFont="1" applyFill="1" applyBorder="1" applyAlignment="1">
      <x:alignment horizontal="general" vertical="top" wrapText="1"/>
    </x:xf>
    <x:xf numFmtId="164" fontId="16" fillId="12" borderId="7" xfId="0" applyNumberFormat="1" applyFont="1" applyFill="1" applyBorder="1" applyAlignment="1">
      <x:alignment horizontal="general" vertical="top" wrapText="1"/>
    </x:xf>
    <x:xf numFmtId="164" fontId="17" fillId="12" borderId="7" xfId="0" applyNumberFormat="1" applyFont="1" applyFill="1" applyBorder="1" applyAlignment="1">
      <x:alignment horizontal="general" vertical="top" wrapText="1"/>
    </x:xf>
    <x:xf numFmtId="164" fontId="8" fillId="10" borderId="5" xfId="0" applyNumberFormat="1" applyFont="1" applyFill="1" applyBorder="1" applyAlignment="1">
      <x:alignment horizontal="general" vertical="top" wrapText="1"/>
    </x:xf>
    <x:xf numFmtId="176" fontId="8" fillId="10" borderId="5" xfId="0" applyNumberFormat="1" applyFont="1" applyFill="1" applyBorder="1" applyAlignment="1">
      <x:alignment horizontal="general" vertical="top" wrapText="1"/>
    </x:xf>
    <x:xf numFmtId="177" fontId="8" fillId="10" borderId="5" xfId="0" applyNumberFormat="1" applyFont="1" applyFill="1" applyBorder="1" applyAlignment="1">
      <x:alignment horizontal="general" vertical="top" wrapText="1"/>
    </x:xf>
    <x:xf numFmtId="164" fontId="8" fillId="10" borderId="6" xfId="0" applyNumberFormat="1" applyFont="1" applyFill="1" applyBorder="1" applyAlignment="1">
      <x:alignment horizontal="general" vertical="top" wrapText="1"/>
    </x:xf>
    <x:xf numFmtId="176" fontId="8" fillId="10" borderId="6" xfId="0" applyNumberFormat="1" applyFont="1" applyFill="1" applyBorder="1" applyAlignment="1">
      <x:alignment horizontal="general" vertical="top" wrapText="1"/>
    </x:xf>
    <x:xf numFmtId="177" fontId="8" fillId="10" borderId="6" xfId="0" applyNumberFormat="1" applyFont="1" applyFill="1" applyBorder="1" applyAlignment="1">
      <x:alignment horizontal="general" vertical="top" wrapText="1"/>
    </x:xf>
    <x:xf numFmtId="164" fontId="15" fillId="10" borderId="5" xfId="0" applyNumberFormat="1" applyFont="1" applyFill="1" applyBorder="1" applyAlignment="1">
      <x:alignment horizontal="general" vertical="top" wrapText="1"/>
    </x:xf>
    <x:xf numFmtId="176" fontId="15" fillId="10" borderId="5" xfId="0" applyNumberFormat="1" applyFont="1" applyFill="1" applyBorder="1" applyAlignment="1">
      <x:alignment horizontal="general" vertical="top" wrapText="1"/>
    </x:xf>
    <x:xf numFmtId="177" fontId="15" fillId="10" borderId="5" xfId="0" applyNumberFormat="1" applyFont="1" applyFill="1" applyBorder="1" applyAlignment="1">
      <x:alignment horizontal="general" vertical="top" wrapText="1"/>
    </x:xf>
    <x:xf numFmtId="164" fontId="15" fillId="10" borderId="6" xfId="0" applyNumberFormat="1" applyFont="1" applyFill="1" applyBorder="1" applyAlignment="1">
      <x:alignment horizontal="general" vertical="top" wrapText="1"/>
    </x:xf>
    <x:xf numFmtId="176" fontId="15" fillId="10" borderId="6" xfId="0" applyNumberFormat="1" applyFont="1" applyFill="1" applyBorder="1" applyAlignment="1">
      <x:alignment horizontal="general" vertical="top" wrapText="1"/>
    </x:xf>
    <x:xf numFmtId="177" fontId="15" fillId="10" borderId="6" xfId="0" applyNumberFormat="1" applyFont="1" applyFill="1" applyBorder="1" applyAlignment="1">
      <x:alignment horizontal="general" vertical="top" wrapText="1"/>
    </x:xf>
    <x:xf numFmtId="176" fontId="15" fillId="10" borderId="7" xfId="0" applyNumberFormat="1" applyFont="1" applyFill="1" applyBorder="1" applyAlignment="1">
      <x:alignment horizontal="general" vertical="top" wrapText="1"/>
    </x:xf>
    <x:xf numFmtId="177" fontId="15" fillId="10" borderId="7" xfId="0" applyNumberFormat="1" applyFont="1" applyFill="1" applyBorder="1" applyAlignment="1">
      <x:alignment horizontal="general" vertical="top" wrapText="1"/>
    </x:xf>
    <x:xf numFmtId="176" fontId="15" fillId="11" borderId="7" xfId="0" applyNumberFormat="1" applyFont="1" applyFill="1" applyBorder="1" applyAlignment="1">
      <x:alignment horizontal="general" vertical="top" wrapText="1"/>
    </x:xf>
    <x:xf numFmtId="177" fontId="15" fillId="11" borderId="7" xfId="0" applyNumberFormat="1" applyFont="1" applyFill="1" applyBorder="1" applyAlignment="1">
      <x:alignment horizontal="general" vertical="top" wrapText="1"/>
    </x:xf>
    <x:xf numFmtId="164" fontId="18" fillId="12" borderId="7" xfId="0" applyNumberFormat="1" applyFont="1" applyFill="1" applyBorder="1" applyAlignment="1">
      <x:alignment horizontal="general" vertical="top" wrapText="1"/>
    </x:xf>
    <x:xf numFmtId="176" fontId="15" fillId="12" borderId="7" xfId="0" applyNumberFormat="1" applyFont="1" applyFill="1" applyBorder="1" applyAlignment="1">
      <x:alignment horizontal="general" vertical="top" wrapText="1"/>
    </x:xf>
    <x:xf numFmtId="177" fontId="15" fillId="12" borderId="7" xfId="0" applyNumberFormat="1" applyFont="1" applyFill="1" applyBorder="1" applyAlignment="1">
      <x:alignment horizontal="general" vertical="top" wrapText="1"/>
    </x:xf>
    <x:xf numFmtId="176" fontId="14" fillId="12" borderId="7" xfId="0" applyNumberFormat="1" applyFont="1" applyFill="1" applyBorder="1" applyAlignment="1">
      <x:alignment horizontal="general" vertical="top" wrapText="1"/>
    </x:xf>
    <x:xf numFmtId="177" fontId="14" fillId="12" borderId="7" xfId="0" applyNumberFormat="1" applyFont="1" applyFill="1" applyBorder="1" applyAlignment="1">
      <x:alignment horizontal="general" vertical="top" wrapText="1"/>
    </x:xf>
    <x:xf numFmtId="176" fontId="15" fillId="13" borderId="7" xfId="0" applyNumberFormat="1" applyFont="1" applyFill="1" applyBorder="1" applyAlignment="1">
      <x:alignment horizontal="general" vertical="top" wrapText="1"/>
    </x:xf>
    <x:xf numFmtId="177" fontId="15" fillId="13" borderId="7" xfId="0" applyNumberFormat="1" applyFont="1" applyFill="1" applyBorder="1" applyAlignment="1">
      <x:alignment horizontal="general" vertical="top" wrapText="1"/>
    </x:xf>
    <x:xf numFmtId="176" fontId="18" fillId="13" borderId="7" xfId="0" applyNumberFormat="1" applyFont="1" applyFill="1" applyBorder="1" applyAlignment="1">
      <x:alignment horizontal="general" vertical="top" wrapText="1"/>
    </x:xf>
    <x:xf numFmtId="177" fontId="18" fillId="13" borderId="7" xfId="0" applyNumberFormat="1" applyFont="1" applyFill="1" applyBorder="1" applyAlignment="1">
      <x:alignment horizontal="general" vertical="top" wrapText="1"/>
    </x:xf>
    <x:xf numFmtId="164" fontId="0" fillId="10" borderId="0" xfId="0" applyNumberFormat="1" applyFont="1" applyFill="1" applyBorder="1" applyAlignment="1">
      <x:alignment horizontal="general" vertical="bottom" wrapText="0"/>
    </x:xf>
    <x:xf numFmtId="164" fontId="12" fillId="10" borderId="0" xfId="0" applyNumberFormat="1" applyFont="1" applyFill="1" applyBorder="1" applyAlignment="1">
      <x:alignment horizontal="center" vertical="center" wrapText="0"/>
    </x:xf>
    <x:xf numFmtId="164" fontId="13" fillId="10" borderId="0" xfId="0" applyNumberFormat="1" applyFont="1" applyFill="1" applyBorder="1" applyAlignment="1">
      <x:alignment horizontal="center" vertical="bottom" wrapText="1"/>
    </x:xf>
    <x:xf numFmtId="164" fontId="0" fillId="1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0" xfId="0" applyNumberFormat="1" applyFont="1" applyFill="1" applyBorder="1" applyAlignment="1">
      <x:alignment horizontal="general" vertical="bottom" wrapText="0"/>
    </x:xf>
    <x:xf numFmtId="164" fontId="17" fillId="10" borderId="0" xfId="0" applyNumberFormat="1" applyFont="1" applyFill="1" applyBorder="1" applyAlignment="1">
      <x:alignment horizontal="center" vertical="center" wrapText="0"/>
    </x:xf>
    <x:xf numFmtId="164" fontId="17" fillId="10" borderId="0" xfId="0" applyNumberFormat="1" applyFont="1" applyFill="1" applyBorder="1" applyAlignment="1">
      <x:alignment horizontal="center" vertical="bottom" wrapText="1"/>
    </x:xf>
    <x:xf numFmtId="164" fontId="16" fillId="1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general" vertical="bottom" wrapText="0"/>
    </x:xf>
    <x:xf numFmtId="164" fontId="17" fillId="10" borderId="7" xfId="0" applyNumberFormat="1" applyFont="1" applyFill="1" applyBorder="1" applyAlignment="1">
      <x:alignment horizontal="center" vertical="center" wrapText="0"/>
    </x:xf>
    <x:xf numFmtId="164" fontId="17" fillId="10" borderId="7" xfId="0" applyNumberFormat="1" applyFont="1" applyFill="1" applyBorder="1" applyAlignment="1">
      <x:alignment horizontal="center" vertical="bottom" wrapText="1"/>
    </x:xf>
    <x:xf numFmtId="164" fontId="16" fillId="10" borderId="7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general" vertical="bottom" wrapText="0"/>
    </x:xf>
    <x:xf numFmtId="164" fontId="16" fillId="11" borderId="7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5" fillId="14" borderId="7" xfId="0" applyNumberFormat="1" applyFont="1" applyFill="1" applyBorder="1" applyAlignment="1">
      <x:alignment horizontal="general" vertical="top" wrapText="1"/>
    </x:xf>
    <x:xf numFmtId="164" fontId="19" fillId="14" borderId="7" xfId="0" applyNumberFormat="1" applyFont="1" applyFill="1" applyBorder="1" applyAlignment="1">
      <x:alignment horizontal="general" vertical="top" wrapText="1"/>
    </x:xf>
    <x:xf numFmtId="164" fontId="16" fillId="12" borderId="7" xfId="0" applyNumberFormat="1" applyFont="1" applyFill="1" applyBorder="1" applyAlignment="1">
      <x:alignment horizontal="general" vertical="bottom" wrapText="0"/>
    </x:xf>
    <x:xf numFmtId="164" fontId="17" fillId="12" borderId="7" xfId="0" applyNumberFormat="1" applyFont="1" applyFill="1" applyBorder="1" applyAlignment="1">
      <x:alignment horizontal="center" vertical="center" wrapText="0"/>
    </x:xf>
    <x:xf numFmtId="164" fontId="20" fillId="12" borderId="7" xfId="0" applyNumberFormat="1" applyFont="1" applyFill="1" applyBorder="1" applyAlignment="1">
      <x:alignment horizontal="general" vertical="bottom" wrapText="0"/>
    </x:xf>
    <x:xf numFmtId="164" fontId="20" fillId="12" borderId="7" xfId="0" applyNumberFormat="1" applyFont="1" applyFill="1" applyBorder="1" applyAlignment="1">
      <x:alignment horizontal="center" vertical="center" wrapText="0"/>
    </x:xf>
    <x:xf numFmtId="164" fontId="20" fillId="12" borderId="7" xfId="0" applyNumberFormat="1" applyFont="1" applyFill="1" applyBorder="1" applyAlignment="1">
      <x:alignment horizontal="center" vertical="bottom" wrapText="0"/>
    </x:xf>
    <x:xf numFmtId="164" fontId="17" fillId="13" borderId="7" xfId="0" applyNumberFormat="1" applyFont="1" applyFill="1" applyBorder="1" applyAlignment="1">
      <x:alignment horizontal="center" vertical="bottom" wrapText="1"/>
    </x:xf>
    <x:xf numFmtId="164" fontId="16" fillId="13" borderId="7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center" vertical="bottom" wrapText="1"/>
    </x:xf>
    <x:xf numFmtId="164" fontId="21" fillId="13" borderId="7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general" vertical="bottom" wrapText="1"/>
    </x:xf>
    <x:xf numFmtId="164" fontId="18" fillId="13" borderId="7" xfId="0" applyNumberFormat="1" applyFont="1" applyFill="1" applyBorder="1" applyAlignment="1">
      <x:alignment horizontal="center" vertical="top" wrapText="1"/>
    </x:xf>
    <x:xf numFmtId="164" fontId="18" fillId="13" borderId="7" xfId="0" applyNumberFormat="1" applyFont="1" applyFill="1" applyBorder="1" applyAlignment="1">
      <x:alignment horizontal="center" vertical="center" wrapText="1"/>
    </x:xf>
    <x:xf numFmtId="164" fontId="21" fillId="13" borderId="7" xfId="0" applyNumberFormat="1" applyFont="1" applyFill="1" applyBorder="1" applyAlignment="1">
      <x:alignment horizontal="center" vertical="center" wrapText="1"/>
    </x:xf>
    <x:xf numFmtId="164" fontId="20" fillId="15" borderId="7" xfId="0" applyNumberFormat="1" applyFont="1" applyFill="1" applyBorder="1" applyAlignment="1">
      <x:alignment horizontal="center" vertical="center" wrapText="0"/>
    </x:xf>
    <x:xf numFmtId="164" fontId="20" fillId="16" borderId="7" xfId="0" applyNumberFormat="1" applyFont="1" applyFill="1" applyBorder="1" applyAlignment="1">
      <x:alignment horizontal="center" vertical="center" wrapText="0"/>
    </x:xf>
    <x:xf numFmtId="175" fontId="15" fillId="11" borderId="7" xfId="0" applyNumberFormat="1" applyFont="1" applyFill="1" applyBorder="1" applyAlignment="1">
      <x:alignment horizontal="general" vertical="center" wrapText="1"/>
    </x:xf>
    <x:xf numFmtId="164" fontId="15" fillId="11" borderId="7" xfId="0" applyNumberFormat="1" applyFont="1" applyFill="1" applyBorder="1" applyAlignment="1">
      <x:alignment horizontal="general" vertical="center" wrapText="1"/>
    </x:xf>
    <x:xf numFmtId="164" fontId="16" fillId="11" borderId="7" xfId="0" applyNumberFormat="1" applyFont="1" applyFill="1" applyBorder="1" applyAlignment="1">
      <x:alignment horizontal="general" vertical="center" wrapText="0"/>
    </x:xf>
    <x:xf numFmtId="164" fontId="16" fillId="11" borderId="7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75" fontId="15" fillId="10" borderId="7" xfId="0" applyNumberFormat="1" applyFont="1" applyFill="1" applyBorder="1" applyAlignment="1">
      <x:alignment horizontal="general" vertical="center" wrapText="1"/>
    </x:xf>
    <x:xf numFmtId="164" fontId="15" fillId="10" borderId="7" xfId="0" applyNumberFormat="1" applyFont="1" applyFill="1" applyBorder="1" applyAlignment="1">
      <x:alignment horizontal="general" vertical="center" wrapText="1"/>
    </x:xf>
    <x:xf numFmtId="164" fontId="16" fillId="10" borderId="7" xfId="0" applyNumberFormat="1" applyFont="1" applyFill="1" applyBorder="1" applyAlignment="1">
      <x:alignment horizontal="general" vertical="center" wrapText="0"/>
    </x:xf>
    <x:xf numFmtId="164" fontId="16" fillId="10" borderId="7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center" vertical="center" wrapText="0"/>
    </x:xf>
    <x:xf numFmtId="164" fontId="16" fillId="11" borderId="7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center" vertical="center" wrapText="0"/>
    </x:xf>
    <x:xf numFmtId="164" fontId="16" fillId="10" borderId="7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center" vertical="center" wrapText="1"/>
    </x:xf>
    <x:xf numFmtId="164" fontId="16" fillId="11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center" vertical="center" wrapText="1"/>
    </x:xf>
    <x:xf numFmtId="164" fontId="16" fillId="10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1" borderId="7" xfId="0" applyNumberFormat="1" applyFont="1" applyFill="1" applyBorder="1" applyAlignment="1">
      <x:alignment horizontal="center" vertical="center" wrapText="1"/>
    </x:xf>
    <x:xf numFmtId="164" fontId="22" fillId="10" borderId="7" xfId="0" applyNumberFormat="1" applyFont="1" applyFill="1" applyBorder="1" applyAlignment="1">
      <x:alignment horizontal="center" vertical="center" wrapText="1"/>
    </x:xf>
    <x:xf numFmtId="164" fontId="20" fillId="15" borderId="8" xfId="0" applyNumberFormat="1" applyFont="1" applyFill="1" applyBorder="1" applyAlignment="1">
      <x:alignment horizontal="center" vertical="center" wrapText="0"/>
    </x:xf>
    <x:xf numFmtId="164" fontId="21" fillId="13" borderId="8" xfId="0" applyNumberFormat="1" applyFont="1" applyFill="1" applyBorder="1" applyAlignment="1">
      <x:alignment horizontal="center" vertical="center" wrapText="1"/>
    </x:xf>
    <x:xf numFmtId="164" fontId="22" fillId="11" borderId="8" xfId="0" applyNumberFormat="1" applyFont="1" applyFill="1" applyBorder="1" applyAlignment="1">
      <x:alignment horizontal="center" vertical="center" wrapText="1"/>
    </x:xf>
    <x:xf numFmtId="164" fontId="22" fillId="10" borderId="8" xfId="0" applyNumberFormat="1" applyFont="1" applyFill="1" applyBorder="1" applyAlignment="1">
      <x:alignment horizontal="center" vertical="center" wrapText="1"/>
    </x:xf>
    <x:xf numFmtId="164" fontId="20" fillId="16" borderId="8" xfId="0" applyNumberFormat="1" applyFont="1" applyFill="1" applyBorder="1" applyAlignment="1">
      <x:alignment horizontal="center" vertical="center" wrapText="0"/>
    </x:xf>
    <x:xf numFmtId="164" fontId="22" fillId="11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0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1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0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11" borderId="7" xfId="0" applyNumberFormat="1" applyFont="1" applyFill="1" applyBorder="1" applyAlignment="1">
      <x:alignment horizontal="center" vertical="center" wrapText="1"/>
    </x:xf>
    <x:xf numFmtId="177" fontId="16" fillId="10" borderId="7" xfId="0" applyNumberFormat="1" applyFont="1" applyFill="1" applyBorder="1" applyAlignment="1">
      <x:alignment horizontal="center" vertical="center" wrapText="1"/>
    </x:xf>
    <x:xf numFmtId="164" fontId="16" fillId="11" borderId="7" xfId="0" applyNumberFormat="1" applyFont="1" applyFill="1" applyBorder="1" applyAlignment="1">
      <x:alignment horizontal="general" vertical="center" wrapText="1"/>
    </x:xf>
    <x:xf numFmtId="164" fontId="16" fillId="10" borderId="7" xfId="0" applyNumberFormat="1" applyFont="1" applyFill="1" applyBorder="1" applyAlignment="1">
      <x:alignment horizontal="general" vertical="center" wrapText="1"/>
    </x:xf>
    <x:xf numFmtId="164" fontId="14" fillId="17" borderId="7" xfId="0" applyNumberFormat="1" applyFont="1" applyFill="1" applyBorder="1" applyAlignment="1">
      <x:alignment horizontal="general" vertical="top" wrapText="1"/>
    </x:xf>
    <x:xf numFmtId="164" fontId="15" fillId="17" borderId="7" xfId="0" applyNumberFormat="1" applyFont="1" applyFill="1" applyBorder="1" applyAlignment="1">
      <x:alignment horizontal="general" vertical="top" wrapText="1"/>
    </x:xf>
    <x:xf numFmtId="164" fontId="16" fillId="17" borderId="7" xfId="0" applyNumberFormat="1" applyFont="1" applyFill="1" applyBorder="1" applyAlignment="1">
      <x:alignment horizontal="general" vertical="top" wrapText="1"/>
    </x:xf>
    <x:xf numFmtId="164" fontId="18" fillId="17" borderId="7" xfId="0" applyNumberFormat="1" applyFont="1" applyFill="1" applyBorder="1" applyAlignment="1">
      <x:alignment horizontal="general" vertical="top" wrapText="1"/>
    </x:xf>
    <x:xf numFmtId="175" fontId="15" fillId="17" borderId="7" xfId="0" applyNumberFormat="1" applyFont="1" applyFill="1" applyBorder="1" applyAlignment="1">
      <x:alignment horizontal="general" vertical="top" wrapText="1"/>
    </x:xf>
    <x:xf numFmtId="164" fontId="19" fillId="17" borderId="7" xfId="0" applyNumberFormat="1" applyFont="1" applyFill="1" applyBorder="1" applyAlignment="1">
      <x:alignment horizontal="general" vertical="top" wrapText="1"/>
    </x:xf>
    <x:xf numFmtId="164" fontId="17" fillId="17" borderId="7" xfId="0" applyNumberFormat="1" applyFont="1" applyFill="1" applyBorder="1" applyAlignment="1">
      <x:alignment horizontal="general" vertical="top" wrapText="1"/>
    </x:xf>
    <x:xf numFmtId="164" fontId="23" fillId="17" borderId="7" xfId="0" applyNumberFormat="1" applyFont="1" applyFill="1" applyBorder="1" applyAlignment="1">
      <x:alignment horizontal="general" vertical="top" wrapText="1"/>
    </x:xf>
    <x:xf numFmtId="164" fontId="24" fillId="17" borderId="7" xfId="0" applyNumberFormat="1" applyFont="1" applyFill="1" applyBorder="1" applyAlignment="1">
      <x:alignment horizontal="general" vertical="top" wrapText="1"/>
    </x:xf>
    <x:xf numFmtId="175" fontId="23" fillId="17" borderId="7" xfId="0" applyNumberFormat="1" applyFont="1" applyFill="1" applyBorder="1" applyAlignment="1">
      <x:alignment horizontal="general" vertical="top" wrapText="1"/>
    </x:xf>
    <x:xf numFmtId="164" fontId="23" fillId="17" borderId="9" xfId="0" applyNumberFormat="1" applyFont="1" applyFill="1" applyBorder="1" applyAlignment="1">
      <x:alignment horizontal="general" vertical="top" wrapText="1"/>
    </x:xf>
    <x:xf numFmtId="164" fontId="24" fillId="17" borderId="9" xfId="0" applyNumberFormat="1" applyFont="1" applyFill="1" applyBorder="1" applyAlignment="1">
      <x:alignment horizontal="general" vertical="top" wrapText="1"/>
    </x:xf>
    <x:xf numFmtId="175" fontId="23" fillId="17" borderId="9" xfId="0" applyNumberFormat="1" applyFont="1" applyFill="1" applyBorder="1" applyAlignment="1">
      <x:alignment horizontal="general" vertical="top" wrapText="1"/>
    </x:xf>
    <x:xf numFmtId="164" fontId="23" fillId="18" borderId="9" xfId="0" applyNumberFormat="1" applyFont="1" applyFill="1" applyBorder="1" applyAlignment="1">
      <x:alignment horizontal="general" vertical="top" wrapText="1"/>
    </x:xf>
    <x:xf numFmtId="175" fontId="23" fillId="18" borderId="9" xfId="0" applyNumberFormat="1" applyFont="1" applyFill="1" applyBorder="1" applyAlignment="1">
      <x:alignment horizontal="general" vertical="top" wrapText="1"/>
    </x:xf>
    <x:xf numFmtId="164" fontId="24" fillId="18" borderId="9" xfId="0" applyNumberFormat="1" applyFont="1" applyFill="1" applyBorder="1" applyAlignment="1">
      <x:alignment horizontal="general" vertical="top" wrapText="1"/>
    </x:xf>
    <x:xf numFmtId="164" fontId="23" fillId="19" borderId="9" xfId="0" applyNumberFormat="1" applyFont="1" applyFill="1" applyBorder="1" applyAlignment="1">
      <x:alignment horizontal="general" vertical="top" wrapText="1"/>
    </x:xf>
    <x:xf numFmtId="164" fontId="25" fillId="19" borderId="9" xfId="0" applyNumberFormat="1" applyFont="1" applyFill="1" applyBorder="1" applyAlignment="1">
      <x:alignment horizontal="general" vertical="top" wrapText="1"/>
    </x:xf>
    <x:xf numFmtId="164" fontId="23" fillId="20" borderId="9" xfId="0" applyNumberFormat="1" applyFont="1" applyFill="1" applyBorder="1" applyAlignment="1">
      <x:alignment horizontal="general" vertical="top" wrapText="1"/>
    </x:xf>
    <x:xf numFmtId="164" fontId="18" fillId="20" borderId="9" xfId="0" applyNumberFormat="1" applyFont="1" applyFill="1" applyBorder="1" applyAlignment="1">
      <x:alignment horizontal="general" vertical="top" wrapText="1"/>
    </x:xf>
    <x:xf numFmtId="164" fontId="24" fillId="19" borderId="9" xfId="0" applyNumberFormat="1" applyFont="1" applyFill="1" applyBorder="1" applyAlignment="1">
      <x:alignment horizontal="general" vertical="top" wrapText="1"/>
    </x:xf>
    <x:xf numFmtId="164" fontId="26" fillId="19" borderId="9" xfId="0" applyNumberFormat="1" applyFont="1" applyFill="1" applyBorder="1" applyAlignment="1">
      <x:alignment horizontal="general" vertical="top" wrapText="1"/>
    </x:xf>
    <x:xf numFmtId="176" fontId="15" fillId="17" borderId="7" xfId="0" applyNumberFormat="1" applyFont="1" applyFill="1" applyBorder="1" applyAlignment="1">
      <x:alignment horizontal="general" vertical="top" wrapText="1"/>
    </x:xf>
    <x:xf numFmtId="177" fontId="15" fillId="17" borderId="7" xfId="0" applyNumberFormat="1" applyFont="1" applyFill="1" applyBorder="1" applyAlignment="1">
      <x:alignment horizontal="general" vertical="top" wrapText="1"/>
    </x:xf>
    <x:xf numFmtId="176" fontId="14" fillId="17" borderId="7" xfId="0" applyNumberFormat="1" applyFont="1" applyFill="1" applyBorder="1" applyAlignment="1">
      <x:alignment horizontal="general" vertical="top" wrapText="1"/>
    </x:xf>
    <x:xf numFmtId="177" fontId="14" fillId="17" borderId="7" xfId="0" applyNumberFormat="1" applyFont="1" applyFill="1" applyBorder="1" applyAlignment="1">
      <x:alignment horizontal="general" vertical="top" wrapText="1"/>
    </x:xf>
    <x:xf numFmtId="176" fontId="18" fillId="17" borderId="7" xfId="0" applyNumberFormat="1" applyFont="1" applyFill="1" applyBorder="1" applyAlignment="1">
      <x:alignment horizontal="general" vertical="top" wrapText="1"/>
    </x:xf>
    <x:xf numFmtId="177" fontId="18" fillId="17" borderId="7" xfId="0" applyNumberFormat="1" applyFont="1" applyFill="1" applyBorder="1" applyAlignment="1">
      <x:alignment horizontal="general" vertical="top" wrapText="1"/>
    </x:xf>
    <x:xf numFmtId="176" fontId="23" fillId="17" borderId="7" xfId="0" applyNumberFormat="1" applyFont="1" applyFill="1" applyBorder="1" applyAlignment="1">
      <x:alignment horizontal="general" vertical="top" wrapText="1"/>
    </x:xf>
    <x:xf numFmtId="177" fontId="23" fillId="17" borderId="7" xfId="0" applyNumberFormat="1" applyFont="1" applyFill="1" applyBorder="1" applyAlignment="1">
      <x:alignment horizontal="general" vertical="top" wrapText="1"/>
    </x:xf>
    <x:xf numFmtId="176" fontId="23" fillId="17" borderId="9" xfId="0" applyNumberFormat="1" applyFont="1" applyFill="1" applyBorder="1" applyAlignment="1">
      <x:alignment horizontal="general" vertical="top" wrapText="1"/>
    </x:xf>
    <x:xf numFmtId="177" fontId="23" fillId="17" borderId="9" xfId="0" applyNumberFormat="1" applyFont="1" applyFill="1" applyBorder="1" applyAlignment="1">
      <x:alignment horizontal="general" vertical="top" wrapText="1"/>
    </x:xf>
    <x:xf numFmtId="176" fontId="23" fillId="18" borderId="9" xfId="0" applyNumberFormat="1" applyFont="1" applyFill="1" applyBorder="1" applyAlignment="1">
      <x:alignment horizontal="general" vertical="top" wrapText="1"/>
    </x:xf>
    <x:xf numFmtId="177" fontId="23" fillId="18" borderId="9" xfId="0" applyNumberFormat="1" applyFont="1" applyFill="1" applyBorder="1" applyAlignment="1">
      <x:alignment horizontal="general" vertical="top" wrapText="1"/>
    </x:xf>
    <x:xf numFmtId="164" fontId="20" fillId="17" borderId="7" xfId="0" applyNumberFormat="1" applyFont="1" applyFill="1" applyBorder="1" applyAlignment="1">
      <x:alignment horizontal="center" vertical="center" wrapText="0"/>
    </x:xf>
    <x:xf numFmtId="164" fontId="20" fillId="17" borderId="8" xfId="0" applyNumberFormat="1" applyFont="1" applyFill="1" applyBorder="1" applyAlignment="1">
      <x:alignment horizontal="center" vertical="center" wrapText="0"/>
    </x:xf>
    <x:xf numFmtId="164" fontId="18" fillId="17" borderId="7" xfId="0" applyNumberFormat="1" applyFont="1" applyFill="1" applyBorder="1" applyAlignment="1">
      <x:alignment horizontal="center" vertical="center" wrapText="1"/>
    </x:xf>
    <x:xf numFmtId="164" fontId="21" fillId="17" borderId="8" xfId="0" applyNumberFormat="1" applyFont="1" applyFill="1" applyBorder="1" applyAlignment="1">
      <x:alignment horizontal="center" vertical="center" wrapText="1"/>
    </x:xf>
    <x:xf numFmtId="164" fontId="21" fillId="17" borderId="7" xfId="0" applyNumberFormat="1" applyFont="1" applyFill="1" applyBorder="1" applyAlignment="1">
      <x:alignment horizontal="center" vertical="center" wrapText="1"/>
    </x:xf>
    <x:xf numFmtId="175" fontId="15" fillId="17" borderId="7" xfId="0" applyNumberFormat="1" applyFont="1" applyFill="1" applyBorder="1" applyAlignment="1">
      <x:alignment horizontal="general" vertical="center" wrapText="1"/>
    </x:xf>
    <x:xf numFmtId="164" fontId="15" fillId="17" borderId="7" xfId="0" applyNumberFormat="1" applyFont="1" applyFill="1" applyBorder="1" applyAlignment="1">
      <x:alignment horizontal="general" vertical="center" wrapText="1"/>
    </x:xf>
    <x:xf numFmtId="164" fontId="22" fillId="17" borderId="8" xfId="0" applyNumberFormat="1" applyFont="1" applyFill="1" applyBorder="1" applyAlignment="1">
      <x:alignment horizontal="center" vertical="center" wrapText="1"/>
    </x:xf>
    <x:xf numFmtId="164" fontId="16" fillId="17" borderId="7" xfId="0" applyNumberFormat="1" applyFont="1" applyFill="1" applyBorder="1" applyAlignment="1">
      <x:alignment horizontal="center" vertical="center" wrapText="1"/>
    </x:xf>
    <x:xf numFmtId="164" fontId="22" fillId="17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17" borderId="7" xfId="0" applyNumberFormat="1" applyFont="1" applyFill="1" applyBorder="1" applyAlignment="1">
      <x:alignment horizontal="center" vertical="center" wrapText="1"/>
    </x:xf>
    <x:xf numFmtId="164" fontId="16" fillId="17" borderId="7" xfId="0" applyNumberFormat="1" applyFont="1" applyFill="1" applyBorder="1" applyAlignment="1">
      <x:alignment horizontal="general" vertical="center" wrapText="1"/>
    </x:xf>
    <x:xf numFmtId="164" fontId="24" fillId="17" borderId="7" xfId="0" applyNumberFormat="1" applyFont="1" applyFill="1" applyBorder="1" applyAlignment="1">
      <x:alignment horizontal="center" vertical="center" wrapText="0"/>
    </x:xf>
    <x:xf numFmtId="164" fontId="24" fillId="17" borderId="8" xfId="0" applyNumberFormat="1" applyFont="1" applyFill="1" applyBorder="1" applyAlignment="1">
      <x:alignment horizontal="center" vertical="center" wrapText="0"/>
    </x:xf>
    <x:xf numFmtId="164" fontId="23" fillId="17" borderId="7" xfId="0" applyNumberFormat="1" applyFont="1" applyFill="1" applyBorder="1" applyAlignment="1">
      <x:alignment horizontal="center" vertical="center" wrapText="1"/>
    </x:xf>
    <x:xf numFmtId="164" fontId="24" fillId="17" borderId="8" xfId="0" applyNumberFormat="1" applyFont="1" applyFill="1" applyBorder="1" applyAlignment="1">
      <x:alignment horizontal="center" vertical="center" wrapText="1"/>
    </x:xf>
    <x:xf numFmtId="164" fontId="24" fillId="17" borderId="7" xfId="0" applyNumberFormat="1" applyFont="1" applyFill="1" applyBorder="1" applyAlignment="1">
      <x:alignment horizontal="center" vertical="center" wrapText="1"/>
    </x:xf>
    <x:xf numFmtId="175" fontId="23" fillId="17" borderId="7" xfId="0" applyNumberFormat="1" applyFont="1" applyFill="1" applyBorder="1" applyAlignment="1">
      <x:alignment horizontal="general" vertical="center" wrapText="1"/>
    </x:xf>
    <x:xf numFmtId="164" fontId="23" fillId="17" borderId="7" xfId="0" applyNumberFormat="1" applyFont="1" applyFill="1" applyBorder="1" applyAlignment="1">
      <x:alignment horizontal="general" vertical="center" wrapText="1"/>
    </x:xf>
    <x:xf numFmtId="164" fontId="24" fillId="17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7" borderId="7" xfId="0" applyNumberFormat="1" applyFont="1" applyFill="1" applyBorder="1" applyAlignment="1">
      <x:alignment horizontal="center" vertical="center" wrapText="1"/>
    </x:xf>
    <x:xf numFmtId="164" fontId="24" fillId="17" borderId="7" xfId="0" applyNumberFormat="1" applyFont="1" applyFill="1" applyBorder="1" applyAlignment="1">
      <x:alignment horizontal="general" vertical="center" wrapText="1"/>
    </x:xf>
    <x:xf numFmtId="164" fontId="24" fillId="17" borderId="9" xfId="0" applyNumberFormat="1" applyFont="1" applyFill="1" applyBorder="1" applyAlignment="1">
      <x:alignment horizontal="center" vertical="center" wrapText="0"/>
    </x:xf>
    <x:xf numFmtId="164" fontId="23" fillId="17" borderId="9" xfId="0" applyNumberFormat="1" applyFont="1" applyFill="1" applyBorder="1" applyAlignment="1">
      <x:alignment horizontal="center" vertical="center" wrapText="1"/>
    </x:xf>
    <x:xf numFmtId="164" fontId="24" fillId="17" borderId="9" xfId="0" applyNumberFormat="1" applyFont="1" applyFill="1" applyBorder="1" applyAlignment="1">
      <x:alignment horizontal="center" vertical="center" wrapText="1"/>
    </x:xf>
    <x:xf numFmtId="175" fontId="23" fillId="17" borderId="9" xfId="0" applyNumberFormat="1" applyFont="1" applyFill="1" applyBorder="1" applyAlignment="1">
      <x:alignment horizontal="general" vertical="center" wrapText="1"/>
    </x:xf>
    <x:xf numFmtId="164" fontId="23" fillId="17" borderId="9" xfId="0" applyNumberFormat="1" applyFont="1" applyFill="1" applyBorder="1" applyAlignment="1">
      <x:alignment horizontal="general" vertical="center" wrapText="1"/>
    </x:xf>
    <x:xf numFmtId="164" fontId="24" fillId="17" borderId="9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7" borderId="9" xfId="0" applyNumberFormat="1" applyFont="1" applyFill="1" applyBorder="1" applyAlignment="1">
      <x:alignment horizontal="center" vertical="center" wrapText="1"/>
    </x:xf>
    <x:xf numFmtId="164" fontId="24" fillId="17" borderId="9" xfId="0" applyNumberFormat="1" applyFont="1" applyFill="1" applyBorder="1" applyAlignment="1">
      <x:alignment horizontal="general" vertical="center" wrapText="1"/>
    </x:xf>
    <x:xf numFmtId="175" fontId="23" fillId="18" borderId="9" xfId="0" applyNumberFormat="1" applyFont="1" applyFill="1" applyBorder="1" applyAlignment="1">
      <x:alignment horizontal="general" vertical="center" wrapText="1"/>
    </x:xf>
    <x:xf numFmtId="164" fontId="23" fillId="18" borderId="9" xfId="0" applyNumberFormat="1" applyFont="1" applyFill="1" applyBorder="1" applyAlignment="1">
      <x:alignment horizontal="general" vertical="center" wrapText="1"/>
    </x:xf>
    <x:xf numFmtId="164" fontId="24" fillId="18" borderId="9" xfId="0" applyNumberFormat="1" applyFont="1" applyFill="1" applyBorder="1" applyAlignment="1">
      <x:alignment horizontal="center" vertical="center" wrapText="1"/>
    </x:xf>
    <x:xf numFmtId="164" fontId="24" fillId="18" borderId="9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8" borderId="9" xfId="0" applyNumberFormat="1" applyFont="1" applyFill="1" applyBorder="1" applyAlignment="1">
      <x:alignment horizontal="center" vertical="center" wrapText="1"/>
    </x:xf>
    <x:xf numFmtId="164" fontId="24" fillId="18" borderId="9" xfId="0" applyNumberFormat="1" applyFont="1" applyFill="1" applyBorder="1" applyAlignment="1">
      <x:alignment horizontal="general" vertical="center" wrapText="1"/>
    </x:xf>
    <x:xf numFmtId="164" fontId="20" fillId="17" borderId="9" xfId="0" applyNumberFormat="1" applyFont="1" applyFill="1" applyBorder="1" applyAlignment="1">
      <x:alignment horizontal="center" vertical="center" wrapText="0"/>
    </x:xf>
    <x:xf numFmtId="164" fontId="20" fillId="21" borderId="9" xfId="0" applyNumberFormat="1" applyFont="1" applyFill="1" applyBorder="1" applyAlignment="1">
      <x:alignment horizontal="center" vertical="center" wrapText="0"/>
    </x:xf>
    <x:xf numFmtId="164" fontId="20" fillId="22" borderId="9" xfId="0" applyNumberFormat="1" applyFont="1" applyFill="1" applyBorder="1" applyAlignment="1">
      <x:alignment horizontal="center" vertical="center" wrapText="0"/>
    </x:xf>
    <x:xf numFmtId="164" fontId="23" fillId="20" borderId="9" xfId="0" applyNumberFormat="1" applyFont="1" applyFill="1" applyBorder="1" applyAlignment="1">
      <x:alignment horizontal="center" vertical="center" wrapText="1"/>
    </x:xf>
    <x:xf numFmtId="164" fontId="24" fillId="20" borderId="9" xfId="0" applyNumberFormat="1" applyFont="1" applyFill="1" applyBorder="1" applyAlignment="1">
      <x:alignment horizontal="center" vertical="center" wrapText="1"/>
    </x:xf>
    <x:xf numFmtId="164" fontId="18" fillId="20" borderId="9" xfId="0" applyNumberFormat="1" applyFont="1" applyFill="1" applyBorder="1" applyAlignment="1">
      <x:alignment horizontal="center" vertical="center" wrapText="1"/>
    </x:xf>
    <x:xf numFmtId="164" fontId="21" fillId="20" borderId="9" xfId="0" applyNumberFormat="1" applyFont="1" applyFill="1" applyBorder="1" applyAlignment="1">
      <x:alignment horizontal="center" vertical="center" wrapText="1"/>
    </x:xf>
    <x:xf numFmtId="164" fontId="20" fillId="21" borderId="10" xfId="0" applyNumberFormat="1" applyFont="1" applyFill="1" applyBorder="1" applyAlignment="1">
      <x:alignment horizontal="center" vertical="center" wrapText="0"/>
    </x:xf>
    <x:xf numFmtId="164" fontId="21" fillId="20" borderId="10" xfId="0" applyNumberFormat="1" applyFont="1" applyFill="1" applyBorder="1" applyAlignment="1">
      <x:alignment horizontal="center" vertical="center" wrapText="1"/>
    </x:xf>
    <x:xf numFmtId="164" fontId="24" fillId="18" borderId="10" xfId="0" applyNumberFormat="1" applyFont="1" applyFill="1" applyBorder="1" applyAlignment="1">
      <x:alignment horizontal="center" vertical="center" wrapText="1"/>
    </x:xf>
    <x:xf numFmtId="164" fontId="24" fillId="17" borderId="10" xfId="0" applyNumberFormat="1" applyFont="1" applyFill="1" applyBorder="1" applyAlignment="1">
      <x:alignment horizontal="center" vertical="center" wrapText="1"/>
    </x:xf>
    <x:xf numFmtId="164" fontId="20" fillId="22" borderId="10" xfId="0" applyNumberFormat="1" applyFont="1" applyFill="1" applyBorder="1" applyAlignment="1">
      <x:alignment horizontal="center" vertical="center" wrapText="0"/>
    </x:xf>
    <x:xf numFmtId="164" fontId="24" fillId="18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4" fillId="17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0" fillId="17" borderId="10" xfId="0" applyNumberFormat="1" applyFont="1" applyFill="1" applyBorder="1" applyAlignment="1">
      <x:alignment horizontal="center" vertical="center" wrapText="0"/>
    </x:xf>
    <x:xf numFmtId="164" fontId="24" fillId="18" borderId="10" xfId="0" applyNumberFormat="1" applyFont="1" applyFill="1" applyBorder="1" applyAlignment="1">
      <x:alignment horizontal="general" vertical="center" wrapText="1"/>
    </x:xf>
    <x:xf numFmtId="164" fontId="24" fillId="17" borderId="10" xfId="0" applyNumberFormat="1" applyFont="1" applyFill="1" applyBorder="1" applyAlignment="1">
      <x:alignment horizontal="general" vertical="center" wrapText="1"/>
    </x:xf>
    <x:xf numFmtId="164" fontId="23" fillId="23" borderId="9" xfId="0" applyNumberFormat="1" applyFont="1" applyFill="1" applyBorder="1" applyAlignment="1">
      <x:alignment horizontal="general" vertical="top" wrapText="1"/>
    </x:xf>
    <x:xf numFmtId="164" fontId="19" fillId="23" borderId="9" xfId="0" applyNumberFormat="1" applyFont="1" applyFill="1" applyBorder="1" applyAlignment="1">
      <x:alignment horizontal="general" vertical="top" wrapText="1"/>
    </x:xf>
    <x:xf numFmtId="177" fontId="16" fillId="18" borderId="9" xfId="0" applyNumberFormat="1" applyFont="1" applyFill="1" applyBorder="1" applyAlignment="1">
      <x:alignment horizontal="center" vertical="center" wrapText="1"/>
    </x:xf>
    <x:xf numFmtId="200" fontId="16" fillId="10" borderId="9" xfId="0" applyNumberFormat="1" applyFont="1" applyFill="1" applyBorder="1" applyAlignment="1">
      <x:alignment horizontal="center" vertical="center" wrapText="1"/>
    </x:xf>
    <x:xf numFmtId="200" fontId="16" fillId="18" borderId="9" xfId="0" applyNumberFormat="1" applyFont="1" applyFill="1" applyBorder="1" applyAlignment="1">
      <x:alignment horizontal="center" vertical="center" wrapText="1"/>
    </x:xf>
    <x:xf numFmtId="164" fontId="15" fillId="24" borderId="9" xfId="0" applyNumberFormat="1" applyFont="1" applyFill="1" applyBorder="1" applyAlignment="1">
      <x:alignment horizontal="general" vertical="center" wrapText="1"/>
    </x:xf>
    <x:xf numFmtId="164" fontId="15" fillId="25" borderId="9" xfId="0" applyNumberFormat="1" applyFont="1" applyFill="1" applyBorder="1" applyAlignment="1">
      <x:alignment horizontal="general" vertical="center" wrapText="1"/>
    </x:xf>
    <x:xf numFmtId="164" fontId="16" fillId="24" borderId="10" xfId="0" applyNumberFormat="1" applyFont="1" applyFill="1" applyBorder="1" applyAlignment="1">
      <x:alignment horizontal="center" vertical="center" wrapText="1"/>
    </x:xf>
    <x:xf numFmtId="177" fontId="16" fillId="24" borderId="9" xfId="0" applyNumberFormat="1" applyFont="1" applyFill="1" applyBorder="1" applyAlignment="1">
      <x:alignment horizontal="center" vertical="center" wrapText="1"/>
    </x:xf>
    <x:xf numFmtId="164" fontId="16" fillId="24" borderId="9" xfId="0" applyNumberFormat="1" applyFont="1" applyFill="1" applyBorder="1" applyAlignment="1">
      <x:alignment horizontal="center" vertical="center" wrapText="1"/>
    </x:xf>
    <x:xf numFmtId="164" fontId="16" fillId="24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24" borderId="10" xfId="0" applyNumberFormat="1" applyFont="1" applyFill="1" applyBorder="1" applyAlignment="1">
      <x:alignment horizontal="general" vertical="center" wrapText="1"/>
    </x:xf>
    <x:xf numFmtId="164" fontId="16" fillId="25" borderId="10" xfId="0" applyNumberFormat="1" applyFont="1" applyFill="1" applyBorder="1" applyAlignment="1">
      <x:alignment horizontal="center" vertical="center" wrapText="1"/>
    </x:xf>
    <x:xf numFmtId="200" fontId="16" fillId="25" borderId="9" xfId="0" applyNumberFormat="1" applyFont="1" applyFill="1" applyBorder="1" applyAlignment="1">
      <x:alignment horizontal="center" vertical="center" wrapText="1"/>
    </x:xf>
    <x:xf numFmtId="164" fontId="16" fillId="25" borderId="9" xfId="0" applyNumberFormat="1" applyFont="1" applyFill="1" applyBorder="1" applyAlignment="1">
      <x:alignment horizontal="center" vertical="center" wrapText="1"/>
    </x:xf>
    <x:xf numFmtId="164" fontId="16" fillId="25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25" borderId="9" xfId="0" applyNumberFormat="1" applyFont="1" applyFill="1" applyBorder="1" applyAlignment="1">
      <x:alignment horizontal="center" vertical="center" wrapText="1"/>
    </x:xf>
    <x:xf numFmtId="164" fontId="16" fillId="25" borderId="10" xfId="0" applyNumberFormat="1" applyFont="1" applyFill="1" applyBorder="1" applyAlignment="1">
      <x:alignment horizontal="general" vertical="center" wrapText="1"/>
    </x:xf>
    <x:xf numFmtId="200" fontId="16" fillId="24" borderId="9" xfId="0" applyNumberFormat="1" applyFont="1" applyFill="1" applyBorder="1" applyAlignment="1">
      <x:alignment horizontal="center" vertical="center" wrapText="1"/>
    </x:xf>
    <x:xf numFmtId="164" fontId="15" fillId="24" borderId="9" xfId="0" applyNumberFormat="1" applyFont="1" applyFill="1" applyBorder="1" applyAlignment="1">
      <x:alignment horizontal="general" vertical="top" wrapText="1"/>
    </x:xf>
    <x:xf numFmtId="175" fontId="15" fillId="24" borderId="9" xfId="0" applyNumberFormat="1" applyFont="1" applyFill="1" applyBorder="1" applyAlignment="1">
      <x:alignment horizontal="general" vertical="top" wrapText="1"/>
    </x:xf>
    <x:xf numFmtId="164" fontId="19" fillId="24" borderId="9" xfId="0" applyNumberFormat="1" applyFont="1" applyFill="1" applyBorder="1" applyAlignment="1">
      <x:alignment horizontal="general" vertical="top" wrapText="1"/>
    </x:xf>
    <x:xf numFmtId="164" fontId="16" fillId="24" borderId="9" xfId="0" applyNumberFormat="1" applyFont="1" applyFill="1" applyBorder="1" applyAlignment="1">
      <x:alignment horizontal="general" vertical="top" wrapText="1"/>
    </x:xf>
    <x:xf numFmtId="164" fontId="15" fillId="25" borderId="9" xfId="0" applyNumberFormat="1" applyFont="1" applyFill="1" applyBorder="1" applyAlignment="1">
      <x:alignment horizontal="general" vertical="top" wrapText="1"/>
    </x:xf>
    <x:xf numFmtId="164" fontId="16" fillId="25" borderId="9" xfId="0" applyNumberFormat="1" applyFont="1" applyFill="1" applyBorder="1" applyAlignment="1">
      <x:alignment horizontal="general" vertical="top" wrapText="1"/>
    </x:xf>
    <x:xf numFmtId="176" fontId="15" fillId="24" borderId="9" xfId="0" applyNumberFormat="1" applyFont="1" applyFill="1" applyBorder="1" applyAlignment="1">
      <x:alignment horizontal="general" vertical="top" wrapText="1"/>
    </x:xf>
    <x:xf numFmtId="176" fontId="15" fillId="25" borderId="9" xfId="0" applyNumberFormat="1" applyFont="1" applyFill="1" applyBorder="1" applyAlignment="1">
      <x:alignment horizontal="general" vertical="top" wrapText="1"/>
    </x:xf>
    <x:xf numFmtId="164" fontId="15" fillId="26" borderId="9" xfId="0" applyNumberFormat="1" applyFont="1" applyFill="1" applyBorder="1" applyAlignment="1">
      <x:alignment horizontal="general" vertical="top" wrapText="1"/>
    </x:xf>
    <x:xf numFmtId="175" fontId="15" fillId="26" borderId="9" xfId="0" applyNumberFormat="1" applyFont="1" applyFill="1" applyBorder="1" applyAlignment="1">
      <x:alignment horizontal="general" vertical="top" wrapText="1"/>
    </x:xf>
    <x:xf numFmtId="164" fontId="19" fillId="26" borderId="9" xfId="0" applyNumberFormat="1" applyFont="1" applyFill="1" applyBorder="1" applyAlignment="1">
      <x:alignment horizontal="general" vertical="top" wrapText="1"/>
    </x:xf>
    <x:xf numFmtId="164" fontId="19" fillId="27" borderId="9" xfId="0" applyNumberFormat="1" applyFont="1" applyFill="1" applyBorder="1" applyAlignment="1">
      <x:alignment horizontal="general" vertical="top" wrapText="1"/>
    </x:xf>
    <x:xf numFmtId="164" fontId="16" fillId="26" borderId="9" xfId="0" applyNumberFormat="1" applyFont="1" applyFill="1" applyBorder="1" applyAlignment="1">
      <x:alignment horizontal="general" vertical="top" wrapText="1"/>
    </x:xf>
    <x:xf numFmtId="164" fontId="15" fillId="28" borderId="9" xfId="0" applyNumberFormat="1" applyFont="1" applyFill="1" applyBorder="1" applyAlignment="1">
      <x:alignment horizontal="general" vertical="top" wrapText="1"/>
    </x:xf>
    <x:xf numFmtId="164" fontId="16" fillId="28" borderId="9" xfId="0" applyNumberFormat="1" applyFont="1" applyFill="1" applyBorder="1" applyAlignment="1">
      <x:alignment horizontal="general" vertical="top" wrapText="1"/>
    </x:xf>
    <x:xf numFmtId="176" fontId="15" fillId="26" borderId="9" xfId="0" applyNumberFormat="1" applyFont="1" applyFill="1" applyBorder="1" applyAlignment="1">
      <x:alignment horizontal="general" vertical="top" wrapText="1"/>
    </x:xf>
    <x:xf numFmtId="176" fontId="15" fillId="28" borderId="9" xfId="0" applyNumberFormat="1" applyFont="1" applyFill="1" applyBorder="1" applyAlignment="1">
      <x:alignment horizontal="general" vertical="top" wrapText="1"/>
    </x:xf>
    <x:xf numFmtId="164" fontId="16" fillId="29" borderId="9" xfId="0" applyNumberFormat="1" applyFont="1" applyFill="1" applyBorder="1" applyAlignment="1">
      <x:alignment horizontal="general" vertical="center" wrapText="1"/>
    </x:xf>
    <x:xf numFmtId="164" fontId="16" fillId="30" borderId="9" xfId="0" applyNumberFormat="1" applyFont="1" applyFill="1" applyBorder="1" applyAlignment="1">
      <x:alignment horizontal="general" vertical="center" wrapText="1"/>
    </x:xf>
    <x:xf numFmtId="164" fontId="15" fillId="18" borderId="9" xfId="0" applyNumberFormat="1" applyFont="1" applyFill="1" applyBorder="1" applyAlignment="1">
      <x:alignment horizontal="general" vertical="center" wrapText="1"/>
    </x:xf>
    <x:xf numFmtId="164" fontId="20" fillId="31" borderId="9" xfId="0" applyNumberFormat="1" applyFont="1" applyFill="1" applyBorder="1" applyAlignment="1">
      <x:alignment horizontal="center" vertical="center" wrapText="0"/>
    </x:xf>
    <x:xf numFmtId="164" fontId="20" fillId="31" borderId="10" xfId="0" applyNumberFormat="1" applyFont="1" applyFill="1" applyBorder="1" applyAlignment="1">
      <x:alignment horizontal="center" vertical="center" wrapText="0"/>
    </x:xf>
    <x:xf numFmtId="164" fontId="18" fillId="13" borderId="9" xfId="0" applyNumberFormat="1" applyFont="1" applyFill="1" applyBorder="1" applyAlignment="1">
      <x:alignment horizontal="general" vertical="top" wrapText="1"/>
    </x:xf>
    <x:xf numFmtId="177" fontId="19" fillId="23" borderId="9" xfId="0" applyNumberFormat="1" applyFont="1" applyFill="1" applyBorder="1" applyAlignment="1">
      <x:alignment horizontal="general" vertical="top" wrapText="1"/>
    </x:xf>
    <x:xf numFmtId="177" fontId="19" fillId="32" borderId="9" xfId="0" applyNumberFormat="1" applyFont="1" applyFill="1" applyBorder="1" applyAlignment="1">
      <x:alignment horizontal="general" vertical="top" wrapText="1"/>
    </x:xf>
    <x:xf numFmtId="177" fontId="14" fillId="32" borderId="9" xfId="0" applyNumberFormat="1" applyFont="1" applyFill="1" applyBorder="1" applyAlignment="1">
      <x:alignment horizontal="general" vertical="top" wrapText="1"/>
    </x:xf>
    <x:xf numFmtId="176" fontId="15" fillId="33" borderId="9" xfId="0" applyNumberFormat="1" applyFont="1" applyFill="1" applyBorder="1" applyAlignment="1">
      <x:alignment horizontal="general" vertical="top" wrapText="1"/>
    </x:xf>
    <x:xf numFmtId="177" fontId="15" fillId="33" borderId="9" xfId="0" applyNumberFormat="1" applyFont="1" applyFill="1" applyBorder="1" applyAlignment="1">
      <x:alignment horizontal="general" vertical="top" wrapText="1"/>
    </x:xf>
    <x:xf numFmtId="164" fontId="15" fillId="33" borderId="9" xfId="0" applyNumberFormat="1" applyFont="1" applyFill="1" applyBorder="1" applyAlignment="1">
      <x:alignment horizontal="general" vertical="top" wrapText="1"/>
    </x:xf>
    <x:xf numFmtId="176" fontId="15" fillId="34" borderId="9" xfId="0" applyNumberFormat="1" applyFont="1" applyFill="1" applyBorder="1" applyAlignment="1">
      <x:alignment horizontal="general" vertical="top" wrapText="1"/>
    </x:xf>
    <x:xf numFmtId="177" fontId="15" fillId="34" borderId="9" xfId="0" applyNumberFormat="1" applyFont="1" applyFill="1" applyBorder="1" applyAlignment="1">
      <x:alignment horizontal="general" vertical="top" wrapText="1"/>
    </x:xf>
    <x:xf numFmtId="164" fontId="15" fillId="34" borderId="9" xfId="0" applyNumberFormat="1" applyFont="1" applyFill="1" applyBorder="1" applyAlignment="1">
      <x:alignment horizontal="general" vertical="top" wrapText="1"/>
    </x:xf>
    <x:xf numFmtId="177" fontId="15" fillId="35" borderId="9" xfId="0" applyNumberFormat="1" applyFont="1" applyFill="1" applyBorder="1" applyAlignment="1">
      <x:alignment horizontal="general" vertical="top" wrapText="1"/>
    </x:xf>
    <x:xf numFmtId="177" fontId="15" fillId="36" borderId="9" xfId="0" applyNumberFormat="1" applyFont="1" applyFill="1" applyBorder="1" applyAlignment="1">
      <x:alignment horizontal="general" vertical="top" wrapText="1"/>
    </x:xf>
    <x:xf numFmtId="164" fontId="25" fillId="37" borderId="9" xfId="0" applyNumberFormat="1" applyFont="1" applyFill="1" applyBorder="1" applyAlignment="1">
      <x:alignment horizontal="general" vertical="top" wrapText="1"/>
    </x:xf>
    <x:xf numFmtId="164" fontId="26" fillId="37" borderId="9" xfId="0" applyNumberFormat="1" applyFont="1" applyFill="1" applyBorder="1" applyAlignment="1">
      <x:alignment horizontal="general" vertical="top" wrapText="1"/>
    </x:xf>
    <x:xf numFmtId="164" fontId="14" fillId="37" borderId="9" xfId="0" applyNumberFormat="1" applyFont="1" applyFill="1" applyBorder="1" applyAlignment="1">
      <x:alignment horizontal="general" vertical="top" wrapText="1"/>
    </x:xf>
    <x:xf numFmtId="164" fontId="17" fillId="37" borderId="9" xfId="0" applyNumberFormat="1" applyFont="1" applyFill="1" applyBorder="1" applyAlignment="1">
      <x:alignment horizontal="general" vertical="top" wrapText="1"/>
    </x:xf>
    <x:xf numFmtId="164" fontId="27" fillId="0" borderId="0" xfId="0" applyNumberFormat="1" applyFont="1" applyFill="1" applyBorder="1" applyAlignment="1">
      <x:alignment horizontal="general" vertical="bottom" wrapText="0"/>
    </x:xf>
    <x:xf numFmtId="164" fontId="28" fillId="0" borderId="0" xfId="0" applyNumberFormat="1" applyFont="1" applyFill="1" applyBorder="1" applyAlignment="1">
      <x:alignment horizontal="general" vertical="bottom" wrapText="0"/>
    </x:xf>
    <x:xf numFmtId="164" fontId="21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0" borderId="0" xfId="0" applyNumberFormat="1" applyFont="1" applyFill="1" applyBorder="1" applyAlignment="1">
      <x:alignment horizontal="general" vertical="center" wrapText="0"/>
    </x:xf>
    <x:xf numFmtId="164" fontId="0" fillId="0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38" borderId="0" xfId="0" applyNumberFormat="1" applyFont="1" applyFill="1" applyBorder="1" applyAlignment="1">
      <x:alignment horizontal="general" vertical="center" wrapText="0"/>
    </x:xf>
    <x:xf numFmtId="164" fontId="17" fillId="38" borderId="0" xfId="0" applyNumberFormat="1" applyFont="1" applyFill="1" applyBorder="1" applyAlignment="1">
      <x:alignment horizontal="general" vertical="center" wrapText="0"/>
    </x:xf>
    <x:xf numFmtId="164" fontId="17" fillId="38" borderId="0" xfId="0" applyNumberFormat="1" applyFont="1" applyFill="1" applyBorder="1" applyAlignment="1">
      <x:alignment horizontal="general" vertical="center" wrapText="1"/>
    </x:xf>
    <x:xf numFmtId="164" fontId="0" fillId="39" borderId="0" xfId="0" applyNumberFormat="1" applyFont="1" applyFill="1" applyBorder="1" applyAlignment="1">
      <x:alignment horizontal="general" vertical="center" wrapText="0"/>
    </x:xf>
    <x:xf numFmtId="164" fontId="0" fillId="39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0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0" borderId="0" xfId="0" applyNumberFormat="1" applyFont="1" applyFill="1" applyBorder="1" applyAlignment="1">
      <x:alignment horizontal="general" vertical="center" wrapText="0"/>
    </x:xf>
    <x:xf numFmtId="164" fontId="0" fillId="41" borderId="0" xfId="0" applyNumberFormat="1" applyFont="1" applyFill="1" applyBorder="1" applyAlignment="1">
      <x:alignment horizontal="general" vertical="center" wrapText="0"/>
    </x:xf>
    <x:xf numFmtId="164" fontId="0" fillId="41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2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2" borderId="0" xfId="0" applyNumberFormat="1" applyFont="1" applyFill="1" applyBorder="1" applyAlignment="1">
      <x:alignment horizontal="general" vertical="center" wrapText="0"/>
    </x:xf>
    <x:xf numFmtId="201" fontId="0" fillId="39" borderId="0" xfId="0" applyNumberFormat="1" applyFont="1" applyFill="1" applyBorder="1" applyAlignment="1">
      <x:alignment horizontal="general" vertical="center" wrapText="0"/>
    </x:xf>
    <x:xf numFmtId="201" fontId="0" fillId="41" borderId="0" xfId="0" applyNumberFormat="1" applyFont="1" applyFill="1" applyBorder="1" applyAlignment="1">
      <x:alignment horizontal="general" vertical="center" wrapText="0"/>
    </x:xf>
    <x:xf numFmtId="202" fontId="0" fillId="40" borderId="0" xfId="0" applyNumberFormat="1" applyFont="1" applyFill="1" applyBorder="1" applyAlignment="1">
      <x:alignment horizontal="general" vertical="center" wrapText="0"/>
    </x:xf>
    <x:xf numFmtId="202" fontId="0" fillId="39" borderId="0" xfId="0" applyNumberFormat="1" applyFont="1" applyFill="1" applyBorder="1" applyAlignment="1">
      <x:alignment horizontal="general" vertical="center" wrapText="0"/>
    </x:xf>
    <x:xf numFmtId="202" fontId="0" fillId="42" borderId="0" xfId="0" applyNumberFormat="1" applyFont="1" applyFill="1" applyBorder="1" applyAlignment="1">
      <x:alignment horizontal="general" vertical="center" wrapText="0"/>
    </x:xf>
    <x:xf numFmtId="202" fontId="0" fillId="41" borderId="0" xfId="0" applyNumberFormat="1" applyFont="1" applyFill="1" applyBorder="1" applyAlignment="1">
      <x:alignment horizontal="general" vertical="center" wrapText="0"/>
    </x:xf>
    <x:xf numFmtId="164" fontId="0" fillId="38" borderId="0" xfId="0" applyNumberFormat="1" applyFont="1" applyFill="1" applyBorder="1" applyAlignment="1">
      <x:alignment horizontal="general" vertical="bottom" wrapText="0"/>
    </x:xf>
    <x:xf numFmtId="164" fontId="17" fillId="38" borderId="0" xfId="0" applyNumberFormat="1" applyFont="1" applyFill="1" applyBorder="1" applyAlignment="1">
      <x:alignment horizontal="general" vertical="bottom" wrapText="0"/>
    </x:xf>
    <x:xf numFmtId="164" fontId="0" fillId="43" borderId="0" xfId="0" applyNumberFormat="1" applyFont="1" applyFill="1" applyBorder="1" applyAlignment="1">
      <x:alignment horizontal="general" vertical="bottom" wrapText="0"/>
    </x:xf>
    <x:xf numFmtId="164" fontId="17" fillId="43" borderId="0" xfId="0" applyNumberFormat="1" applyFont="1" applyFill="1" applyBorder="1" applyAlignment="1">
      <x:alignment horizontal="general" vertical="bottom" wrapText="0"/>
    </x:xf>
    <x:xf numFmtId="164" fontId="17" fillId="43" borderId="0" xfId="0" applyNumberFormat="1" applyFont="1" applyFill="1" applyBorder="1" applyAlignment="1">
      <x:alignment horizontal="general" vertical="bottom" wrapText="1"/>
    </x:xf>
    <x:xf numFmtId="164" fontId="17" fillId="43" borderId="0" xfId="0" applyNumberFormat="1" applyFont="1" applyFill="1" applyBorder="1" applyAlignment="1">
      <x:alignment horizontal="general" vertical="center" wrapText="1"/>
    </x:xf>
    <x:xf numFmtId="202" fontId="0" fillId="0" borderId="0" xfId="0" applyNumberFormat="1" applyFont="1" applyFill="1" applyBorder="1" applyAlignment="1">
      <x:alignment horizontal="general" vertical="center" wrapText="0"/>
    </x:xf>
    <x:xf numFmtId="177" fontId="0" fillId="0" borderId="0" xfId="0" applyNumberFormat="1" applyFont="1" applyFill="1" applyBorder="1" applyAlignment="1">
      <x:alignment horizontal="general" vertical="center" wrapText="0"/>
    </x:xf>
    <x:xf numFmtId="177" fontId="0" fillId="39" borderId="0" xfId="0" applyNumberFormat="1" applyFont="1" applyFill="1" applyBorder="1" applyAlignment="1">
      <x:alignment horizontal="general" vertical="center" wrapText="0"/>
    </x:xf>
    <x:xf numFmtId="177" fontId="0" fillId="41" borderId="0" xfId="0" applyNumberFormat="1" applyFont="1" applyFill="1" applyBorder="1" applyAlignment="1">
      <x:alignment horizontal="general" vertical="center" wrapText="0"/>
    </x:xf>
    <x:xf numFmtId="164" fontId="15" fillId="18" borderId="9" xfId="0" applyNumberFormat="1" applyFont="1" applyFill="1" applyBorder="1" applyAlignment="1">
      <x:alignment horizontal="general" vertical="top" wrapText="1"/>
    </x:xf>
    <x:xf numFmtId="175" fontId="15" fillId="18" borderId="9" xfId="0" applyNumberFormat="1" applyFont="1" applyFill="1" applyBorder="1" applyAlignment="1">
      <x:alignment horizontal="general" vertical="top" wrapText="1"/>
    </x:xf>
    <x:xf numFmtId="177" fontId="14" fillId="18" borderId="9" xfId="0" applyNumberFormat="1" applyFont="1" applyFill="1" applyBorder="1" applyAlignment="1">
      <x:alignment horizontal="general" vertical="top" wrapText="1"/>
    </x:xf>
    <x:xf numFmtId="164" fontId="15" fillId="44" borderId="9" xfId="0" applyNumberFormat="1" applyFont="1" applyFill="1" applyBorder="1" applyAlignment="1">
      <x:alignment horizontal="general" vertical="top" wrapText="1"/>
    </x:xf>
    <x:xf numFmtId="175" fontId="15" fillId="44" borderId="9" xfId="0" applyNumberFormat="1" applyFont="1" applyFill="1" applyBorder="1" applyAlignment="1">
      <x:alignment horizontal="general" vertical="top" wrapText="1"/>
    </x:xf>
    <x:xf numFmtId="177" fontId="14" fillId="44" borderId="9" xfId="0" applyNumberFormat="1" applyFont="1" applyFill="1" applyBorder="1" applyAlignment="1">
      <x:alignment horizontal="general" vertical="top" wrapText="1"/>
    </x:xf>
    <x:xf numFmtId="177" fontId="15" fillId="44" borderId="9" xfId="0" applyNumberFormat="1" applyFont="1" applyFill="1" applyBorder="1" applyAlignment="1">
      <x:alignment horizontal="general" vertical="top" wrapText="1"/>
    </x:xf>
    <x:xf numFmtId="164" fontId="15" fillId="45" borderId="9" xfId="0" applyNumberFormat="1" applyFont="1" applyFill="1" applyBorder="1" applyAlignment="1">
      <x:alignment horizontal="general" vertical="top" wrapText="1"/>
    </x:xf>
    <x:xf numFmtId="175" fontId="15" fillId="45" borderId="9" xfId="0" applyNumberFormat="1" applyFont="1" applyFill="1" applyBorder="1" applyAlignment="1">
      <x:alignment horizontal="general" vertical="top" wrapText="1"/>
    </x:xf>
    <x:xf numFmtId="177" fontId="14" fillId="45" borderId="9" xfId="0" applyNumberFormat="1" applyFont="1" applyFill="1" applyBorder="1" applyAlignment="1">
      <x:alignment horizontal="general" vertical="top" wrapText="1"/>
    </x:xf>
    <x:xf numFmtId="177" fontId="15" fillId="45" borderId="9" xfId="0" applyNumberFormat="1" applyFont="1" applyFill="1" applyBorder="1" applyAlignment="1">
      <x:alignment horizontal="general" vertical="top" wrapText="1"/>
    </x:xf>
    <x:xf numFmtId="164" fontId="29" fillId="0" borderId="0" xfId="0" applyNumberFormat="1" applyFont="1" applyFill="1" applyBorder="1" applyAlignment="1">
      <x:alignment horizontal="general" vertical="bottom" wrapText="0"/>
    </x:xf>
    <x:xf numFmtId="164" fontId="0" fillId="46" borderId="0" xfId="0" applyNumberFormat="1" applyFont="1" applyFill="1" applyBorder="1" applyAlignment="1">
      <x:alignment horizontal="general" vertical="bottom" wrapText="0"/>
    </x:xf>
    <x:xf numFmtId="164" fontId="17" fillId="46" borderId="0" xfId="0" applyNumberFormat="1" applyFont="1" applyFill="1" applyBorder="1" applyAlignment="1">
      <x:alignment horizontal="general" vertical="bottom" wrapText="0"/>
    </x:xf>
    <x:xf numFmtId="164" fontId="17" fillId="46" borderId="0" xfId="0" applyNumberFormat="1" applyFont="1" applyFill="1" applyBorder="1" applyAlignment="1">
      <x:alignment horizontal="general" vertical="bottom" wrapText="1"/>
    </x:xf>
    <x:xf numFmtId="164" fontId="30" fillId="0" borderId="0" xfId="0" applyNumberFormat="1" applyFont="1" applyFill="1" applyBorder="1" applyAlignment="1">
      <x:alignment horizontal="general" vertical="bottom" wrapText="0"/>
    </x:xf>
    <x:xf numFmtId="164" fontId="30" fillId="0" borderId="0" xfId="0" applyNumberFormat="1" applyFont="1" applyFill="1" applyBorder="1" applyAlignment="1">
      <x:alignment horizontal="general" vertical="center" wrapText="0"/>
    </x:xf>
    <x:xf numFmtId="164" fontId="30" fillId="47" borderId="0" xfId="0" applyNumberFormat="1" applyFont="1" applyFill="1" applyBorder="1" applyAlignment="1">
      <x:alignment horizontal="general" vertical="center" wrapText="0"/>
    </x:xf>
    <x:xf numFmtId="164" fontId="30" fillId="45" borderId="0" xfId="0" applyNumberFormat="1" applyFont="1" applyFill="1" applyBorder="1" applyAlignment="1">
      <x:alignment horizontal="general" vertical="center" wrapText="0"/>
    </x:xf>
    <x:xf numFmtId="164" fontId="30" fillId="48" borderId="0" xfId="0" applyNumberFormat="1" applyFont="1" applyFill="1" applyBorder="1" applyAlignment="1">
      <x:alignment horizontal="general" vertical="center" wrapText="0"/>
    </x:xf>
    <x:xf numFmtId="164" fontId="30" fillId="44" borderId="0" xfId="0" applyNumberFormat="1" applyFont="1" applyFill="1" applyBorder="1" applyAlignment="1">
      <x:alignment horizontal="general" vertical="center" wrapText="0"/>
    </x:xf>
    <x:xf numFmtId="201" fontId="30" fillId="47" borderId="0" xfId="0" applyNumberFormat="1" applyFont="1" applyFill="1" applyBorder="1" applyAlignment="1">
      <x:alignment horizontal="general" vertical="center" wrapText="0"/>
    </x:xf>
    <x:xf numFmtId="201" fontId="30" fillId="48" borderId="0" xfId="0" applyNumberFormat="1" applyFont="1" applyFill="1" applyBorder="1" applyAlignment="1">
      <x:alignment horizontal="general" vertical="center" wrapText="0"/>
    </x:xf>
    <x:xf numFmtId="177" fontId="30" fillId="45" borderId="0" xfId="0" applyNumberFormat="1" applyFont="1" applyFill="1" applyBorder="1" applyAlignment="1">
      <x:alignment horizontal="general" vertical="center" wrapText="0"/>
    </x:xf>
    <x:xf numFmtId="177" fontId="30" fillId="47" borderId="0" xfId="0" applyNumberFormat="1" applyFont="1" applyFill="1" applyBorder="1" applyAlignment="1">
      <x:alignment horizontal="general" vertical="center" wrapText="0"/>
    </x:xf>
    <x:xf numFmtId="177" fontId="30" fillId="44" borderId="0" xfId="0" applyNumberFormat="1" applyFont="1" applyFill="1" applyBorder="1" applyAlignment="1">
      <x:alignment horizontal="general" vertical="center" wrapText="0"/>
    </x:xf>
    <x:xf numFmtId="177" fontId="30" fillId="48" borderId="0" xfId="0" applyNumberFormat="1" applyFont="1" applyFill="1" applyBorder="1" applyAlignment="1">
      <x:alignment horizontal="general" vertical="center" wrapText="0"/>
    </x:xf>
    <x:xf numFmtId="203" fontId="30" fillId="47" borderId="0" xfId="0" applyNumberFormat="1" applyFont="1" applyFill="1" applyBorder="1" applyAlignment="1">
      <x:alignment horizontal="general" vertical="center" wrapText="0"/>
    </x:xf>
    <x:xf numFmtId="203" fontId="30" fillId="48" borderId="0" xfId="0" applyNumberFormat="1" applyFont="1" applyFill="1" applyBorder="1" applyAlignment="1">
      <x:alignment horizontal="general" vertical="center" wrapText="0"/>
    </x:xf>
    <x:xf numFmtId="164" fontId="30" fillId="45" borderId="0" xfId="0" applyNumberFormat="1" applyFont="1" applyFill="1" applyBorder="1" applyAlignment="1">
      <x:alignment horizontal="general" vertical="center" wrapText="1"/>
    </x:xf>
    <x:xf numFmtId="164" fontId="30" fillId="44" borderId="0" xfId="0" applyNumberFormat="1" applyFont="1" applyFill="1" applyBorder="1" applyAlignment="1">
      <x:alignment horizontal="general" vertical="center" wrapText="1"/>
    </x:xf>
    <x:xf numFmtId="164" fontId="30" fillId="47" borderId="0" xfId="0" applyNumberFormat="1" applyFont="1" applyFill="1" applyBorder="1" applyAlignment="1">
      <x:alignment horizontal="general" vertical="center" wrapText="1"/>
    </x:xf>
    <x:xf numFmtId="164" fontId="30" fillId="48" borderId="0" xfId="0" applyNumberFormat="1" applyFont="1" applyFill="1" applyBorder="1" applyAlignment="1">
      <x:alignment horizontal="general" vertical="center" wrapText="1"/>
    </x:xf>
    <x:xf numFmtId="202" fontId="0" fillId="48" borderId="0" xfId="0" applyNumberFormat="1" applyFont="1" applyFill="1" applyBorder="1" applyAlignment="1">
      <x:alignment horizontal="general" vertical="center" wrapText="0"/>
    </x:xf>
    <x:xf numFmtId="202" fontId="0" fillId="47" borderId="0" xfId="0" applyNumberFormat="1" applyFont="1" applyFill="1" applyBorder="1" applyAlignment="1">
      <x:alignment horizontal="general" vertical="center" wrapText="0"/>
    </x:xf>
    <x:xf numFmtId="177" fontId="0" fillId="48" borderId="0" xfId="0" applyNumberFormat="1" applyFont="1" applyFill="1" applyBorder="1" applyAlignment="1">
      <x:alignment horizontal="general" vertical="center" wrapText="0"/>
    </x:xf>
    <x:xf numFmtId="177" fontId="0" fillId="47" borderId="0" xfId="0" applyNumberFormat="1" applyFont="1" applyFill="1" applyBorder="1" applyAlignment="1">
      <x:alignment horizontal="general" vertical="center" wrapText="0"/>
    </x:xf>
    <x:xf numFmtId="164" fontId="21" fillId="13" borderId="10" xfId="0" applyNumberFormat="1" applyFont="1" applyFill="1" applyBorder="1" applyAlignment="1">
      <x:alignment horizontal="center" vertical="center" wrapText="1"/>
    </x:xf>
    <x:xf numFmtId="164" fontId="0" fillId="49" borderId="0" xfId="0" applyNumberFormat="1" applyFont="1" applyFill="1" applyBorder="1" applyAlignment="1">
      <x:alignment horizontal="general" vertical="bottom" wrapText="0"/>
    </x:xf>
    <x:xf numFmtId="164" fontId="17" fillId="49" borderId="0" xfId="0" applyNumberFormat="1" applyFont="1" applyFill="1" applyBorder="1" applyAlignment="1">
      <x:alignment horizontal="general" vertical="bottom" wrapText="0"/>
    </x:xf>
    <x:xf numFmtId="164" fontId="16" fillId="23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0" fillId="16" borderId="9" xfId="0" applyNumberFormat="1" applyFont="1" applyFill="1" applyBorder="1" applyAlignment="1">
      <x:alignment horizontal="center" vertical="center" wrapText="0"/>
    </x:xf>
    <x:xf numFmtId="164" fontId="20" fillId="16" borderId="10" xfId="0" applyNumberFormat="1" applyFont="1" applyFill="1" applyBorder="1" applyAlignment="1">
      <x:alignment horizontal="center" vertical="center" wrapText="0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dxfs count="15">
    <x:dxf>
      <x:fill>
        <x:patternFill>
          <x:bgColor rgb="FF33465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243247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FEEE2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color rgb="FF9C2525"/>
      </x:font>
      <x:fill>
        <x:patternFill>
          <x:bgColor rgb="FFFCE8E6"/>
        </x:patternFill>
      </x:fill>
    </x:dxf>
    <x:dxf>
      <x:font>
        <x:b/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D9E3EF"/>
      <x:rgbColor rgb="FF808080"/>
      <x:rgbColor rgb="FF9999FF"/>
      <x:rgbColor rgb="FF993366"/>
      <x:rgbColor rgb="FFFFF4D5"/>
      <x:rgbColor rgb="FFE8F3EC"/>
      <x:rgbColor rgb="FF660066"/>
      <x:rgbColor rgb="FFFF8080"/>
      <x:rgbColor rgb="FF0066CC"/>
      <x:rgbColor rgb="FFCCD6E2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EFF8"/>
      <x:rgbColor rgb="FFDFEEE2"/>
      <x:rgbColor rgb="FFFFF4D6"/>
      <x:rgbColor rgb="FFF0F2F5"/>
      <x:rgbColor rgb="FFFF99CC"/>
      <x:rgbColor rgb="FFCC99FF"/>
      <x:rgbColor rgb="FFE6ECF3"/>
      <x:rgbColor rgb="FF3366FF"/>
      <x:rgbColor rgb="FF33CCCC"/>
      <x:rgbColor rgb="FF99CC00"/>
      <x:rgbColor rgb="FFFFCC00"/>
      <x:rgbColor rgb="FFFF9900"/>
      <x:rgbColor rgb="FFFF6600"/>
      <x:rgbColor rgb="FF666699"/>
      <x:rgbColor rgb="FF8297AD"/>
      <x:rgbColor rgb="FF003366"/>
      <x:rgbColor rgb="FF339966"/>
      <x:rgbColor rgb="FF003300"/>
      <x:rgbColor rgb="FF333300"/>
      <x:rgbColor rgb="FF993300"/>
      <x:rgbColor rgb="FF993366"/>
      <x:rgbColor rgb="FF33465E"/>
      <x:rgbColor rgb="FF24324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c9d3be3c494610" /><Relationship Type="http://schemas.openxmlformats.org/officeDocument/2006/relationships/theme" Target="/xl/theme/theme1.xml" Id="R2fa2bc68a5b74aef" /><Relationship Type="http://schemas.microsoft.com/office/2022/11/relationships/FeaturePropertyBag" Target="/xl/featurePropertyBag/featurePropertyBag.xml" Id="R0e5d8e9cead34502" /><Relationship Type="http://schemas.openxmlformats.org/officeDocument/2006/relationships/sharedStrings" Target="/xl/sharedStrings.xml" Id="R1425f438c8a74c0e" /><Relationship Type="http://schemas.openxmlformats.org/officeDocument/2006/relationships/worksheet" Target="/xl/worksheets/sheet1.xml" Id="R8129c81d71444a9e" /><Relationship Type="http://schemas.openxmlformats.org/officeDocument/2006/relationships/worksheet" Target="/xl/worksheets/sheet2.xml" Id="R48454b377b554a02" /><Relationship Type="http://schemas.openxmlformats.org/officeDocument/2006/relationships/worksheet" Target="/xl/worksheets/sheet3.xml" Id="R68818eeb32a14ac4" /><Relationship Type="http://schemas.openxmlformats.org/officeDocument/2006/relationships/worksheet" Target="/xl/worksheets/sheet4.xml" Id="R0303584faca9404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xerciseArsenal" displayName="ExerciseArsenal" ref="A35:F90" headerRowCount="1" totalsRowCount="0" totalsRowShown="0">
  <x:tableColumns count="6">
    <x:tableColumn id="1" name="Group"/>
    <x:tableColumn id="2" name="Exercise"/>
    <x:tableColumn id="3" name="Base intensity (0–10)"/>
    <x:tableColumn id="4" name="Reference sets"/>
    <x:tableColumn id="5" name="Reference amount per set"/>
    <x:tableColumn id="6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f5941dd659b43ce" /></Relationships>
</file>

<file path=xl/worksheets/sheet1.xml><?xml version="1.0" encoding="utf-8"?>
<x:worksheet xmlns:x="http://schemas.openxmlformats.org/spreadsheetml/2006/main">
  <x:sheetPr>
    <x:tabColor rgb="FF33465E"/>
  </x:sheetPr>
  <x:sheetViews>
    <x:sheetView showGridLines="0" workbookViewId="0"/>
  </x:sheetViews>
  <x:sheetFormatPr defaultColWidth="8.6796875" defaultRowHeight="15"/>
  <x:cols>
    <x:col min="1" max="2" width="15" style="1" hidden="0" customWidth="1"/>
    <x:col min="3" max="3" width="28" style="1" hidden="0" customWidth="1"/>
    <x:col min="4" max="6" width="55" style="1" hidden="0" customWidth="1"/>
    <x:col min="7" max="7" width="16" style="1" hidden="0" customWidth="1"/>
    <x:col min="8" max="9" width="62" style="1" hidden="0" customWidth="1"/>
  </x:cols>
  <x:sheetData>
    <x:row r="1" ht="26" hidden="0" customHeight="1">
      <x:c r="A1" s="181" t="s">
        <x:v>0</x:v>
      </x:c>
      <x:c r="B1" s="181"/>
      <x:c r="C1" s="181"/>
      <x:c r="D1" s="181"/>
      <x:c r="E1" s="181"/>
      <x:c r="F1" s="181"/>
      <x:c r="G1" s="181"/>
      <x:c r="H1" s="175"/>
      <x:c r="I1" s="175"/>
    </x:row>
    <x:row r="2" ht="28" hidden="0" customHeight="1">
      <x:c r="A2" s="183" t="s">
        <x:v>1</x:v>
      </x:c>
      <x:c r="B2" s="183" t="s">
        <x:v>2</x:v>
      </x:c>
      <x:c r="C2" s="183" t="s">
        <x:v>3</x:v>
      </x:c>
      <x:c r="D2" s="183" t="s">
        <x:v>4</x:v>
      </x:c>
      <x:c r="E2" s="183" t="s">
        <x:v>5</x:v>
      </x:c>
      <x:c r="F2" s="183" t="str">
        <x:v>max_sets</x:v>
      </x:c>
      <x:c r="G2" s="292" t="str">
        <x:v>max_reps</x:v>
      </x:c>
      <x:c r="H2" s="175"/>
      <x:c r="I2" s="175"/>
    </x:row>
    <x:row r="3" ht="54" hidden="0" customHeight="1">
      <x:c r="A3" s="177" t="s">
        <x:v>6</x:v>
      </x:c>
      <x:c r="B3" s="177" t="s">
        <x:v>7</x:v>
      </x:c>
      <x:c r="C3" s="278" t="s">
        <x:v>8</x:v>
      </x:c>
      <x:c r="D3" s="278" t="s">
        <x:v>9</x:v>
      </x:c>
      <x:c r="E3" s="279" t="n">
        <x:v>46321.5</x:v>
      </x:c>
      <x:c r="F3" s="295" t="n">
        <x:v>3</x:v>
      </x:c>
      <x:c r="G3" s="295" t="n">
        <x:v>5</x:v>
      </x:c>
      <x:c r="H3" s="179"/>
      <x:c r="I3" s="179"/>
    </x:row>
    <x:row r="4" ht="18" hidden="0" customHeight="1">
      <x:c r="A4" s="174"/>
      <x:c r="B4" s="174"/>
      <x:c r="C4" s="174"/>
      <x:c r="D4" s="174"/>
      <x:c r="E4" s="174"/>
      <x:c r="F4" s="174"/>
      <x:c r="G4" s="174"/>
      <x:c r="H4" s="175"/>
      <x:c r="I4" s="175"/>
    </x:row>
    <x:row r="5" ht="26" hidden="0" customHeight="1">
      <x:c r="A5" s="181" t="s">
        <x:v>10</x:v>
      </x:c>
      <x:c r="B5" s="181"/>
      <x:c r="C5" s="181"/>
      <x:c r="D5" s="181"/>
      <x:c r="E5" s="181"/>
      <x:c r="F5" s="181"/>
      <x:c r="G5" s="181"/>
      <x:c r="H5" s="185"/>
      <x:c r="I5" s="179"/>
    </x:row>
    <x:row r="6" ht="28" hidden="0" customHeight="1">
      <x:c r="A6" s="183" t="s">
        <x:v>11</x:v>
      </x:c>
      <x:c r="B6" s="183" t="s">
        <x:v>12</x:v>
      </x:c>
      <x:c r="C6" s="183" t="s">
        <x:v>13</x:v>
      </x:c>
      <x:c r="D6" s="183" t="s">
        <x:v>14</x:v>
      </x:c>
      <x:c r="E6" s="183" t="s">
        <x:v>15</x:v>
      </x:c>
      <x:c r="F6" s="183" t="s">
        <x:v>16</x:v>
      </x:c>
      <x:c r="G6" s="183" t="s">
        <x:v>17</x:v>
      </x:c>
      <x:c r="H6" s="183" t="s">
        <x:v>18</x:v>
      </x:c>
      <x:c r="I6" s="175"/>
    </x:row>
    <x:row r="7" ht="76" hidden="0" customHeight="1">
      <x:c r="A7" s="177" t="s">
        <x:v>19</x:v>
      </x:c>
      <x:c r="B7" s="278" t="s">
        <x:v>20</x:v>
      </x:c>
      <x:c r="C7" s="278" t="s">
        <x:v>21</x:v>
      </x:c>
      <x:c r="D7" s="278" t="s">
        <x:v>22</x:v>
      </x:c>
      <x:c r="E7" s="278" t="s">
        <x:v>23</x:v>
      </x:c>
      <x:c r="F7" s="278" t="s">
        <x:v>24</x:v>
      </x:c>
      <x:c r="G7" s="278" t="s">
        <x:v>25</x:v>
      </x:c>
      <x:c r="H7" s="282"/>
      <x:c r="I7" s="179"/>
    </x:row>
    <x:row r="8" ht="76" hidden="0" customHeight="1">
      <x:c r="A8" s="174" t="s">
        <x:v>26</x:v>
      </x:c>
      <x:c r="B8" s="283" t="s">
        <x:v>27</x:v>
      </x:c>
      <x:c r="C8" s="283" t="s">
        <x:v>28</x:v>
      </x:c>
      <x:c r="D8" s="283" t="s">
        <x:v>29</x:v>
      </x:c>
      <x:c r="E8" s="283" t="s">
        <x:v>30</x:v>
      </x:c>
      <x:c r="F8" s="283" t="s">
        <x:v>24</x:v>
      </x:c>
      <x:c r="G8" s="283" t="s">
        <x:v>31</x:v>
      </x:c>
      <x:c r="H8" s="284"/>
      <x:c r="I8" s="175"/>
    </x:row>
    <x:row r="9" ht="76" hidden="0" customHeight="1">
      <x:c r="A9" s="177" t="s">
        <x:v>32</x:v>
      </x:c>
      <x:c r="B9" s="278" t="s">
        <x:v>33</x:v>
      </x:c>
      <x:c r="C9" s="278" t="s">
        <x:v>34</x:v>
      </x:c>
      <x:c r="D9" s="278" t="s">
        <x:v>29</x:v>
      </x:c>
      <x:c r="E9" s="278" t="s">
        <x:v>35</x:v>
      </x:c>
      <x:c r="F9" s="278" t="s">
        <x:v>24</x:v>
      </x:c>
      <x:c r="G9" s="278" t="s">
        <x:v>36</x:v>
      </x:c>
      <x:c r="H9" s="282"/>
      <x:c r="I9" s="179"/>
    </x:row>
    <x:row r="10" ht="76" hidden="0" customHeight="1">
      <x:c r="A10" s="174" t="s">
        <x:v>37</x:v>
      </x:c>
      <x:c r="B10" s="283" t="s">
        <x:v>38</x:v>
      </x:c>
      <x:c r="C10" s="283" t="s">
        <x:v>39</x:v>
      </x:c>
      <x:c r="D10" s="283" t="s">
        <x:v>40</x:v>
      </x:c>
      <x:c r="E10" s="283" t="s">
        <x:v>41</x:v>
      </x:c>
      <x:c r="F10" s="283" t="s">
        <x:v>42</x:v>
      </x:c>
      <x:c r="G10" s="283"/>
      <x:c r="H10" s="284" t="s">
        <x:v>37</x:v>
      </x:c>
      <x:c r="I10" s="175"/>
    </x:row>
    <x:row r="11" ht="84" hidden="0" customHeight="1">
      <x:c r="A11" s="177" t="s">
        <x:v>43</x:v>
      </x:c>
      <x:c r="B11" s="278" t="s">
        <x:v>44</x:v>
      </x:c>
      <x:c r="C11" s="278" t="s">
        <x:v>45</x:v>
      </x:c>
      <x:c r="D11" s="278" t="s">
        <x:v>46</x:v>
      </x:c>
      <x:c r="E11" s="278" t="s">
        <x:v>47</x:v>
      </x:c>
      <x:c r="F11" s="278" t="s">
        <x:v>42</x:v>
      </x:c>
      <x:c r="G11" s="278"/>
      <x:c r="H11" s="282" t="s">
        <x:v>43</x:v>
      </x:c>
      <x:c r="I11" s="179"/>
    </x:row>
    <x:row r="12" ht="26" hidden="0" customHeight="1">
      <x:c r="A12" s="181" t="s">
        <x:v>48</x:v>
      </x:c>
      <x:c r="B12" s="181"/>
      <x:c r="C12" s="181"/>
      <x:c r="D12" s="181"/>
      <x:c r="E12" s="181"/>
      <x:c r="F12" s="174"/>
      <x:c r="G12" s="174"/>
      <x:c r="H12" s="175"/>
      <x:c r="I12" s="175"/>
    </x:row>
    <x:row r="13" ht="28" hidden="0" customHeight="1">
      <x:c r="A13" s="183" t="s">
        <x:v>49</x:v>
      </x:c>
      <x:c r="B13" s="183" t="s">
        <x:v>50</x:v>
      </x:c>
      <x:c r="C13" s="183" t="s">
        <x:v>12</x:v>
      </x:c>
      <x:c r="D13" s="183" t="s">
        <x:v>51</x:v>
      </x:c>
      <x:c r="E13" s="183" t="s">
        <x:v>52</x:v>
      </x:c>
      <x:c r="F13" s="177"/>
      <x:c r="G13" s="177"/>
      <x:c r="H13" s="179"/>
      <x:c r="I13" s="179"/>
    </x:row>
    <x:row r="14" ht="110" hidden="0" customHeight="1">
      <x:c r="A14" s="174" t="s">
        <x:v>53</x:v>
      </x:c>
      <x:c r="B14" s="174" t="s">
        <x:v>6</x:v>
      </x:c>
      <x:c r="C14" s="174" t="s">
        <x:v>54</x:v>
      </x:c>
      <x:c r="D14" s="283" t="s">
        <x:v>55</x:v>
      </x:c>
      <x:c r="E14" s="283" t="s">
        <x:v>56</x:v>
      </x:c>
      <x:c r="F14" s="174"/>
      <x:c r="G14" s="174"/>
      <x:c r="H14" s="175"/>
      <x:c r="I14" s="175"/>
    </x:row>
    <x:row r="15" ht="110" hidden="0" customHeight="1">
      <x:c r="A15" s="177" t="s">
        <x:v>57</x:v>
      </x:c>
      <x:c r="B15" s="177" t="s">
        <x:v>6</x:v>
      </x:c>
      <x:c r="C15" s="177" t="s">
        <x:v>58</x:v>
      </x:c>
      <x:c r="D15" s="278" t="s">
        <x:v>59</x:v>
      </x:c>
      <x:c r="E15" s="278" t="s">
        <x:v>60</x:v>
      </x:c>
      <x:c r="F15" s="177"/>
      <x:c r="G15" s="177"/>
      <x:c r="H15" s="179"/>
      <x:c r="I15" s="179"/>
    </x:row>
    <x:row r="16" ht="110" hidden="0" customHeight="1">
      <x:c r="A16" s="174" t="s">
        <x:v>61</x:v>
      </x:c>
      <x:c r="B16" s="174" t="s">
        <x:v>6</x:v>
      </x:c>
      <x:c r="C16" s="174" t="s">
        <x:v>62</x:v>
      </x:c>
      <x:c r="D16" s="283" t="s">
        <x:v>63</x:v>
      </x:c>
      <x:c r="E16" s="283" t="s">
        <x:v>26</x:v>
      </x:c>
      <x:c r="F16" s="174"/>
      <x:c r="G16" s="174"/>
      <x:c r="H16" s="175"/>
      <x:c r="I16" s="175"/>
    </x:row>
    <x:row r="17" ht="110" hidden="0" customHeight="1">
      <x:c r="A17" s="177" t="s">
        <x:v>64</x:v>
      </x:c>
      <x:c r="B17" s="177" t="s">
        <x:v>6</x:v>
      </x:c>
      <x:c r="C17" s="177" t="s">
        <x:v>65</x:v>
      </x:c>
      <x:c r="D17" s="278" t="s">
        <x:v>66</x:v>
      </x:c>
      <x:c r="E17" s="278" t="s">
        <x:v>67</x:v>
      </x:c>
      <x:c r="F17" s="177"/>
      <x:c r="G17" s="177"/>
      <x:c r="H17" s="179"/>
      <x:c r="I17" s="179"/>
    </x:row>
    <x:row r="18" ht="18" hidden="0" customHeight="1">
      <x:c r="A18" s="175"/>
      <x:c r="B18" s="175"/>
      <x:c r="C18" s="175"/>
      <x:c r="D18" s="175"/>
      <x:c r="E18" s="175"/>
      <x:c r="F18" s="175"/>
      <x:c r="G18" s="175"/>
      <x:c r="H18" s="175"/>
      <x:c r="I18" s="175"/>
    </x:row>
    <x:row r="19" ht="26" hidden="0" customHeight="1">
      <x:c r="A19" s="181" t="s">
        <x:v>68</x:v>
      </x:c>
      <x:c r="B19" s="181"/>
      <x:c r="C19" s="181"/>
      <x:c r="D19" s="181"/>
      <x:c r="E19" s="181"/>
      <x:c r="F19" s="181"/>
      <x:c r="G19" s="181"/>
      <x:c r="H19" s="185"/>
      <x:c r="I19" s="185"/>
    </x:row>
    <x:row r="20" ht="28" hidden="0" customHeight="1">
      <x:c r="A20" s="183" t="s">
        <x:v>69</x:v>
      </x:c>
      <x:c r="B20" s="183" t="s">
        <x:v>70</x:v>
      </x:c>
      <x:c r="C20" s="183" t="s">
        <x:v>71</x:v>
      </x:c>
      <x:c r="D20" s="183" t="s">
        <x:v>72</x:v>
      </x:c>
      <x:c r="E20" s="183" t="s">
        <x:v>73</x:v>
      </x:c>
      <x:c r="F20" s="183" t="s">
        <x:v>74</x:v>
      </x:c>
      <x:c r="G20" s="183" t="s">
        <x:v>75</x:v>
      </x:c>
      <x:c r="H20" s="183" t="s">
        <x:v>53</x:v>
      </x:c>
      <x:c r="I20" s="183" t="s">
        <x:v>57</x:v>
      </x:c>
    </x:row>
    <x:row r="21" ht="95" hidden="0" customHeight="1">
      <x:c r="A21" s="177" t="n">
        <x:v>1</x:v>
      </x:c>
      <x:c r="B21" s="178" t="n">
        <x:f aca="0">$E$3+7*(A21-1)</x:f>
        <x:v>46321.5</x:v>
      </x:c>
      <x:c r="C21" s="278" t="s">
        <x:v>76</x:v>
      </x:c>
      <x:c r="D21" s="278" t="s">
        <x:v>77</x:v>
      </x:c>
      <x:c r="E21" s="278" t="s">
        <x:v>78</x:v>
      </x:c>
      <x:c r="F21" s="278" t="s">
        <x:v>79</x:v>
      </x:c>
      <x:c r="G21" s="278" t="n">
        <x:v>160</x:v>
      </x:c>
      <x:c r="H21" s="278" t="s">
        <x:v>80</x:v>
      </x:c>
      <x:c r="I21" s="278" t="s">
        <x:v>81</x:v>
      </x:c>
    </x:row>
    <x:row r="22" ht="95" hidden="0" customHeight="1">
      <x:c r="A22" s="174" t="n">
        <x:v>2</x:v>
      </x:c>
      <x:c r="B22" s="176" t="n">
        <x:f aca="0">$E$3+7*(A22-1)</x:f>
        <x:v>46328.5</x:v>
      </x:c>
      <x:c r="C22" s="283" t="s">
        <x:v>76</x:v>
      </x:c>
      <x:c r="D22" s="283" t="s">
        <x:v>77</x:v>
      </x:c>
      <x:c r="E22" s="283" t="s">
        <x:v>82</x:v>
      </x:c>
      <x:c r="F22" s="283" t="s">
        <x:v>79</x:v>
      </x:c>
      <x:c r="G22" s="283" t="n">
        <x:v>160</x:v>
      </x:c>
      <x:c r="H22" s="283" t="s">
        <x:v>83</x:v>
      </x:c>
      <x:c r="I22" s="283" t="s">
        <x:v>84</x:v>
      </x:c>
    </x:row>
    <x:row r="23" ht="95" hidden="0" customHeight="1">
      <x:c r="A23" s="177" t="n">
        <x:v>3</x:v>
      </x:c>
      <x:c r="B23" s="178" t="n">
        <x:f aca="0">$E$3+7*(A23-1)</x:f>
        <x:v>46335.5</x:v>
      </x:c>
      <x:c r="C23" s="278" t="s">
        <x:v>76</x:v>
      </x:c>
      <x:c r="D23" s="278" t="s">
        <x:v>77</x:v>
      </x:c>
      <x:c r="E23" s="278" t="s">
        <x:v>85</x:v>
      </x:c>
      <x:c r="F23" s="278" t="s">
        <x:v>79</x:v>
      </x:c>
      <x:c r="G23" s="278" t="n">
        <x:v>160</x:v>
      </x:c>
      <x:c r="H23" s="278" t="s">
        <x:v>86</x:v>
      </x:c>
      <x:c r="I23" s="278" t="s">
        <x:v>87</x:v>
      </x:c>
    </x:row>
    <x:row r="24" ht="95" hidden="0" customHeight="1">
      <x:c r="A24" s="174" t="n">
        <x:v>4</x:v>
      </x:c>
      <x:c r="B24" s="176" t="n">
        <x:f aca="0">$E$3+7*(A24-1)</x:f>
        <x:v>46342.5</x:v>
      </x:c>
      <x:c r="C24" s="283" t="s">
        <x:v>88</x:v>
      </x:c>
      <x:c r="D24" s="283" t="s">
        <x:v>89</x:v>
      </x:c>
      <x:c r="E24" s="283" t="s">
        <x:v>90</x:v>
      </x:c>
      <x:c r="F24" s="283" t="s">
        <x:v>79</x:v>
      </x:c>
      <x:c r="G24" s="283" t="n">
        <x:v>81</x:v>
      </x:c>
      <x:c r="H24" s="283" t="s">
        <x:v>91</x:v>
      </x:c>
      <x:c r="I24" s="283" t="s">
        <x:v>92</x:v>
      </x:c>
    </x:row>
    <x:row r="25" ht="95" hidden="0" customHeight="1">
      <x:c r="A25" s="177" t="n">
        <x:v>5</x:v>
      </x:c>
      <x:c r="B25" s="178" t="n">
        <x:f aca="0">$E$3+7*(A25-1)</x:f>
        <x:v>46349.5</x:v>
      </x:c>
      <x:c r="C25" s="278" t="s">
        <x:v>93</x:v>
      </x:c>
      <x:c r="D25" s="278" t="s">
        <x:v>77</x:v>
      </x:c>
      <x:c r="E25" s="278" t="s">
        <x:v>94</x:v>
      </x:c>
      <x:c r="F25" s="278" t="s">
        <x:v>79</x:v>
      </x:c>
      <x:c r="G25" s="278" t="n">
        <x:v>160</x:v>
      </x:c>
      <x:c r="H25" s="278" t="s">
        <x:v>95</x:v>
      </x:c>
      <x:c r="I25" s="278" t="s">
        <x:v>96</x:v>
      </x:c>
    </x:row>
    <x:row r="26" ht="95" hidden="0" customHeight="1">
      <x:c r="A26" s="174" t="n">
        <x:v>6</x:v>
      </x:c>
      <x:c r="B26" s="176" t="n">
        <x:f aca="0">$E$3+7*(A26-1)</x:f>
        <x:v>46356.5</x:v>
      </x:c>
      <x:c r="C26" s="283" t="s">
        <x:v>93</x:v>
      </x:c>
      <x:c r="D26" s="283" t="s">
        <x:v>77</x:v>
      </x:c>
      <x:c r="E26" s="283" t="s">
        <x:v>97</x:v>
      </x:c>
      <x:c r="F26" s="283" t="s">
        <x:v>79</x:v>
      </x:c>
      <x:c r="G26" s="283" t="n">
        <x:v>160</x:v>
      </x:c>
      <x:c r="H26" s="283" t="s">
        <x:v>98</x:v>
      </x:c>
      <x:c r="I26" s="283" t="s">
        <x:v>99</x:v>
      </x:c>
    </x:row>
    <x:row r="27" ht="95" hidden="0" customHeight="1">
      <x:c r="A27" s="177" t="n">
        <x:v>7</x:v>
      </x:c>
      <x:c r="B27" s="178" t="n">
        <x:f aca="0">$E$3+7*(A27-1)</x:f>
        <x:v>46363.5</x:v>
      </x:c>
      <x:c r="C27" s="278" t="s">
        <x:v>93</x:v>
      </x:c>
      <x:c r="D27" s="278" t="s">
        <x:v>77</x:v>
      </x:c>
      <x:c r="E27" s="278" t="s">
        <x:v>100</x:v>
      </x:c>
      <x:c r="F27" s="278" t="s">
        <x:v>79</x:v>
      </x:c>
      <x:c r="G27" s="278" t="n">
        <x:v>160</x:v>
      </x:c>
      <x:c r="H27" s="278" t="s">
        <x:v>101</x:v>
      </x:c>
      <x:c r="I27" s="278" t="s">
        <x:v>102</x:v>
      </x:c>
    </x:row>
    <x:row r="28" ht="95" hidden="0" customHeight="1">
      <x:c r="A28" s="174" t="n">
        <x:v>8</x:v>
      </x:c>
      <x:c r="B28" s="176" t="n">
        <x:f aca="0">$E$3+7*(A28-1)</x:f>
        <x:v>46370.5</x:v>
      </x:c>
      <x:c r="C28" s="283" t="s">
        <x:v>88</x:v>
      </x:c>
      <x:c r="D28" s="283" t="s">
        <x:v>89</x:v>
      </x:c>
      <x:c r="E28" s="283" t="s">
        <x:v>103</x:v>
      </x:c>
      <x:c r="F28" s="283" t="s">
        <x:v>79</x:v>
      </x:c>
      <x:c r="G28" s="283" t="n">
        <x:v>81</x:v>
      </x:c>
      <x:c r="H28" s="283" t="s">
        <x:v>104</x:v>
      </x:c>
      <x:c r="I28" s="283" t="s">
        <x:v>105</x:v>
      </x:c>
    </x:row>
    <x:row r="29" ht="95" hidden="0" customHeight="1">
      <x:c r="A29" s="177" t="n">
        <x:v>9</x:v>
      </x:c>
      <x:c r="B29" s="178" t="n">
        <x:f aca="0">$E$3+7*(A29-1)</x:f>
        <x:v>46377.5</x:v>
      </x:c>
      <x:c r="C29" s="278" t="s">
        <x:v>106</x:v>
      </x:c>
      <x:c r="D29" s="278" t="s">
        <x:v>77</x:v>
      </x:c>
      <x:c r="E29" s="278" t="s">
        <x:v>107</x:v>
      </x:c>
      <x:c r="F29" s="278" t="s">
        <x:v>79</x:v>
      </x:c>
      <x:c r="G29" s="278" t="n">
        <x:v>160</x:v>
      </x:c>
      <x:c r="H29" s="278" t="s">
        <x:v>108</x:v>
      </x:c>
      <x:c r="I29" s="278" t="s">
        <x:v>109</x:v>
      </x:c>
    </x:row>
    <x:row r="30" ht="95" hidden="0" customHeight="1">
      <x:c r="A30" s="174" t="n">
        <x:v>10</x:v>
      </x:c>
      <x:c r="B30" s="176" t="n">
        <x:f aca="0">$E$3+7*(A30-1)</x:f>
        <x:v>46384.5</x:v>
      </x:c>
      <x:c r="C30" s="283" t="s">
        <x:v>106</x:v>
      </x:c>
      <x:c r="D30" s="283" t="s">
        <x:v>77</x:v>
      </x:c>
      <x:c r="E30" s="283" t="s">
        <x:v>110</x:v>
      </x:c>
      <x:c r="F30" s="283" t="s">
        <x:v>79</x:v>
      </x:c>
      <x:c r="G30" s="283" t="n">
        <x:v>160</x:v>
      </x:c>
      <x:c r="H30" s="283" t="s">
        <x:v>111</x:v>
      </x:c>
      <x:c r="I30" s="283" t="s">
        <x:v>112</x:v>
      </x:c>
    </x:row>
    <x:row r="31" ht="95" hidden="0" customHeight="1">
      <x:c r="A31" s="177" t="n">
        <x:v>11</x:v>
      </x:c>
      <x:c r="B31" s="178" t="n">
        <x:f aca="0">$E$3+7*(A31-1)</x:f>
        <x:v>46391.5</x:v>
      </x:c>
      <x:c r="C31" s="278" t="s">
        <x:v>106</x:v>
      </x:c>
      <x:c r="D31" s="278" t="s">
        <x:v>77</x:v>
      </x:c>
      <x:c r="E31" s="278" t="s">
        <x:v>113</x:v>
      </x:c>
      <x:c r="F31" s="278" t="s">
        <x:v>79</x:v>
      </x:c>
      <x:c r="G31" s="278" t="n">
        <x:v>160</x:v>
      </x:c>
      <x:c r="H31" s="278" t="s">
        <x:v>114</x:v>
      </x:c>
      <x:c r="I31" s="278" t="s">
        <x:v>115</x:v>
      </x:c>
    </x:row>
    <x:row r="32" ht="95" hidden="0" customHeight="1">
      <x:c r="A32" s="174" t="n">
        <x:v>12</x:v>
      </x:c>
      <x:c r="B32" s="176" t="n">
        <x:f aca="0">$E$3+7*(A32-1)</x:f>
        <x:v>46398.5</x:v>
      </x:c>
      <x:c r="C32" s="283" t="s">
        <x:v>116</x:v>
      </x:c>
      <x:c r="D32" s="283" t="s">
        <x:v>117</x:v>
      </x:c>
      <x:c r="E32" s="283" t="s">
        <x:v>118</x:v>
      </x:c>
      <x:c r="F32" s="283" t="s">
        <x:v>79</x:v>
      </x:c>
      <x:c r="G32" s="283" t="n">
        <x:v>75</x:v>
      </x:c>
      <x:c r="H32" s="283" t="s">
        <x:v>119</x:v>
      </x:c>
      <x:c r="I32" s="283" t="s">
        <x:v>120</x:v>
      </x:c>
    </x:row>
    <x:row r="33" ht="18" hidden="0" customHeight="1">
      <x:c r="A33" s="179"/>
      <x:c r="B33" s="179"/>
      <x:c r="C33" s="179"/>
      <x:c r="D33" s="179"/>
      <x:c r="E33" s="179"/>
      <x:c r="F33" s="179"/>
      <x:c r="G33" s="179"/>
      <x:c r="H33" s="179"/>
      <x:c r="I33" s="179"/>
    </x:row>
    <x:row r="34" ht="26" hidden="0" customHeight="1">
      <x:c r="A34" s="181" t="s">
        <x:v>121</x:v>
      </x:c>
      <x:c r="B34" s="181"/>
      <x:c r="C34" s="174"/>
      <x:c r="D34" s="174"/>
      <x:c r="E34" s="174"/>
      <x:c r="F34" s="174"/>
      <x:c r="G34" s="174"/>
      <x:c r="H34" s="175"/>
      <x:c r="I34" s="175"/>
    </x:row>
    <x:row r="35" ht="38" hidden="0" customHeight="1">
      <x:c r="A35" s="183" t="s">
        <x:v>122</x:v>
      </x:c>
      <x:c r="B35" s="183" t="s">
        <x:v>123</x:v>
      </x:c>
      <x:c r="C35" s="292" t="str">
        <x:v>Base intensity (0–10)</x:v>
      </x:c>
      <x:c r="D35" s="292" t="str">
        <x:v>Reference sets</x:v>
      </x:c>
      <x:c r="E35" s="292" t="str">
        <x:v>Reference amount per set</x:v>
      </x:c>
      <x:c r="F35" s="292" t="str">
        <x:v>Unit</x:v>
      </x:c>
      <x:c r="G35" s="179"/>
      <x:c r="H35" s="179"/>
      <x:c r="I35" s="179"/>
    </x:row>
    <x:row r="36" ht="24" hidden="0" customHeight="1">
      <x:c r="A36" s="174" t="s">
        <x:v>20</x:v>
      </x:c>
      <x:c r="B36" s="174" t="s">
        <x:v>124</x:v>
      </x:c>
      <x:c r="C36" s="348" t="n">
        <x:v>1</x:v>
      </x:c>
      <x:c r="D36" s="348" t="n">
        <x:v>3</x:v>
      </x:c>
      <x:c r="E36" s="348" t="n">
        <x:v>10</x:v>
      </x:c>
      <x:c r="F36" s="347" t="str">
        <x:v>reps</x:v>
      </x:c>
      <x:c r="G36" s="175"/>
      <x:c r="H36" s="175"/>
      <x:c r="I36" s="175"/>
    </x:row>
    <x:row r="37" ht="15" hidden="0" customHeight="1">
      <x:c r="A37" s="177" t="s">
        <x:v>20</x:v>
      </x:c>
      <x:c r="B37" s="177" t="s">
        <x:v>125</x:v>
      </x:c>
      <x:c r="C37" s="352" t="n">
        <x:v>2</x:v>
      </x:c>
      <x:c r="D37" s="352" t="n">
        <x:v>3</x:v>
      </x:c>
      <x:c r="E37" s="352" t="n">
        <x:v>10</x:v>
      </x:c>
      <x:c r="F37" s="351" t="str">
        <x:v>reps</x:v>
      </x:c>
      <x:c r="G37" s="177"/>
      <x:c r="H37" s="179"/>
      <x:c r="I37" s="179"/>
    </x:row>
    <x:row r="38" ht="15" hidden="0" customHeight="1">
      <x:c r="A38" s="174" t="s">
        <x:v>20</x:v>
      </x:c>
      <x:c r="B38" s="174" t="s">
        <x:v>126</x:v>
      </x:c>
      <x:c r="C38" s="348" t="n">
        <x:v>1</x:v>
      </x:c>
      <x:c r="D38" s="348" t="n">
        <x:v>3</x:v>
      </x:c>
      <x:c r="E38" s="348" t="n">
        <x:v>10</x:v>
      </x:c>
      <x:c r="F38" s="347" t="str">
        <x:v>reps</x:v>
      </x:c>
      <x:c r="G38" s="174"/>
      <x:c r="H38" s="175"/>
      <x:c r="I38" s="175"/>
    </x:row>
    <x:row r="39" ht="15" hidden="0" customHeight="1">
      <x:c r="A39" s="177" t="s">
        <x:v>20</x:v>
      </x:c>
      <x:c r="B39" s="177" t="s">
        <x:v>127</x:v>
      </x:c>
      <x:c r="C39" s="352" t="n">
        <x:v>4</x:v>
      </x:c>
      <x:c r="D39" s="352" t="n">
        <x:v>3</x:v>
      </x:c>
      <x:c r="E39" s="352" t="n">
        <x:v>10</x:v>
      </x:c>
      <x:c r="F39" s="351" t="str">
        <x:v>reps</x:v>
      </x:c>
      <x:c r="G39" s="177"/>
      <x:c r="H39" s="179"/>
      <x:c r="I39" s="179"/>
    </x:row>
    <x:row r="40" ht="36" hidden="0" customHeight="1">
      <x:c r="A40" s="174" t="s">
        <x:v>20</x:v>
      </x:c>
      <x:c r="B40" s="174" t="s">
        <x:v>128</x:v>
      </x:c>
      <x:c r="C40" s="348" t="n">
        <x:v>6</x:v>
      </x:c>
      <x:c r="D40" s="348" t="n">
        <x:v>3</x:v>
      </x:c>
      <x:c r="E40" s="348" t="n">
        <x:v>10</x:v>
      </x:c>
      <x:c r="F40" s="347" t="str">
        <x:v>reps</x:v>
      </x:c>
      <x:c r="G40" s="174"/>
      <x:c r="H40" s="175"/>
      <x:c r="I40" s="175"/>
    </x:row>
    <x:row r="41" ht="15" hidden="0" customHeight="1">
      <x:c r="A41" s="177" t="s">
        <x:v>20</x:v>
      </x:c>
      <x:c r="B41" s="177" t="s">
        <x:v>129</x:v>
      </x:c>
      <x:c r="C41" s="352" t="n">
        <x:v>4</x:v>
      </x:c>
      <x:c r="D41" s="352" t="n">
        <x:v>3</x:v>
      </x:c>
      <x:c r="E41" s="352" t="n">
        <x:v>10</x:v>
      </x:c>
      <x:c r="F41" s="351" t="str">
        <x:v>reps</x:v>
      </x:c>
      <x:c r="G41" s="177"/>
      <x:c r="H41" s="179"/>
      <x:c r="I41" s="179"/>
    </x:row>
    <x:row r="42" ht="24" hidden="0" customHeight="1">
      <x:c r="A42" s="174" t="s">
        <x:v>20</x:v>
      </x:c>
      <x:c r="B42" s="174" t="s">
        <x:v>130</x:v>
      </x:c>
      <x:c r="C42" s="348" t="n">
        <x:v>6</x:v>
      </x:c>
      <x:c r="D42" s="348" t="n">
        <x:v>3</x:v>
      </x:c>
      <x:c r="E42" s="348" t="n">
        <x:v>10</x:v>
      </x:c>
      <x:c r="F42" s="347" t="str">
        <x:v>reps</x:v>
      </x:c>
      <x:c r="G42" s="174"/>
      <x:c r="H42" s="175"/>
      <x:c r="I42" s="175"/>
    </x:row>
    <x:row r="43" ht="15" hidden="0" customHeight="1">
      <x:c r="A43" s="177" t="s">
        <x:v>20</x:v>
      </x:c>
      <x:c r="B43" s="177" t="s">
        <x:v>131</x:v>
      </x:c>
      <x:c r="C43" s="352" t="n">
        <x:v>4</x:v>
      </x:c>
      <x:c r="D43" s="352" t="n">
        <x:v>3</x:v>
      </x:c>
      <x:c r="E43" s="352" t="n">
        <x:v>10</x:v>
      </x:c>
      <x:c r="F43" s="351" t="str">
        <x:v>reps</x:v>
      </x:c>
      <x:c r="G43" s="177"/>
      <x:c r="H43" s="179"/>
      <x:c r="I43" s="179"/>
    </x:row>
    <x:row r="44" ht="24" hidden="0" customHeight="1">
      <x:c r="A44" s="174" t="s">
        <x:v>20</x:v>
      </x:c>
      <x:c r="B44" s="174" t="s">
        <x:v>132</x:v>
      </x:c>
      <x:c r="C44" s="348" t="n">
        <x:v>1</x:v>
      </x:c>
      <x:c r="D44" s="348" t="n">
        <x:v>3</x:v>
      </x:c>
      <x:c r="E44" s="348" t="n">
        <x:v>10</x:v>
      </x:c>
      <x:c r="F44" s="347" t="str">
        <x:v>reps</x:v>
      </x:c>
      <x:c r="G44" s="174"/>
      <x:c r="H44" s="175"/>
      <x:c r="I44" s="175"/>
    </x:row>
    <x:row r="45" ht="15" hidden="0" customHeight="1">
      <x:c r="A45" s="177" t="s">
        <x:v>20</x:v>
      </x:c>
      <x:c r="B45" s="177" t="s">
        <x:v>133</x:v>
      </x:c>
      <x:c r="C45" s="352" t="n">
        <x:v>4</x:v>
      </x:c>
      <x:c r="D45" s="352" t="n">
        <x:v>3</x:v>
      </x:c>
      <x:c r="E45" s="352" t="n">
        <x:v>10</x:v>
      </x:c>
      <x:c r="F45" s="351" t="str">
        <x:v>reps</x:v>
      </x:c>
      <x:c r="G45" s="177"/>
      <x:c r="H45" s="179"/>
      <x:c r="I45" s="179"/>
    </x:row>
    <x:row r="46" ht="24" hidden="0" customHeight="1">
      <x:c r="A46" s="174" t="s">
        <x:v>20</x:v>
      </x:c>
      <x:c r="B46" s="174" t="s">
        <x:v>134</x:v>
      </x:c>
      <x:c r="C46" s="348" t="n">
        <x:v>4</x:v>
      </x:c>
      <x:c r="D46" s="348" t="n">
        <x:v>3</x:v>
      </x:c>
      <x:c r="E46" s="348" t="n">
        <x:v>10</x:v>
      </x:c>
      <x:c r="F46" s="347" t="str">
        <x:v>reps</x:v>
      </x:c>
      <x:c r="G46" s="174"/>
      <x:c r="H46" s="175"/>
      <x:c r="I46" s="175"/>
    </x:row>
    <x:row r="47" ht="15" hidden="0" customHeight="1">
      <x:c r="A47" s="177" t="s">
        <x:v>20</x:v>
      </x:c>
      <x:c r="B47" s="177" t="s">
        <x:v>135</x:v>
      </x:c>
      <x:c r="C47" s="352" t="n">
        <x:v>4</x:v>
      </x:c>
      <x:c r="D47" s="352" t="n">
        <x:v>3</x:v>
      </x:c>
      <x:c r="E47" s="352" t="n">
        <x:v>10</x:v>
      </x:c>
      <x:c r="F47" s="351" t="str">
        <x:v>reps</x:v>
      </x:c>
      <x:c r="G47" s="179"/>
      <x:c r="H47" s="179"/>
      <x:c r="I47" s="179"/>
    </x:row>
    <x:row r="48" ht="24" hidden="0" customHeight="1">
      <x:c r="A48" s="174" t="s">
        <x:v>20</x:v>
      </x:c>
      <x:c r="B48" s="174" t="s">
        <x:v>136</x:v>
      </x:c>
      <x:c r="C48" s="348" t="n">
        <x:v>4</x:v>
      </x:c>
      <x:c r="D48" s="348" t="n">
        <x:v>3</x:v>
      </x:c>
      <x:c r="E48" s="348" t="n">
        <x:v>10</x:v>
      </x:c>
      <x:c r="F48" s="347" t="str">
        <x:v>reps</x:v>
      </x:c>
      <x:c r="G48" s="175"/>
      <x:c r="H48" s="175"/>
      <x:c r="I48" s="175"/>
    </x:row>
    <x:row r="49" ht="15" hidden="0" customHeight="1">
      <x:c r="A49" s="177" t="s">
        <x:v>20</x:v>
      </x:c>
      <x:c r="B49" s="177" t="s">
        <x:v>137</x:v>
      </x:c>
      <x:c r="C49" s="352" t="n">
        <x:v>4</x:v>
      </x:c>
      <x:c r="D49" s="352" t="n">
        <x:v>3</x:v>
      </x:c>
      <x:c r="E49" s="352" t="n">
        <x:v>10</x:v>
      </x:c>
      <x:c r="F49" s="351" t="str">
        <x:v>reps</x:v>
      </x:c>
      <x:c r="G49" s="179"/>
      <x:c r="H49" s="179"/>
      <x:c r="I49" s="179"/>
    </x:row>
    <x:row r="50" ht="24" hidden="0" customHeight="1">
      <x:c r="A50" s="174" t="s">
        <x:v>20</x:v>
      </x:c>
      <x:c r="B50" s="174" t="s">
        <x:v>138</x:v>
      </x:c>
      <x:c r="C50" s="348" t="n">
        <x:v>6</x:v>
      </x:c>
      <x:c r="D50" s="348" t="n">
        <x:v>3</x:v>
      </x:c>
      <x:c r="E50" s="348" t="n">
        <x:v>10</x:v>
      </x:c>
      <x:c r="F50" s="347" t="str">
        <x:v>reps</x:v>
      </x:c>
      <x:c r="G50" s="175"/>
      <x:c r="H50" s="175"/>
      <x:c r="I50" s="175"/>
    </x:row>
    <x:row r="51" ht="24" hidden="0" customHeight="1">
      <x:c r="A51" s="177" t="s">
        <x:v>20</x:v>
      </x:c>
      <x:c r="B51" s="177" t="s">
        <x:v>139</x:v>
      </x:c>
      <x:c r="C51" s="352" t="n">
        <x:v>4</x:v>
      </x:c>
      <x:c r="D51" s="352" t="n">
        <x:v>3</x:v>
      </x:c>
      <x:c r="E51" s="352" t="n">
        <x:v>10</x:v>
      </x:c>
      <x:c r="F51" s="351" t="str">
        <x:v>reps</x:v>
      </x:c>
      <x:c r="G51" s="179"/>
      <x:c r="H51" s="179"/>
      <x:c r="I51" s="179"/>
    </x:row>
    <x:row r="52" ht="24" hidden="0" customHeight="1">
      <x:c r="A52" s="174" t="s">
        <x:v>20</x:v>
      </x:c>
      <x:c r="B52" s="174" t="s">
        <x:v>140</x:v>
      </x:c>
      <x:c r="C52" s="348" t="n">
        <x:v>7</x:v>
      </x:c>
      <x:c r="D52" s="348" t="n">
        <x:v>3</x:v>
      </x:c>
      <x:c r="E52" s="348" t="n">
        <x:v>10</x:v>
      </x:c>
      <x:c r="F52" s="347" t="str">
        <x:v>reps</x:v>
      </x:c>
      <x:c r="G52" s="175"/>
      <x:c r="H52" s="175"/>
      <x:c r="I52" s="175"/>
    </x:row>
    <x:row r="53" ht="24" hidden="0" customHeight="1">
      <x:c r="A53" s="177" t="s">
        <x:v>20</x:v>
      </x:c>
      <x:c r="B53" s="177" t="s">
        <x:v>141</x:v>
      </x:c>
      <x:c r="C53" s="352" t="n">
        <x:v>8</x:v>
      </x:c>
      <x:c r="D53" s="352" t="n">
        <x:v>3</x:v>
      </x:c>
      <x:c r="E53" s="352" t="n">
        <x:v>10</x:v>
      </x:c>
      <x:c r="F53" s="351" t="str">
        <x:v>reps</x:v>
      </x:c>
      <x:c r="G53" s="179"/>
      <x:c r="H53" s="179"/>
      <x:c r="I53" s="179"/>
    </x:row>
    <x:row r="54" ht="24" hidden="0" customHeight="1">
      <x:c r="A54" s="174" t="s">
        <x:v>20</x:v>
      </x:c>
      <x:c r="B54" s="174" t="s">
        <x:v>142</x:v>
      </x:c>
      <x:c r="C54" s="348" t="n">
        <x:v>8</x:v>
      </x:c>
      <x:c r="D54" s="348" t="n">
        <x:v>3</x:v>
      </x:c>
      <x:c r="E54" s="348" t="n">
        <x:v>10</x:v>
      </x:c>
      <x:c r="F54" s="347" t="str">
        <x:v>reps</x:v>
      </x:c>
      <x:c r="G54" s="175"/>
      <x:c r="H54" s="175"/>
      <x:c r="I54" s="175"/>
    </x:row>
    <x:row r="55" ht="15" hidden="0" customHeight="1">
      <x:c r="A55" s="177" t="s">
        <x:v>20</x:v>
      </x:c>
      <x:c r="B55" s="177" t="s">
        <x:v>143</x:v>
      </x:c>
      <x:c r="C55" s="352" t="n">
        <x:v>8</x:v>
      </x:c>
      <x:c r="D55" s="352" t="n">
        <x:v>3</x:v>
      </x:c>
      <x:c r="E55" s="352" t="n">
        <x:v>10</x:v>
      </x:c>
      <x:c r="F55" s="351" t="str">
        <x:v>reps</x:v>
      </x:c>
      <x:c r="G55" s="179"/>
      <x:c r="H55" s="179"/>
      <x:c r="I55" s="179"/>
    </x:row>
    <x:row r="56" ht="24" hidden="0" customHeight="1">
      <x:c r="A56" s="174" t="s">
        <x:v>144</x:v>
      </x:c>
      <x:c r="B56" s="174" t="s">
        <x:v>145</x:v>
      </x:c>
      <x:c r="C56" s="348" t="n">
        <x:v>1</x:v>
      </x:c>
      <x:c r="D56" s="348" t="n">
        <x:v>3</x:v>
      </x:c>
      <x:c r="E56" s="348" t="n">
        <x:v>60</x:v>
      </x:c>
      <x:c r="F56" s="347" t="str">
        <x:v>seconds</x:v>
      </x:c>
      <x:c r="G56" s="175"/>
      <x:c r="H56" s="175"/>
      <x:c r="I56" s="175"/>
    </x:row>
    <x:row r="57" ht="24" hidden="0" customHeight="1">
      <x:c r="A57" s="177" t="s">
        <x:v>144</x:v>
      </x:c>
      <x:c r="B57" s="177" t="s">
        <x:v>146</x:v>
      </x:c>
      <x:c r="C57" s="352" t="n">
        <x:v>4</x:v>
      </x:c>
      <x:c r="D57" s="352" t="n">
        <x:v>3</x:v>
      </x:c>
      <x:c r="E57" s="352" t="n">
        <x:v>60</x:v>
      </x:c>
      <x:c r="F57" s="351" t="str">
        <x:v>seconds</x:v>
      </x:c>
      <x:c r="G57" s="179"/>
      <x:c r="H57" s="179"/>
      <x:c r="I57" s="179"/>
    </x:row>
    <x:row r="58" ht="24" hidden="0" customHeight="1">
      <x:c r="A58" s="174" t="s">
        <x:v>144</x:v>
      </x:c>
      <x:c r="B58" s="174" t="s">
        <x:v>147</x:v>
      </x:c>
      <x:c r="C58" s="348" t="n">
        <x:v>1</x:v>
      </x:c>
      <x:c r="D58" s="348" t="n">
        <x:v>3</x:v>
      </x:c>
      <x:c r="E58" s="348" t="n">
        <x:v>60</x:v>
      </x:c>
      <x:c r="F58" s="347" t="str">
        <x:v>seconds</x:v>
      </x:c>
      <x:c r="G58" s="175"/>
      <x:c r="H58" s="175"/>
      <x:c r="I58" s="175"/>
    </x:row>
    <x:row r="59" ht="15" hidden="0" customHeight="1">
      <x:c r="A59" s="177" t="s">
        <x:v>144</x:v>
      </x:c>
      <x:c r="B59" s="177" t="s">
        <x:v>148</x:v>
      </x:c>
      <x:c r="C59" s="352" t="n">
        <x:v>4</x:v>
      </x:c>
      <x:c r="D59" s="352" t="n">
        <x:v>3</x:v>
      </x:c>
      <x:c r="E59" s="352" t="n">
        <x:v>60</x:v>
      </x:c>
      <x:c r="F59" s="351" t="str">
        <x:v>seconds</x:v>
      </x:c>
      <x:c r="G59" s="179"/>
      <x:c r="H59" s="179"/>
      <x:c r="I59" s="179"/>
    </x:row>
    <x:row r="60" ht="24" hidden="0" customHeight="1">
      <x:c r="A60" s="174" t="s">
        <x:v>144</x:v>
      </x:c>
      <x:c r="B60" s="174" t="s">
        <x:v>149</x:v>
      </x:c>
      <x:c r="C60" s="348" t="n">
        <x:v>1</x:v>
      </x:c>
      <x:c r="D60" s="348" t="n">
        <x:v>3</x:v>
      </x:c>
      <x:c r="E60" s="348" t="n">
        <x:v>60</x:v>
      </x:c>
      <x:c r="F60" s="347" t="str">
        <x:v>seconds</x:v>
      </x:c>
      <x:c r="G60" s="175"/>
      <x:c r="H60" s="175"/>
      <x:c r="I60" s="175"/>
    </x:row>
    <x:row r="61" ht="15" hidden="0" customHeight="1">
      <x:c r="A61" s="177" t="s">
        <x:v>144</x:v>
      </x:c>
      <x:c r="B61" s="177" t="s">
        <x:v>150</x:v>
      </x:c>
      <x:c r="C61" s="352" t="n">
        <x:v>1</x:v>
      </x:c>
      <x:c r="D61" s="352" t="n">
        <x:v>3</x:v>
      </x:c>
      <x:c r="E61" s="352" t="n">
        <x:v>10</x:v>
      </x:c>
      <x:c r="F61" s="351" t="str">
        <x:v>reps</x:v>
      </x:c>
      <x:c r="G61" s="179"/>
      <x:c r="H61" s="179"/>
      <x:c r="I61" s="179"/>
    </x:row>
    <x:row r="62" ht="15" hidden="0" customHeight="1">
      <x:c r="A62" s="174" t="s">
        <x:v>144</x:v>
      </x:c>
      <x:c r="B62" s="174" t="s">
        <x:v>151</x:v>
      </x:c>
      <x:c r="C62" s="348" t="n">
        <x:v>4</x:v>
      </x:c>
      <x:c r="D62" s="348" t="n">
        <x:v>3</x:v>
      </x:c>
      <x:c r="E62" s="348" t="n">
        <x:v>10</x:v>
      </x:c>
      <x:c r="F62" s="347" t="str">
        <x:v>reps</x:v>
      </x:c>
      <x:c r="G62" s="175"/>
      <x:c r="H62" s="175"/>
      <x:c r="I62" s="175"/>
    </x:row>
    <x:row r="63" ht="24" hidden="0" customHeight="1">
      <x:c r="A63" s="177" t="s">
        <x:v>144</x:v>
      </x:c>
      <x:c r="B63" s="177" t="s">
        <x:v>152</x:v>
      </x:c>
      <x:c r="C63" s="352" t="n">
        <x:v>4</x:v>
      </x:c>
      <x:c r="D63" s="352" t="n">
        <x:v>3</x:v>
      </x:c>
      <x:c r="E63" s="352" t="n">
        <x:v>10</x:v>
      </x:c>
      <x:c r="F63" s="351" t="str">
        <x:v>reps</x:v>
      </x:c>
      <x:c r="G63" s="179"/>
      <x:c r="H63" s="179"/>
      <x:c r="I63" s="179"/>
    </x:row>
    <x:row r="64" ht="24" hidden="0" customHeight="1">
      <x:c r="A64" s="174" t="s">
        <x:v>144</x:v>
      </x:c>
      <x:c r="B64" s="174" t="s">
        <x:v>153</x:v>
      </x:c>
      <x:c r="C64" s="348" t="n">
        <x:v>6</x:v>
      </x:c>
      <x:c r="D64" s="348" t="n">
        <x:v>3</x:v>
      </x:c>
      <x:c r="E64" s="348" t="n">
        <x:v>10</x:v>
      </x:c>
      <x:c r="F64" s="347" t="str">
        <x:v>reps</x:v>
      </x:c>
      <x:c r="G64" s="175"/>
      <x:c r="H64" s="175"/>
      <x:c r="I64" s="175"/>
    </x:row>
    <x:row r="65" ht="24" hidden="0" customHeight="1">
      <x:c r="A65" s="177" t="s">
        <x:v>144</x:v>
      </x:c>
      <x:c r="B65" s="177" t="s">
        <x:v>154</x:v>
      </x:c>
      <x:c r="C65" s="352" t="n">
        <x:v>7</x:v>
      </x:c>
      <x:c r="D65" s="352" t="n">
        <x:v>3</x:v>
      </x:c>
      <x:c r="E65" s="352" t="n">
        <x:v>10</x:v>
      </x:c>
      <x:c r="F65" s="351" t="str">
        <x:v>reps</x:v>
      </x:c>
      <x:c r="G65" s="179"/>
      <x:c r="H65" s="179"/>
      <x:c r="I65" s="179"/>
    </x:row>
    <x:row r="66" ht="24" hidden="0" customHeight="1">
      <x:c r="A66" s="174" t="s">
        <x:v>144</x:v>
      </x:c>
      <x:c r="B66" s="174" t="s">
        <x:v>155</x:v>
      </x:c>
      <x:c r="C66" s="348" t="n">
        <x:v>7</x:v>
      </x:c>
      <x:c r="D66" s="348" t="n">
        <x:v>3</x:v>
      </x:c>
      <x:c r="E66" s="348" t="n">
        <x:v>10</x:v>
      </x:c>
      <x:c r="F66" s="347" t="str">
        <x:v>reps</x:v>
      </x:c>
      <x:c r="G66" s="175"/>
      <x:c r="H66" s="175"/>
      <x:c r="I66" s="175"/>
    </x:row>
    <x:row r="67" ht="15" hidden="0" customHeight="1">
      <x:c r="A67" s="177" t="s">
        <x:v>144</x:v>
      </x:c>
      <x:c r="B67" s="177" t="s">
        <x:v>156</x:v>
      </x:c>
      <x:c r="C67" s="352" t="n">
        <x:v>4</x:v>
      </x:c>
      <x:c r="D67" s="352" t="n">
        <x:v>3</x:v>
      </x:c>
      <x:c r="E67" s="352" t="n">
        <x:v>10</x:v>
      </x:c>
      <x:c r="F67" s="351" t="str">
        <x:v>reps</x:v>
      </x:c>
      <x:c r="G67" s="179"/>
      <x:c r="H67" s="179"/>
      <x:c r="I67" s="179"/>
    </x:row>
    <x:row r="68" ht="15" hidden="0" customHeight="1">
      <x:c r="A68" s="174" t="s">
        <x:v>144</x:v>
      </x:c>
      <x:c r="B68" s="174" t="s">
        <x:v>157</x:v>
      </x:c>
      <x:c r="C68" s="348" t="n">
        <x:v>7</x:v>
      </x:c>
      <x:c r="D68" s="348" t="n">
        <x:v>3</x:v>
      </x:c>
      <x:c r="E68" s="348" t="n">
        <x:v>10</x:v>
      </x:c>
      <x:c r="F68" s="347" t="str">
        <x:v>reps</x:v>
      </x:c>
      <x:c r="G68" s="175"/>
      <x:c r="H68" s="175"/>
      <x:c r="I68" s="175"/>
    </x:row>
    <x:row r="69" ht="24" hidden="0" customHeight="1">
      <x:c r="A69" s="177" t="s">
        <x:v>144</x:v>
      </x:c>
      <x:c r="B69" s="177" t="s">
        <x:v>158</x:v>
      </x:c>
      <x:c r="C69" s="352" t="n">
        <x:v>8</x:v>
      </x:c>
      <x:c r="D69" s="352" t="n">
        <x:v>3</x:v>
      </x:c>
      <x:c r="E69" s="352" t="n">
        <x:v>10</x:v>
      </x:c>
      <x:c r="F69" s="351" t="str">
        <x:v>reps</x:v>
      </x:c>
      <x:c r="G69" s="179"/>
      <x:c r="H69" s="179"/>
      <x:c r="I69" s="179"/>
    </x:row>
    <x:row r="70" ht="15" hidden="0" customHeight="1">
      <x:c r="A70" s="174" t="s">
        <x:v>144</x:v>
      </x:c>
      <x:c r="B70" s="174" t="s">
        <x:v>159</x:v>
      </x:c>
      <x:c r="C70" s="348" t="n">
        <x:v>8</x:v>
      </x:c>
      <x:c r="D70" s="348" t="n">
        <x:v>3</x:v>
      </x:c>
      <x:c r="E70" s="348" t="n">
        <x:v>10</x:v>
      </x:c>
      <x:c r="F70" s="347" t="str">
        <x:v>reps</x:v>
      </x:c>
      <x:c r="G70" s="175"/>
      <x:c r="H70" s="175"/>
      <x:c r="I70" s="175"/>
    </x:row>
    <x:row r="71" ht="24" hidden="0" customHeight="1">
      <x:c r="A71" s="177" t="s">
        <x:v>144</x:v>
      </x:c>
      <x:c r="B71" s="177" t="s">
        <x:v>160</x:v>
      </x:c>
      <x:c r="C71" s="352" t="n">
        <x:v>4</x:v>
      </x:c>
      <x:c r="D71" s="352" t="n">
        <x:v>3</x:v>
      </x:c>
      <x:c r="E71" s="352" t="n">
        <x:v>10</x:v>
      </x:c>
      <x:c r="F71" s="351" t="str">
        <x:v>reps</x:v>
      </x:c>
      <x:c r="G71" s="179"/>
      <x:c r="H71" s="179"/>
      <x:c r="I71" s="179"/>
    </x:row>
    <x:row r="72" ht="15" hidden="0" customHeight="1">
      <x:c r="A72" s="174" t="s">
        <x:v>144</x:v>
      </x:c>
      <x:c r="B72" s="174" t="s">
        <x:v>161</x:v>
      </x:c>
      <x:c r="C72" s="348" t="n">
        <x:v>8</x:v>
      </x:c>
      <x:c r="D72" s="348" t="n">
        <x:v>3</x:v>
      </x:c>
      <x:c r="E72" s="348" t="n">
        <x:v>10</x:v>
      </x:c>
      <x:c r="F72" s="347" t="str">
        <x:v>reps</x:v>
      </x:c>
      <x:c r="G72" s="175"/>
      <x:c r="H72" s="175"/>
      <x:c r="I72" s="175"/>
    </x:row>
    <x:row r="73" ht="15" hidden="0" customHeight="1">
      <x:c r="A73" s="177" t="s">
        <x:v>33</x:v>
      </x:c>
      <x:c r="B73" s="177" t="s">
        <x:v>162</x:v>
      </x:c>
      <x:c r="C73" s="352" t="n">
        <x:v>2</x:v>
      </x:c>
      <x:c r="D73" s="352" t="n">
        <x:v>3</x:v>
      </x:c>
      <x:c r="E73" s="352" t="n">
        <x:v>10</x:v>
      </x:c>
      <x:c r="F73" s="351" t="str">
        <x:v>reps/leg</x:v>
      </x:c>
      <x:c r="G73" s="179"/>
      <x:c r="H73" s="179"/>
      <x:c r="I73" s="179"/>
    </x:row>
    <x:row r="74" ht="24" hidden="0" customHeight="1">
      <x:c r="A74" s="174" t="s">
        <x:v>33</x:v>
      </x:c>
      <x:c r="B74" s="174" t="s">
        <x:v>163</x:v>
      </x:c>
      <x:c r="C74" s="348" t="n">
        <x:v>2</x:v>
      </x:c>
      <x:c r="D74" s="348" t="n">
        <x:v>3</x:v>
      </x:c>
      <x:c r="E74" s="348" t="n">
        <x:v>10</x:v>
      </x:c>
      <x:c r="F74" s="347" t="str">
        <x:v>reps/leg</x:v>
      </x:c>
      <x:c r="G74" s="175"/>
      <x:c r="H74" s="175"/>
      <x:c r="I74" s="175"/>
    </x:row>
    <x:row r="75" ht="15" hidden="0" customHeight="1">
      <x:c r="A75" s="177" t="s">
        <x:v>33</x:v>
      </x:c>
      <x:c r="B75" s="177" t="s">
        <x:v>164</x:v>
      </x:c>
      <x:c r="C75" s="352" t="n">
        <x:v>2</x:v>
      </x:c>
      <x:c r="D75" s="352" t="n">
        <x:v>3</x:v>
      </x:c>
      <x:c r="E75" s="352" t="n">
        <x:v>10</x:v>
      </x:c>
      <x:c r="F75" s="351" t="str">
        <x:v>reps/leg</x:v>
      </x:c>
      <x:c r="G75" s="179"/>
      <x:c r="H75" s="179"/>
      <x:c r="I75" s="179"/>
    </x:row>
    <x:row r="76" ht="24" hidden="0" customHeight="1">
      <x:c r="A76" s="174" t="s">
        <x:v>33</x:v>
      </x:c>
      <x:c r="B76" s="174" t="s">
        <x:v>165</x:v>
      </x:c>
      <x:c r="C76" s="348" t="n">
        <x:v>2</x:v>
      </x:c>
      <x:c r="D76" s="348" t="n">
        <x:v>3</x:v>
      </x:c>
      <x:c r="E76" s="348" t="n">
        <x:v>10</x:v>
      </x:c>
      <x:c r="F76" s="347" t="str">
        <x:v>reps/leg</x:v>
      </x:c>
      <x:c r="G76" s="175"/>
      <x:c r="H76" s="175"/>
      <x:c r="I76" s="175"/>
    </x:row>
    <x:row r="77" ht="24" hidden="0" customHeight="1">
      <x:c r="A77" s="177" t="s">
        <x:v>33</x:v>
      </x:c>
      <x:c r="B77" s="177" t="s">
        <x:v>166</x:v>
      </x:c>
      <x:c r="C77" s="352" t="n">
        <x:v>4</x:v>
      </x:c>
      <x:c r="D77" s="352" t="n">
        <x:v>3</x:v>
      </x:c>
      <x:c r="E77" s="352" t="n">
        <x:v>10</x:v>
      </x:c>
      <x:c r="F77" s="351" t="str">
        <x:v>reps/leg</x:v>
      </x:c>
      <x:c r="G77" s="179"/>
      <x:c r="H77" s="179"/>
      <x:c r="I77" s="179"/>
    </x:row>
    <x:row r="78" ht="24" hidden="0" customHeight="1">
      <x:c r="A78" s="174" t="s">
        <x:v>33</x:v>
      </x:c>
      <x:c r="B78" s="174" t="s">
        <x:v>167</x:v>
      </x:c>
      <x:c r="C78" s="348" t="n">
        <x:v>4</x:v>
      </x:c>
      <x:c r="D78" s="348" t="n">
        <x:v>3</x:v>
      </x:c>
      <x:c r="E78" s="348" t="n">
        <x:v>10</x:v>
      </x:c>
      <x:c r="F78" s="347" t="str">
        <x:v>reps/leg</x:v>
      </x:c>
      <x:c r="G78" s="175"/>
      <x:c r="H78" s="175"/>
      <x:c r="I78" s="175"/>
    </x:row>
    <x:row r="79" ht="24" hidden="0" customHeight="1">
      <x:c r="A79" s="177" t="s">
        <x:v>33</x:v>
      </x:c>
      <x:c r="B79" s="177" t="s">
        <x:v>168</x:v>
      </x:c>
      <x:c r="C79" s="352" t="n">
        <x:v>4</x:v>
      </x:c>
      <x:c r="D79" s="352" t="n">
        <x:v>3</x:v>
      </x:c>
      <x:c r="E79" s="352" t="n">
        <x:v>10</x:v>
      </x:c>
      <x:c r="F79" s="351" t="str">
        <x:v>reps/leg</x:v>
      </x:c>
      <x:c r="G79" s="179"/>
      <x:c r="H79" s="179"/>
      <x:c r="I79" s="179"/>
    </x:row>
    <x:row r="80" ht="24" hidden="0" customHeight="1">
      <x:c r="A80" s="174" t="s">
        <x:v>33</x:v>
      </x:c>
      <x:c r="B80" s="174" t="s">
        <x:v>169</x:v>
      </x:c>
      <x:c r="C80" s="348" t="n">
        <x:v>2</x:v>
      </x:c>
      <x:c r="D80" s="348" t="n">
        <x:v>3</x:v>
      </x:c>
      <x:c r="E80" s="348" t="n">
        <x:v>10</x:v>
      </x:c>
      <x:c r="F80" s="347" t="str">
        <x:v>reps/leg</x:v>
      </x:c>
      <x:c r="G80" s="175"/>
      <x:c r="H80" s="175"/>
      <x:c r="I80" s="175"/>
    </x:row>
    <x:row r="81" ht="15" hidden="0" customHeight="1">
      <x:c r="A81" s="177" t="s">
        <x:v>33</x:v>
      </x:c>
      <x:c r="B81" s="177" t="s">
        <x:v>170</x:v>
      </x:c>
      <x:c r="C81" s="352" t="n">
        <x:v>2</x:v>
      </x:c>
      <x:c r="D81" s="352" t="n">
        <x:v>3</x:v>
      </x:c>
      <x:c r="E81" s="352" t="n">
        <x:v>10</x:v>
      </x:c>
      <x:c r="F81" s="351" t="str">
        <x:v>reps/leg</x:v>
      </x:c>
      <x:c r="G81" s="179"/>
      <x:c r="H81" s="179"/>
      <x:c r="I81" s="179"/>
    </x:row>
    <x:row r="82" ht="15" hidden="0" customHeight="1">
      <x:c r="A82" s="174" t="s">
        <x:v>33</x:v>
      </x:c>
      <x:c r="B82" s="174" t="s">
        <x:v>171</x:v>
      </x:c>
      <x:c r="C82" s="348" t="n">
        <x:v>8</x:v>
      </x:c>
      <x:c r="D82" s="348" t="n">
        <x:v>3</x:v>
      </x:c>
      <x:c r="E82" s="348" t="n">
        <x:v>10</x:v>
      </x:c>
      <x:c r="F82" s="347" t="str">
        <x:v>reps/leg</x:v>
      </x:c>
      <x:c r="G82" s="175"/>
      <x:c r="H82" s="175"/>
      <x:c r="I82" s="175"/>
    </x:row>
    <x:row r="83" ht="15" hidden="0" customHeight="1">
      <x:c r="A83" s="177" t="s">
        <x:v>33</x:v>
      </x:c>
      <x:c r="B83" s="177" t="s">
        <x:v>172</x:v>
      </x:c>
      <x:c r="C83" s="352" t="n">
        <x:v>8</x:v>
      </x:c>
      <x:c r="D83" s="352" t="n">
        <x:v>3</x:v>
      </x:c>
      <x:c r="E83" s="352" t="n">
        <x:v>10</x:v>
      </x:c>
      <x:c r="F83" s="351" t="str">
        <x:v>reps/leg</x:v>
      </x:c>
      <x:c r="G83" s="179"/>
      <x:c r="H83" s="179"/>
      <x:c r="I83" s="179"/>
    </x:row>
    <x:row r="84" ht="15" hidden="0" customHeight="1">
      <x:c r="A84" s="174" t="s">
        <x:v>33</x:v>
      </x:c>
      <x:c r="B84" s="174" t="s">
        <x:v>173</x:v>
      </x:c>
      <x:c r="C84" s="348" t="n">
        <x:v>8</x:v>
      </x:c>
      <x:c r="D84" s="348" t="n">
        <x:v>3</x:v>
      </x:c>
      <x:c r="E84" s="348" t="n">
        <x:v>10</x:v>
      </x:c>
      <x:c r="F84" s="347" t="str">
        <x:v>reps/leg</x:v>
      </x:c>
      <x:c r="G84" s="175"/>
      <x:c r="H84" s="175"/>
      <x:c r="I84" s="175"/>
    </x:row>
    <x:row r="85" ht="15" hidden="0" customHeight="1">
      <x:c r="A85" s="177" t="s">
        <x:v>33</x:v>
      </x:c>
      <x:c r="B85" s="177" t="s">
        <x:v>174</x:v>
      </x:c>
      <x:c r="C85" s="352" t="n">
        <x:v>1</x:v>
      </x:c>
      <x:c r="D85" s="352" t="n">
        <x:v>5</x:v>
      </x:c>
      <x:c r="E85" s="352" t="n">
        <x:v>120</x:v>
      </x:c>
      <x:c r="F85" s="351" t="str">
        <x:v>seconds</x:v>
      </x:c>
      <x:c r="G85" s="179"/>
      <x:c r="H85" s="179"/>
      <x:c r="I85" s="179"/>
    </x:row>
    <x:row r="86" ht="15" hidden="0" customHeight="1">
      <x:c r="A86" s="174" t="s">
        <x:v>33</x:v>
      </x:c>
      <x:c r="B86" s="174" t="s">
        <x:v>175</x:v>
      </x:c>
      <x:c r="C86" s="348" t="n">
        <x:v>1</x:v>
      </x:c>
      <x:c r="D86" s="348" t="n">
        <x:v>5</x:v>
      </x:c>
      <x:c r="E86" s="348" t="n">
        <x:v>120</x:v>
      </x:c>
      <x:c r="F86" s="347" t="str">
        <x:v>seconds</x:v>
      </x:c>
      <x:c r="G86" s="175"/>
      <x:c r="H86" s="175"/>
      <x:c r="I86" s="175"/>
    </x:row>
    <x:row r="87" ht="15" hidden="0" customHeight="1">
      <x:c r="A87" s="177" t="s">
        <x:v>33</x:v>
      </x:c>
      <x:c r="B87" s="177" t="s">
        <x:v>176</x:v>
      </x:c>
      <x:c r="C87" s="352" t="n">
        <x:v>1</x:v>
      </x:c>
      <x:c r="D87" s="352" t="n">
        <x:v>5</x:v>
      </x:c>
      <x:c r="E87" s="352" t="n">
        <x:v>120</x:v>
      </x:c>
      <x:c r="F87" s="351" t="str">
        <x:v>seconds</x:v>
      </x:c>
      <x:c r="G87" s="179"/>
      <x:c r="H87" s="179"/>
      <x:c r="I87" s="179"/>
    </x:row>
    <x:row r="88" ht="36" hidden="0" customHeight="1">
      <x:c r="A88" s="174" t="s">
        <x:v>33</x:v>
      </x:c>
      <x:c r="B88" s="174" t="s">
        <x:v>177</x:v>
      </x:c>
      <x:c r="C88" s="348" t="n">
        <x:v>1</x:v>
      </x:c>
      <x:c r="D88" s="348" t="n">
        <x:v>5</x:v>
      </x:c>
      <x:c r="E88" s="348" t="n">
        <x:v>120</x:v>
      </x:c>
      <x:c r="F88" s="347" t="str">
        <x:v>seconds</x:v>
      </x:c>
      <x:c r="G88" s="175"/>
      <x:c r="H88" s="175"/>
      <x:c r="I88" s="175"/>
    </x:row>
    <x:row r="89" ht="36" hidden="0" customHeight="1">
      <x:c r="A89" s="177" t="s">
        <x:v>178</x:v>
      </x:c>
      <x:c r="B89" s="177" t="s">
        <x:v>179</x:v>
      </x:c>
      <x:c r="C89" s="352" t="n">
        <x:v>1</x:v>
      </x:c>
      <x:c r="D89" s="352" t="n">
        <x:v>3</x:v>
      </x:c>
      <x:c r="E89" s="352" t="n">
        <x:v>60</x:v>
      </x:c>
      <x:c r="F89" s="351" t="str">
        <x:v>seconds</x:v>
      </x:c>
      <x:c r="G89" s="179"/>
      <x:c r="H89" s="179"/>
      <x:c r="I89" s="179"/>
    </x:row>
    <x:row r="90" ht="24" hidden="0" customHeight="1">
      <x:c r="A90" s="174" t="s">
        <x:v>178</x:v>
      </x:c>
      <x:c r="B90" s="174" t="s">
        <x:v>180</x:v>
      </x:c>
      <x:c r="C90" s="348" t="n">
        <x:v>1</x:v>
      </x:c>
      <x:c r="D90" s="348" t="n">
        <x:v>3</x:v>
      </x:c>
      <x:c r="E90" s="348" t="n">
        <x:v>60</x:v>
      </x:c>
      <x:c r="F90" s="347" t="str">
        <x:v>seconds</x:v>
      </x:c>
      <x:c r="G90" s="175"/>
      <x:c r="H90" s="175"/>
      <x:c r="I90" s="175"/>
    </x:row>
    <x:row r="91" ht="82" hidden="0" customHeight="1"/>
    <x:row r="92" ht="82" hidden="0" customHeight="1"/>
    <x:row r="93" ht="82" hidden="0" customHeight="1"/>
    <x:row r="94" ht="82" hidden="0" customHeight="1"/>
    <x:row r="95" ht="82" hidden="0" customHeight="1"/>
    <x:row r="96" ht="82" hidden="0" customHeight="1"/>
    <x:row r="97" ht="82" hidden="0" customHeight="1"/>
    <x:row r="98" ht="82" hidden="0" customHeight="1"/>
    <x:row r="99" ht="82" hidden="0" customHeight="1"/>
    <x:row r="100" ht="82" hidden="0" customHeight="1"/>
    <x:row r="101" ht="82" hidden="0" customHeight="1"/>
    <x:row r="102" ht="82" hidden="0" customHeight="1"/>
    <x:row r="103" ht="82" hidden="0" customHeight="1"/>
    <x:row r="1048574" ht="12.800000190734863" hidden="0"/>
    <x:row r="1048575" ht="12.800000190734863" hidden="0"/>
    <x:row r="1048576" ht="12.800000190734863" hidden="0"/>
  </x:sheetData>
  <x:dataValidations count="6">
    <x:dataValidation type="list" errorStyle="stop" operator="between" allowBlank="0" showDropDown="0" showInputMessage="0" showErrorMessage="0" sqref="F7:F10">
      <x:formula1>"milestone,maintenance"</x:formula1>
      <x:formula2>0</x:formula2>
    </x:dataValidation>
    <x:dataValidation type="list" errorStyle="stop" operator="between" allowBlank="0" showDropDown="0" showInputMessage="0" showErrorMessage="0" sqref="F11">
      <x:formula1>"milestone,maintenance"</x:formula1>
      <x:formula2>0</x:formula2>
    </x:dataValidation>
    <x:dataValidation type="whole" operator="between" sqref="C36:C90">
      <x:formula1>0</x:formula1>
      <x:formula2>10</x:formula2>
    </x:dataValidation>
    <x:dataValidation type="whole" operator="between" sqref="D36:D90">
      <x:formula1>1</x:formula1>
      <x:formula2>1000</x:formula2>
    </x:dataValidation>
    <x:dataValidation type="decimal" operator="greaterThan" sqref="E36:E90">
      <x:formula1>0</x:formula1>
    </x:dataValidation>
    <x:dataValidation type="list" sqref="F36:F90">
      <x:formula1>"reps,reps/leg,seconds"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5941dd659b43ce"/>
  </x:tableParts>
</x:worksheet>
</file>

<file path=xl/worksheets/sheet2.xml><?xml version="1.0" encoding="utf-8"?>
<x:worksheet xmlns:x="http://schemas.openxmlformats.org/spreadsheetml/2006/main">
  <x:sheetPr>
    <x:tabColor rgb="FF33465E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3" width="16" style="1" hidden="0" customWidth="1"/>
    <x:col min="4" max="4" width="12" style="1" hidden="0" customWidth="1"/>
    <x:col min="5" max="6" width="22" style="1" hidden="0" customWidth="1"/>
    <x:col min="7" max="7" width="44" hidden="0" customWidth="1"/>
  </x:cols>
  <x:sheetData>
    <x:row r="1" ht="26" hidden="0" customHeight="1">
      <x:c r="A1" s="306" t="s">
        <x:v>181</x:v>
      </x:c>
      <x:c r="B1" s="306"/>
      <x:c r="C1" s="306"/>
      <x:c r="D1" s="306"/>
      <x:c r="E1" s="306"/>
      <x:c r="F1" s="306"/>
      <x:c r="G1" s="307"/>
    </x:row>
    <x:row r="2" ht="28" hidden="0" customHeight="1">
      <x:c r="A2" s="183" t="s">
        <x:v>182</x:v>
      </x:c>
      <x:c r="B2" s="183" t="s">
        <x:v>183</x:v>
      </x:c>
      <x:c r="C2" s="183" t="s">
        <x:v>184</x:v>
      </x:c>
      <x:c r="D2" s="183" t="s">
        <x:v>75</x:v>
      </x:c>
      <x:c r="E2" s="183" t="s">
        <x:v>185</x:v>
      </x:c>
      <x:c r="F2" s="183" t="s">
        <x:v>186</x:v>
      </x:c>
      <x:c r="G2" s="183" t="s">
        <x:v>187</x:v>
      </x:c>
    </x:row>
    <x:row r="3" ht="26" hidden="0" customHeight="1">
      <x:c r="A3" s="177" t="s">
        <x:v>188</x:v>
      </x:c>
      <x:c r="B3" s="296"/>
      <x:c r="C3" s="296"/>
      <x:c r="D3" s="302" t="str">
        <x:f aca="0">IF(OR(B3="",C3=""),"",ROUND(MOD(C3-B3,1)*1440,6))</x:f>
      </x:c>
      <x:c r="E3" s="298"/>
      <x:c r="F3" s="298"/>
      <x:c r="G3" s="298"/>
    </x:row>
    <x:row r="4" ht="26" hidden="0" customHeight="1">
      <x:c r="A4" s="174" t="s">
        <x:v>188</x:v>
      </x:c>
      <x:c r="B4" s="299"/>
      <x:c r="C4" s="299"/>
      <x:c r="D4" s="303" t="str">
        <x:f aca="0">IF(OR(B4="",C4=""),"",ROUND(MOD(C4-B4,1)*1440,6))</x:f>
      </x:c>
      <x:c r="E4" s="301"/>
      <x:c r="F4" s="301"/>
      <x:c r="G4" s="301"/>
    </x:row>
    <x:row r="5" ht="28" hidden="0" customHeight="1">
      <x:c r="A5" s="177" t="s">
        <x:v>189</x:v>
      </x:c>
      <x:c r="B5" s="296" t="n">
        <x:v>0.833333333333333</x:v>
      </x:c>
      <x:c r="C5" s="296" t="n">
        <x:v>0.875</x:v>
      </x:c>
      <x:c r="D5" s="302" t="n">
        <x:f aca="0">IF(OR(B5="",C5=""),"",ROUND(MOD(C5-B5,1)*1440,6))</x:f>
        <x:v>60</x:v>
      </x:c>
      <x:c r="E5" s="298" t="s">
        <x:v>44</x:v>
      </x:c>
      <x:c r="F5" s="298" t="s">
        <x:v>190</x:v>
      </x:c>
      <x:c r="G5" s="298" t="s">
        <x:v>191</x:v>
      </x:c>
    </x:row>
    <x:row r="6" ht="26" hidden="0" customHeight="1">
      <x:c r="A6" s="174" t="s">
        <x:v>189</x:v>
      </x:c>
      <x:c r="B6" s="299"/>
      <x:c r="C6" s="299"/>
      <x:c r="D6" s="303" t="str">
        <x:f aca="0">IF(OR(B6="",C6=""),"",ROUND(MOD(C6-B6,1)*1440,6))</x:f>
      </x:c>
      <x:c r="E6" s="301"/>
      <x:c r="F6" s="301"/>
      <x:c r="G6" s="301"/>
    </x:row>
    <x:row r="7" ht="26" hidden="0" customHeight="1">
      <x:c r="A7" s="177" t="s">
        <x:v>192</x:v>
      </x:c>
      <x:c r="B7" s="296"/>
      <x:c r="C7" s="296"/>
      <x:c r="D7" s="302" t="str">
        <x:f aca="0">IF(OR(B7="",C7=""),"",ROUND(MOD(C7-B7,1)*1440,6))</x:f>
      </x:c>
      <x:c r="E7" s="298"/>
      <x:c r="F7" s="298"/>
      <x:c r="G7" s="298"/>
    </x:row>
    <x:row r="8" ht="26" hidden="0" customHeight="1">
      <x:c r="A8" s="174" t="s">
        <x:v>192</x:v>
      </x:c>
      <x:c r="B8" s="299"/>
      <x:c r="C8" s="299"/>
      <x:c r="D8" s="303" t="str">
        <x:f aca="0">IF(OR(B8="",C8=""),"",ROUND(MOD(C8-B8,1)*1440,6))</x:f>
      </x:c>
      <x:c r="E8" s="301"/>
      <x:c r="F8" s="301"/>
      <x:c r="G8" s="301"/>
    </x:row>
    <x:row r="9" ht="26" hidden="0" customHeight="1">
      <x:c r="A9" s="177" t="s">
        <x:v>193</x:v>
      </x:c>
      <x:c r="B9" s="296"/>
      <x:c r="C9" s="296"/>
      <x:c r="D9" s="302" t="str">
        <x:f aca="0">IF(OR(B9="",C9=""),"",ROUND(MOD(C9-B9,1)*1440,6))</x:f>
      </x:c>
      <x:c r="E9" s="298"/>
      <x:c r="F9" s="298"/>
      <x:c r="G9" s="298"/>
    </x:row>
    <x:row r="10" ht="26" hidden="0" customHeight="1">
      <x:c r="A10" s="174" t="s">
        <x:v>193</x:v>
      </x:c>
      <x:c r="B10" s="299"/>
      <x:c r="C10" s="299"/>
      <x:c r="D10" s="303" t="str">
        <x:f aca="0">IF(OR(B10="",C10=""),"",ROUND(MOD(C10-B10,1)*1440,6))</x:f>
      </x:c>
      <x:c r="E10" s="301"/>
      <x:c r="F10" s="301"/>
      <x:c r="G10" s="301"/>
    </x:row>
    <x:row r="11" ht="26" hidden="0" customHeight="1">
      <x:c r="A11" s="177" t="s">
        <x:v>194</x:v>
      </x:c>
      <x:c r="B11" s="296"/>
      <x:c r="C11" s="296"/>
      <x:c r="D11" s="302" t="str">
        <x:f aca="0">IF(OR(B11="",C11=""),"",ROUND(MOD(C11-B11,1)*1440,6))</x:f>
      </x:c>
      <x:c r="E11" s="298"/>
      <x:c r="F11" s="298"/>
      <x:c r="G11" s="298"/>
    </x:row>
    <x:row r="12" ht="26" hidden="0" customHeight="1">
      <x:c r="A12" s="174" t="s">
        <x:v>194</x:v>
      </x:c>
      <x:c r="B12" s="299"/>
      <x:c r="C12" s="299"/>
      <x:c r="D12" s="303" t="str">
        <x:f aca="0">IF(OR(B12="",C12=""),"",ROUND(MOD(C12-B12,1)*1440,6))</x:f>
      </x:c>
      <x:c r="E12" s="301"/>
      <x:c r="F12" s="301"/>
      <x:c r="G12" s="301"/>
    </x:row>
    <x:row r="13" ht="26" hidden="0" customHeight="1">
      <x:c r="A13" s="177" t="s">
        <x:v>195</x:v>
      </x:c>
      <x:c r="B13" s="296"/>
      <x:c r="C13" s="296"/>
      <x:c r="D13" s="302" t="str">
        <x:f aca="0">IF(OR(B13="",C13=""),"",ROUND(MOD(C13-B13,1)*1440,6))</x:f>
      </x:c>
      <x:c r="E13" s="298"/>
      <x:c r="F13" s="298"/>
      <x:c r="G13" s="298"/>
    </x:row>
    <x:row r="14" ht="26" hidden="0" customHeight="1">
      <x:c r="A14" s="174" t="s">
        <x:v>195</x:v>
      </x:c>
      <x:c r="B14" s="299"/>
      <x:c r="C14" s="299"/>
      <x:c r="D14" s="303" t="str">
        <x:f aca="0">IF(OR(B14="",C14=""),"",ROUND(MOD(C14-B14,1)*1440,6))</x:f>
      </x:c>
      <x:c r="E14" s="301"/>
      <x:c r="F14" s="301"/>
      <x:c r="G14" s="301"/>
    </x:row>
    <x:row r="15" ht="28" hidden="0" customHeight="1">
      <x:c r="A15" s="177" t="s">
        <x:v>196</x:v>
      </x:c>
      <x:c r="B15" s="296" t="n">
        <x:v>0.4375</x:v>
      </x:c>
      <x:c r="C15" s="296" t="n">
        <x:v>0.479166666666667</x:v>
      </x:c>
      <x:c r="D15" s="302" t="n">
        <x:f aca="0">IF(OR(B15="",C15=""),"",ROUND(MOD(C15-B15,1)*1440,6))</x:f>
        <x:v>60</x:v>
      </x:c>
      <x:c r="E15" s="298" t="s">
        <x:v>38</x:v>
      </x:c>
      <x:c r="F15" s="298" t="s">
        <x:v>190</x:v>
      </x:c>
      <x:c r="G15" s="298" t="s">
        <x:v>197</x:v>
      </x:c>
    </x:row>
    <x:row r="16" ht="26" hidden="0" customHeight="1">
      <x:c r="A16" s="174" t="s">
        <x:v>196</x:v>
      </x:c>
      <x:c r="B16" s="299"/>
      <x:c r="C16" s="299"/>
      <x:c r="D16" s="303" t="str">
        <x:f aca="0">IF(OR(B16="",C16=""),"",ROUND(MOD(C16-B16,1)*1440,6))</x:f>
      </x:c>
      <x:c r="E16" s="301"/>
      <x:c r="F16" s="301"/>
      <x:c r="G16" s="30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3465E"/>
  </x:sheetPr>
  <x:sheetViews>
    <x:sheetView showGridLines="0" workbookViewId="0">
      <x:pane xSplit="2" ySplit="2" topLeftCell="C3" activePane="bottomRight" state="frozen"/>
    </x:sheetView>
  </x:sheetViews>
  <x:sheetFormatPr defaultColWidth="8.6796875" defaultRowHeight="15"/>
  <x:cols>
    <x:col min="1" max="2" width="14" style="1" hidden="0" customWidth="1"/>
    <x:col min="3" max="3" width="72" style="1" hidden="0" customWidth="1"/>
    <x:col min="4" max="4" width="29" style="1" hidden="0" customWidth="1"/>
    <x:col min="5" max="7" width="17" style="1" hidden="0" customWidth="1"/>
    <x:col min="8" max="11" width="30" style="1" hidden="0" customWidth="1"/>
    <x:col min="12" max="25" width="12" hidden="0" customWidth="1"/>
    <x:col min="26" max="26" width="9" hidden="0" customWidth="1"/>
    <x:col min="16383" max="16384" width="11.529999732971191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7" max="27" width="9" hidden="0" customWidth="1"/>
    <x:col min="29" max="29" width="32" hidden="0" customWidth="1"/>
    <x:col min="30" max="30" width="27" hidden="0" customWidth="1"/>
    <x:col min="31" max="31" width="27" hidden="0" customWidth="1"/>
    <x:col min="32" max="32" width="27" hidden="0" customWidth="1"/>
    <x:col min="33" max="33" width="19" hidden="0" customWidth="1"/>
    <x:col min="34" max="34" width="19" hidden="0" customWidth="1"/>
    <x:col min="35" max="35" width="24" hidden="0" customWidth="1"/>
    <x:col min="36" max="36" width="24" hidden="0" customWidth="1"/>
    <x:col min="37" max="37" width="19" hidden="0" customWidth="1"/>
    <x:col min="38" max="38" width="19" hidden="0" customWidth="1"/>
    <x:col min="28" max="28" width="13" hidden="0" customWidth="1"/>
  </x:cols>
  <x:sheetData>
    <x:row r="1" ht="26" hidden="0" customHeight="1">
      <x:c r="A1" s="290" t="str">
        <x:v>Daily training</x:v>
      </x:c>
      <x:c r="B1" s="290"/>
      <x:c r="C1" s="290"/>
      <x:c r="D1" s="290"/>
      <x:c r="E1" s="290"/>
      <x:c r="F1" s="290"/>
      <x:c r="G1" s="290"/>
      <x:c r="H1" s="291" t="s">
        <x:v>53</x:v>
      </x:c>
      <x:c r="I1" s="290"/>
      <x:c r="J1" s="290"/>
      <x:c r="K1" s="290"/>
      <x:c r="L1" s="290"/>
      <x:c r="M1" s="290"/>
      <x:c r="N1" s="291" t="s">
        <x:v>57</x:v>
      </x:c>
      <x:c r="O1" s="290"/>
      <x:c r="P1" s="290"/>
      <x:c r="Q1" s="290"/>
      <x:c r="R1" s="290"/>
      <x:c r="S1" s="290"/>
      <x:c r="T1" s="291" t="s">
        <x:v>198</x:v>
      </x:c>
      <x:c r="U1" s="290"/>
      <x:c r="V1" s="290"/>
      <x:c r="W1" s="290"/>
      <x:c r="X1" s="290"/>
      <x:c r="Y1" s="290"/>
      <x:c r="Z1" s="291" t="str">
        <x:v>Core</x:v>
      </x:c>
      <x:c r="AA1" s="290"/>
      <x:c r="AB1" s="384" t="str">
        <x:v>Session</x:v>
      </x:c>
      <x:c r="AC1" s="383"/>
      <x:c r="AD1" s="383"/>
      <x:c r="AE1" s="383"/>
      <x:c r="AF1" s="383"/>
      <x:c r="AG1" s="333" t="str">
        <x:v>Daily scores</x:v>
      </x:c>
      <x:c r="AH1" s="333"/>
      <x:c r="AI1" s="333"/>
      <x:c r="AJ1" s="333"/>
      <x:c r="AK1" s="333"/>
      <x:c r="AL1" s="333"/>
    </x:row>
    <x:row r="2" ht="42" hidden="0" customHeight="1">
      <x:c r="A2" s="239" t="s">
        <x:v>199</x:v>
      </x:c>
      <x:c r="B2" s="239" t="s">
        <x:v>200</x:v>
      </x:c>
      <x:c r="C2" s="239" t="s">
        <x:v>0</x:v>
      </x:c>
      <x:c r="D2" s="239" t="s">
        <x:v>201</x:v>
      </x:c>
      <x:c r="E2" s="239" t="s">
        <x:v>202</x:v>
      </x:c>
      <x:c r="F2" s="239" t="s">
        <x:v>203</x:v>
      </x:c>
      <x:c r="G2" s="239" t="s">
        <x:v>204</x:v>
      </x:c>
      <x:c r="H2" s="242" t="s">
        <x:v>205</x:v>
      </x:c>
      <x:c r="I2" s="240" t="n">
        <x:v>1</x:v>
      </x:c>
      <x:c r="J2" s="240" t="n">
        <x:v>2</x:v>
      </x:c>
      <x:c r="K2" s="240" t="n">
        <x:v>3</x:v>
      </x:c>
      <x:c r="L2" s="240" t="n">
        <x:v>4</x:v>
      </x:c>
      <x:c r="M2" s="240" t="n">
        <x:v>5</x:v>
      </x:c>
      <x:c r="N2" s="242" t="s">
        <x:v>205</x:v>
      </x:c>
      <x:c r="O2" s="240" t="n">
        <x:v>1</x:v>
      </x:c>
      <x:c r="P2" s="240" t="n">
        <x:v>2</x:v>
      </x:c>
      <x:c r="Q2" s="240" t="n">
        <x:v>3</x:v>
      </x:c>
      <x:c r="R2" s="240" t="n">
        <x:v>4</x:v>
      </x:c>
      <x:c r="S2" s="240" t="n">
        <x:v>5</x:v>
      </x:c>
      <x:c r="T2" s="242" t="s">
        <x:v>205</x:v>
      </x:c>
      <x:c r="U2" s="240" t="n">
        <x:v>1</x:v>
      </x:c>
      <x:c r="V2" s="240" t="n">
        <x:v>2</x:v>
      </x:c>
      <x:c r="W2" s="240" t="n">
        <x:v>3</x:v>
      </x:c>
      <x:c r="X2" s="240" t="n">
        <x:v>4</x:v>
      </x:c>
      <x:c r="Y2" s="240" t="n">
        <x:v>5</x:v>
      </x:c>
      <x:c r="Z2" s="242" t="str">
        <x:v>Done</x:v>
      </x:c>
      <x:c r="AA2" s="240" t="str">
        <x:v>Rounds</x:v>
      </x:c>
      <x:c r="AB2" s="379" t="str">
        <x:v>All done</x:v>
      </x:c>
      <x:c r="AC2" s="242" t="str">
        <x:v>Notes</x:v>
      </x:c>
      <x:c r="AD2" s="240" t="str">
        <x:v>Muscle-up result</x:v>
      </x:c>
      <x:c r="AE2" s="240" t="str">
        <x:v>HSPU result</x:v>
      </x:c>
      <x:c r="AF2" s="240" t="str">
        <x:v>Pistol result</x:v>
      </x:c>
      <x:c r="AG2" s="337" t="str">
        <x:v>Planned intensity</x:v>
      </x:c>
      <x:c r="AH2" s="337" t="str">
        <x:v>Effort rating</x:v>
      </x:c>
      <x:c r="AI2" s="337" t="str">
        <x:v>Expected performance</x:v>
      </x:c>
      <x:c r="AJ2" s="337" t="str">
        <x:v>Actual performance</x:v>
      </x:c>
      <x:c r="AK2" s="337" t="str">
        <x:v>Scored metrics</x:v>
      </x:c>
      <x:c r="AL2" s="337" t="str">
        <x:v>Planned metrics</x:v>
      </x:c>
    </x:row>
    <x:row r="3" ht="88" hidden="0" customHeight="1">
      <x:c r="A3" s="228" t="n">
        <x:f aca="0">Strategy!$E$3+0</x:f>
        <x:v>46321.5</x:v>
      </x:c>
      <x:c r="B3" s="229" t="s">
        <x:v>53</x:v>
      </x:c>
      <x:c r="C3" s="289" t="str">
        <x:f aca="0">SUBSTITUTE(SUBSTITUTE(SUBSTITUTE("35 min skills"&amp;CHAR(10)&amp;Strategy!H21,", B)",CHAR(10)&amp;"B)"),", C)",CHAR(10)&amp;"C)"),", Core:",CHAR(10)&amp;"Core:")</x:f>
        <x:v>35 min skills
A) Scapular pull-up: 3 x 5
B) High pull (chest-to-bar intent): 3 x 3
C) Box pistol: 3 x 5/leg
Core: 5 rounds</x:v>
      </x:c>
      <x:c r="D3" s="229" t="s">
        <x:v>206</x:v>
      </x:c>
      <x:c r="E3" s="229" t="n">
        <x:v>65</x:v>
      </x:c>
      <x:c r="F3" s="256"/>
      <x:c r="G3" s="256" t="s">
        <x:v>207</x:v>
      </x:c>
      <x:c r="H3" s="258" t="b">
        <x:f aca="0">FALSE()</x:f>
        <x:v>0</x:v>
      </x:c>
      <x:c r="I3" s="259" t="n">
        <x:v>5</x:v>
      </x:c>
      <x:c r="J3" s="259" t="n">
        <x:v>5</x:v>
      </x:c>
      <x:c r="K3" s="259" t="n">
        <x:v>5</x:v>
      </x:c>
      <x:c r="L3" s="260"/>
      <x:c r="M3" s="260"/>
      <x:c r="N3" s="258" t="b">
        <x:f aca="0">FALSE()</x:f>
        <x:v>0</x:v>
      </x:c>
      <x:c r="O3" s="259" t="n">
        <x:v>3</x:v>
      </x:c>
      <x:c r="P3" s="259" t="n">
        <x:v>3</x:v>
      </x:c>
      <x:c r="Q3" s="259" t="n">
        <x:v>3</x:v>
      </x:c>
      <x:c r="R3" s="260"/>
      <x:c r="S3" s="260"/>
      <x:c r="T3" s="258" t="b">
        <x:f aca="0">FALSE()</x:f>
        <x:v>0</x:v>
      </x:c>
      <x:c r="U3" s="259" t="n">
        <x:v>5</x:v>
      </x:c>
      <x:c r="V3" s="259" t="n">
        <x:v>5</x:v>
      </x:c>
      <x:c r="W3" s="259" t="n">
        <x:v>5</x:v>
      </x:c>
      <x:c r="X3" s="260"/>
      <x:c r="Y3" s="260"/>
      <x:c r="Z3" s="261" t="b">
        <x:v>0</x:v>
      </x:c>
      <x:c r="AA3" s="259" t="n">
        <x:v>5</x:v>
      </x:c>
      <x:c r="AB3" s="382" t="b">
        <x:v>0</x:v>
      </x:c>
      <x:c r="AC3" s="262"/>
      <x:c r="AD3" s="287"/>
      <x:c r="AE3" s="287"/>
      <x:c r="AF3" s="287"/>
      <x:c r="AG3" s="377" t="n">
        <x:f>IF(COUNT(Scoring!X5:X11)&lt;&gt;ROWS(Scoring!X5:X11),"",ROUND(MAX(0,MIN(10,SUM(Scoring!X5:X11))),0))</x:f>
        <x:v>5</x:v>
      </x:c>
      <x:c r="AH3" s="328"/>
      <x:c r="AI3" s="329" t="n">
        <x:f>IF(COUNT(Scoring!H5:H8)&gt;0,MEDIAN(Scoring!H5:H8),"")</x:f>
        <x:v>100</x:v>
      </x:c>
      <x:c r="AJ3" s="329" t="str">
        <x:f>IF(COUNT(Scoring!I5:I8)&gt;0,MEDIAN(Scoring!I5:I8),"")</x:f>
      </x:c>
      <x:c r="AK3" s="340" t="n">
        <x:f>COUNT(Scoring!I5:I8)</x:f>
        <x:v>0</x:v>
      </x:c>
      <x:c r="AL3" s="340" t="n">
        <x:f>COUNT(Scoring!H5:H8)</x:f>
        <x:v>4</x:v>
      </x:c>
    </x:row>
    <x:row r="4" ht="88" hidden="0" customHeight="1">
      <x:c r="A4" s="223" t="n">
        <x:f aca="0">Strategy!$E$3+1</x:f>
        <x:v>46322.5</x:v>
      </x:c>
      <x:c r="B4" s="224" t="s">
        <x:v>61</x:v>
      </x:c>
      <x:c r="C4" s="224" t="s">
        <x:v>208</x:v>
      </x:c>
      <x:c r="D4" s="224" t="s">
        <x:v>209</x:v>
      </x:c>
      <x:c r="E4" s="224" t="n">
        <x:v>10</x:v>
      </x:c>
      <x:c r="F4" s="257"/>
      <x:c r="G4" s="257" t="s">
        <x:v>207</x:v>
      </x:c>
      <x:c r="H4" s="263" t="b">
        <x:f aca="0">FALSE()</x:f>
        <x:v>0</x:v>
      </x:c>
      <x:c r="I4" s="264" t="n">
        <x:v>0.001388888888888889</x:v>
      </x:c>
      <x:c r="J4" s="265"/>
      <x:c r="K4" s="265"/>
      <x:c r="L4" s="265"/>
      <x:c r="M4" s="265"/>
      <x:c r="N4" s="263" t="b">
        <x:f aca="0">FALSE()</x:f>
        <x:v>0</x:v>
      </x:c>
      <x:c r="O4" s="264" t="n">
        <x:v>0.00017361111111111112</x:v>
      </x:c>
      <x:c r="P4" s="264" t="n">
        <x:v>0.00017361111111111112</x:v>
      </x:c>
      <x:c r="Q4" s="264" t="n">
        <x:v>0.00017361111111111112</x:v>
      </x:c>
      <x:c r="R4" s="265"/>
      <x:c r="S4" s="265"/>
      <x:c r="T4" s="263" t="b">
        <x:f aca="0">FALSE()</x:f>
        <x:v>0</x:v>
      </x:c>
      <x:c r="U4" s="264" t="n">
        <x:v>0.00017361111111111112</x:v>
      </x:c>
      <x:c r="V4" s="264" t="n">
        <x:v>0.00017361111111111112</x:v>
      </x:c>
      <x:c r="W4" s="265"/>
      <x:c r="X4" s="265"/>
      <x:c r="Y4" s="265"/>
      <x:c r="Z4" s="266" t="b">
        <x:v>0</x:v>
      </x:c>
      <x:c r="AA4" s="267"/>
      <x:c r="AB4" s="266" t="b">
        <x:v>0</x:v>
      </x:c>
      <x:c r="AC4" s="268"/>
      <x:c r="AD4" s="288"/>
      <x:c r="AE4" s="288"/>
      <x:c r="AF4" s="288"/>
      <x:c r="AG4" s="378" t="n">
        <x:f>IF(COUNT(Scoring!X12:X14)&lt;&gt;ROWS(Scoring!X12:X14),"",ROUND(MAX(0,MIN(10,SUM(Scoring!X12:X14))),0))</x:f>
        <x:v>1</x:v>
      </x:c>
      <x:c r="AH4" s="330"/>
      <x:c r="AI4" s="331" t="n">
        <x:f>IF(COUNT(Scoring!H9:H11)&gt;0,MEDIAN(Scoring!H9:H11),"")</x:f>
        <x:v>100</x:v>
      </x:c>
      <x:c r="AJ4" s="331" t="str">
        <x:f>IF(COUNT(Scoring!I9:I11)&gt;0,MEDIAN(Scoring!I9:I11),"")</x:f>
      </x:c>
      <x:c r="AK4" s="341" t="n">
        <x:f>COUNT(Scoring!I9:I11)</x:f>
        <x:v>0</x:v>
      </x:c>
      <x:c r="AL4" s="341" t="n">
        <x:f>COUNT(Scoring!H9:H11)</x:f>
        <x:v>3</x:v>
      </x:c>
    </x:row>
    <x:row r="5" ht="88" hidden="0" customHeight="1">
      <x:c r="A5" s="228" t="n">
        <x:f aca="0">Strategy!$E$3+3</x:f>
        <x:v>46324.5</x:v>
      </x:c>
      <x:c r="B5" s="229" t="s">
        <x:v>57</x:v>
      </x:c>
      <x:c r="C5" s="289" t="str">
        <x:f aca="0">SUBSTITUTE(SUBSTITUTE(SUBSTITUTE("35 min skills"&amp;CHAR(10)&amp;Strategy!I21,", B)",CHAR(10)&amp;"B)"),", C)",CHAR(10)&amp;"C)"),", Core:",CHAR(10)&amp;"Core:")</x:f>
        <x:v>35 min skills
A) Chest-to-wall handstand: 3 x 20 sec
B) Pike push-up: 3 x 5
C) Box pistol: 3 x 5/leg
Core: 5 rounds</x:v>
      </x:c>
      <x:c r="D5" s="229" t="s">
        <x:v>210</x:v>
      </x:c>
      <x:c r="E5" s="229" t="n">
        <x:v>65</x:v>
      </x:c>
      <x:c r="F5" s="256"/>
      <x:c r="G5" s="256" t="s">
        <x:v>207</x:v>
      </x:c>
      <x:c r="H5" s="258" t="b">
        <x:f aca="0">FALSE()</x:f>
        <x:v>0</x:v>
      </x:c>
      <x:c r="I5" s="269" t="n">
        <x:v>0.0002314814814814815</x:v>
      </x:c>
      <x:c r="J5" s="269" t="n">
        <x:v>0.0002314814814814815</x:v>
      </x:c>
      <x:c r="K5" s="269" t="n">
        <x:v>0.0002314814814814815</x:v>
      </x:c>
      <x:c r="L5" s="260"/>
      <x:c r="M5" s="260"/>
      <x:c r="N5" s="258" t="b">
        <x:f aca="0">FALSE()</x:f>
        <x:v>0</x:v>
      </x:c>
      <x:c r="O5" s="259" t="n">
        <x:v>5</x:v>
      </x:c>
      <x:c r="P5" s="259" t="n">
        <x:v>5</x:v>
      </x:c>
      <x:c r="Q5" s="259" t="n">
        <x:v>5</x:v>
      </x:c>
      <x:c r="R5" s="260"/>
      <x:c r="S5" s="260"/>
      <x:c r="T5" s="258" t="b">
        <x:f aca="0">FALSE()</x:f>
        <x:v>0</x:v>
      </x:c>
      <x:c r="U5" s="259" t="n">
        <x:v>5</x:v>
      </x:c>
      <x:c r="V5" s="259" t="n">
        <x:v>5</x:v>
      </x:c>
      <x:c r="W5" s="259" t="n">
        <x:v>5</x:v>
      </x:c>
      <x:c r="X5" s="260"/>
      <x:c r="Y5" s="260"/>
      <x:c r="Z5" s="261" t="b">
        <x:v>0</x:v>
      </x:c>
      <x:c r="AA5" s="259" t="n">
        <x:v>5</x:v>
      </x:c>
      <x:c r="AB5" s="382" t="b">
        <x:v>0</x:v>
      </x:c>
      <x:c r="AC5" s="262"/>
      <x:c r="AD5" s="287"/>
      <x:c r="AE5" s="287"/>
      <x:c r="AF5" s="287"/>
      <x:c r="AG5" s="377" t="n">
        <x:f>IF(COUNT(Scoring!X15:X21)&lt;&gt;ROWS(Scoring!X15:X21),"",ROUND(MAX(0,MIN(10,SUM(Scoring!X15:X21))),0))</x:f>
        <x:v>5</x:v>
      </x:c>
      <x:c r="AH5" s="328"/>
      <x:c r="AI5" s="329" t="n">
        <x:f>IF(COUNT(Scoring!H12:H15)&gt;0,MEDIAN(Scoring!H12:H15),"")</x:f>
        <x:v>100</x:v>
      </x:c>
      <x:c r="AJ5" s="329" t="str">
        <x:f>IF(COUNT(Scoring!I12:I15)&gt;0,MEDIAN(Scoring!I12:I15),"")</x:f>
      </x:c>
      <x:c r="AK5" s="340" t="n">
        <x:f>COUNT(Scoring!I12:I15)</x:f>
        <x:v>0</x:v>
      </x:c>
      <x:c r="AL5" s="340" t="n">
        <x:f>COUNT(Scoring!H12:H15)</x:f>
        <x:v>4</x:v>
      </x:c>
    </x:row>
    <x:row r="6" ht="88" hidden="0" customHeight="1">
      <x:c r="A6" s="223" t="n">
        <x:f aca="0">Strategy!$E$3+5</x:f>
        <x:v>46326.5</x:v>
      </x:c>
      <x:c r="B6" s="224" t="s">
        <x:v>61</x:v>
      </x:c>
      <x:c r="C6" s="224" t="s">
        <x:v>211</x:v>
      </x:c>
      <x:c r="D6" s="224" t="s">
        <x:v>212</x:v>
      </x:c>
      <x:c r="E6" s="224" t="n">
        <x:v>20</x:v>
      </x:c>
      <x:c r="F6" s="257"/>
      <x:c r="G6" s="257" t="s">
        <x:v>207</x:v>
      </x:c>
      <x:c r="H6" s="263" t="b">
        <x:f aca="0">FALSE()</x:f>
        <x:v>0</x:v>
      </x:c>
      <x:c r="I6" s="264" t="n">
        <x:v>0.001388888888888889</x:v>
      </x:c>
      <x:c r="J6" s="265"/>
      <x:c r="K6" s="265"/>
      <x:c r="L6" s="265"/>
      <x:c r="M6" s="265"/>
      <x:c r="N6" s="263" t="b">
        <x:f aca="0">FALSE()</x:f>
        <x:v>0</x:v>
      </x:c>
      <x:c r="O6" s="264" t="n">
        <x:v>0.00017361111111111112</x:v>
      </x:c>
      <x:c r="P6" s="264" t="n">
        <x:v>0.00017361111111111112</x:v>
      </x:c>
      <x:c r="Q6" s="264" t="n">
        <x:v>0.00017361111111111112</x:v>
      </x:c>
      <x:c r="R6" s="265"/>
      <x:c r="S6" s="265"/>
      <x:c r="T6" s="263" t="b">
        <x:f aca="0">FALSE()</x:f>
        <x:v>0</x:v>
      </x:c>
      <x:c r="U6" s="264" t="n">
        <x:v>0.00017361111111111112</x:v>
      </x:c>
      <x:c r="V6" s="264" t="n">
        <x:v>0.00017361111111111112</x:v>
      </x:c>
      <x:c r="W6" s="264" t="n">
        <x:v>0.00017361111111111112</x:v>
      </x:c>
      <x:c r="X6" s="265"/>
      <x:c r="Y6" s="265"/>
      <x:c r="Z6" s="266" t="b">
        <x:v>0</x:v>
      </x:c>
      <x:c r="AA6" s="267"/>
      <x:c r="AB6" s="266" t="b">
        <x:v>0</x:v>
      </x:c>
      <x:c r="AC6" s="268"/>
      <x:c r="AD6" s="288"/>
      <x:c r="AE6" s="288"/>
      <x:c r="AF6" s="288"/>
      <x:c r="AG6" s="378" t="n">
        <x:f>IF(COUNT(Scoring!X22:X24)&lt;&gt;ROWS(Scoring!X22:X24),"",ROUND(MAX(0,MIN(10,SUM(Scoring!X22:X24))),0))</x:f>
        <x:v>1</x:v>
      </x:c>
      <x:c r="AH6" s="330"/>
      <x:c r="AI6" s="331" t="n">
        <x:f>IF(COUNT(Scoring!H16:H18)&gt;0,MEDIAN(Scoring!H16:H18),"")</x:f>
        <x:v>100</x:v>
      </x:c>
      <x:c r="AJ6" s="331" t="str">
        <x:f>IF(COUNT(Scoring!I16:I18)&gt;0,MEDIAN(Scoring!I16:I18),"")</x:f>
      </x:c>
      <x:c r="AK6" s="341" t="n">
        <x:f>COUNT(Scoring!I16:I18)</x:f>
        <x:v>0</x:v>
      </x:c>
      <x:c r="AL6" s="341" t="n">
        <x:f>COUNT(Scoring!H16:H18)</x:f>
        <x:v>3</x:v>
      </x:c>
    </x:row>
    <x:row r="7" ht="88" hidden="0" customHeight="1">
      <x:c r="A7" s="228" t="n">
        <x:f aca="0">Strategy!$E$3+7</x:f>
        <x:v>46328.5</x:v>
      </x:c>
      <x:c r="B7" s="229" t="s">
        <x:v>53</x:v>
      </x:c>
      <x:c r="C7" s="289" t="str">
        <x:f aca="0">SUBSTITUTE(SUBSTITUTE(SUBSTITUTE("35 min skills"&amp;CHAR(10)&amp;Strategy!H22,", B)",CHAR(10)&amp;"B)"),", C)",CHAR(10)&amp;"C)"),", Core:",CHAR(10)&amp;"Core:")</x:f>
        <x:v>35 min skills
A) Band transition drill: 3 x 3
B) High pull: 3 x 3
C) Lower-box pistol with counterweight: 3 x 4/leg
Core: 5 rounds</x:v>
      </x:c>
      <x:c r="D7" s="229" t="s">
        <x:v>206</x:v>
      </x:c>
      <x:c r="E7" s="229" t="n">
        <x:v>65</x:v>
      </x:c>
      <x:c r="F7" s="256"/>
      <x:c r="G7" s="256" t="s">
        <x:v>207</x:v>
      </x:c>
      <x:c r="H7" s="258" t="b">
        <x:f aca="0">FALSE()</x:f>
        <x:v>0</x:v>
      </x:c>
      <x:c r="I7" s="259" t="n">
        <x:v>3</x:v>
      </x:c>
      <x:c r="J7" s="259" t="n">
        <x:v>3</x:v>
      </x:c>
      <x:c r="K7" s="259" t="n">
        <x:v>3</x:v>
      </x:c>
      <x:c r="L7" s="260"/>
      <x:c r="M7" s="260"/>
      <x:c r="N7" s="258" t="b">
        <x:f aca="0">FALSE()</x:f>
        <x:v>0</x:v>
      </x:c>
      <x:c r="O7" s="259" t="n">
        <x:v>3</x:v>
      </x:c>
      <x:c r="P7" s="259" t="n">
        <x:v>3</x:v>
      </x:c>
      <x:c r="Q7" s="259" t="n">
        <x:v>3</x:v>
      </x:c>
      <x:c r="R7" s="260"/>
      <x:c r="S7" s="260"/>
      <x:c r="T7" s="258" t="b">
        <x:f aca="0">FALSE()</x:f>
        <x:v>0</x:v>
      </x:c>
      <x:c r="U7" s="259" t="n">
        <x:v>4</x:v>
      </x:c>
      <x:c r="V7" s="259" t="n">
        <x:v>4</x:v>
      </x:c>
      <x:c r="W7" s="259" t="n">
        <x:v>4</x:v>
      </x:c>
      <x:c r="X7" s="260"/>
      <x:c r="Y7" s="260"/>
      <x:c r="Z7" s="261" t="b">
        <x:v>0</x:v>
      </x:c>
      <x:c r="AA7" s="259" t="n">
        <x:v>5</x:v>
      </x:c>
      <x:c r="AB7" s="382" t="b">
        <x:v>0</x:v>
      </x:c>
      <x:c r="AC7" s="262"/>
      <x:c r="AD7" s="287"/>
      <x:c r="AE7" s="287"/>
      <x:c r="AF7" s="287"/>
      <x:c r="AG7" s="377" t="n">
        <x:f>IF(COUNT(Scoring!X25:X31)&lt;&gt;ROWS(Scoring!X25:X31),"",ROUND(MAX(0,MIN(10,SUM(Scoring!X25:X31))),0))</x:f>
        <x:v>4</x:v>
      </x:c>
      <x:c r="AH7" s="328"/>
      <x:c r="AI7" s="329" t="n">
        <x:f>IF(COUNT(Scoring!H19:H22)&gt;0,MEDIAN(Scoring!H19:H22),"")</x:f>
        <x:v>100</x:v>
      </x:c>
      <x:c r="AJ7" s="329" t="str">
        <x:f>IF(COUNT(Scoring!I19:I22)&gt;0,MEDIAN(Scoring!I19:I22),"")</x:f>
      </x:c>
      <x:c r="AK7" s="340" t="n">
        <x:f>COUNT(Scoring!I19:I22)</x:f>
        <x:v>0</x:v>
      </x:c>
      <x:c r="AL7" s="340" t="n">
        <x:f>COUNT(Scoring!H19:H22)</x:f>
        <x:v>4</x:v>
      </x:c>
    </x:row>
    <x:row r="8" ht="88" hidden="0" customHeight="1">
      <x:c r="A8" s="223" t="n">
        <x:f aca="0">Strategy!$E$3+8</x:f>
        <x:v>46329.5</x:v>
      </x:c>
      <x:c r="B8" s="224" t="s">
        <x:v>61</x:v>
      </x:c>
      <x:c r="C8" s="224" t="s">
        <x:v>208</x:v>
      </x:c>
      <x:c r="D8" s="224" t="s">
        <x:v>209</x:v>
      </x:c>
      <x:c r="E8" s="224" t="n">
        <x:v>10</x:v>
      </x:c>
      <x:c r="F8" s="257"/>
      <x:c r="G8" s="257" t="s">
        <x:v>207</x:v>
      </x:c>
      <x:c r="H8" s="263" t="b">
        <x:f aca="0">FALSE()</x:f>
        <x:v>0</x:v>
      </x:c>
      <x:c r="I8" s="264" t="n">
        <x:v>0.001388888888888889</x:v>
      </x:c>
      <x:c r="J8" s="265"/>
      <x:c r="K8" s="265"/>
      <x:c r="L8" s="265"/>
      <x:c r="M8" s="265"/>
      <x:c r="N8" s="263" t="b">
        <x:f aca="0">FALSE()</x:f>
        <x:v>0</x:v>
      </x:c>
      <x:c r="O8" s="264" t="n">
        <x:v>0.00017361111111111112</x:v>
      </x:c>
      <x:c r="P8" s="264" t="n">
        <x:v>0.00017361111111111112</x:v>
      </x:c>
      <x:c r="Q8" s="264" t="n">
        <x:v>0.00017361111111111112</x:v>
      </x:c>
      <x:c r="R8" s="265"/>
      <x:c r="S8" s="265"/>
      <x:c r="T8" s="263" t="b">
        <x:f aca="0">FALSE()</x:f>
        <x:v>0</x:v>
      </x:c>
      <x:c r="U8" s="264" t="n">
        <x:v>0.00017361111111111112</x:v>
      </x:c>
      <x:c r="V8" s="264" t="n">
        <x:v>0.00017361111111111112</x:v>
      </x:c>
      <x:c r="W8" s="265"/>
      <x:c r="X8" s="265"/>
      <x:c r="Y8" s="265"/>
      <x:c r="Z8" s="266" t="b">
        <x:v>0</x:v>
      </x:c>
      <x:c r="AA8" s="267"/>
      <x:c r="AB8" s="266" t="b">
        <x:v>0</x:v>
      </x:c>
      <x:c r="AC8" s="268"/>
      <x:c r="AD8" s="288"/>
      <x:c r="AE8" s="288"/>
      <x:c r="AF8" s="288"/>
      <x:c r="AG8" s="378" t="n">
        <x:f>IF(COUNT(Scoring!X32:X34)&lt;&gt;ROWS(Scoring!X32:X34),"",ROUND(MAX(0,MIN(10,SUM(Scoring!X32:X34))),0))</x:f>
        <x:v>1</x:v>
      </x:c>
      <x:c r="AH8" s="330"/>
      <x:c r="AI8" s="331" t="n">
        <x:f>IF(COUNT(Scoring!H23:H25)&gt;0,MEDIAN(Scoring!H23:H25),"")</x:f>
        <x:v>100</x:v>
      </x:c>
      <x:c r="AJ8" s="331" t="str">
        <x:f>IF(COUNT(Scoring!I23:I25)&gt;0,MEDIAN(Scoring!I23:I25),"")</x:f>
      </x:c>
      <x:c r="AK8" s="341" t="n">
        <x:f>COUNT(Scoring!I23:I25)</x:f>
        <x:v>0</x:v>
      </x:c>
      <x:c r="AL8" s="341" t="n">
        <x:f>COUNT(Scoring!H23:H25)</x:f>
        <x:v>3</x:v>
      </x:c>
    </x:row>
    <x:row r="9" ht="88" hidden="0" customHeight="1">
      <x:c r="A9" s="228" t="n">
        <x:f aca="0">Strategy!$E$3+10</x:f>
        <x:v>46331.5</x:v>
      </x:c>
      <x:c r="B9" s="229" t="s">
        <x:v>57</x:v>
      </x:c>
      <x:c r="C9" s="289" t="str">
        <x:f aca="0">SUBSTITUTE(SUBSTITUTE(SUBSTITUTE("35 min skills"&amp;CHAR(10)&amp;Strategy!I22,", B)",CHAR(10)&amp;"B)"),", C)",CHAR(10)&amp;"C)"),", Core:",CHAR(10)&amp;"Core:")</x:f>
        <x:v>35 min skills
A) Wall handstand: 3 x 25 sec
B) Elevated pike push-up: 3 x 4
C) Lower-box pistol with counterweight: 3 x 4/leg
Core: 5 rounds</x:v>
      </x:c>
      <x:c r="D9" s="229" t="s">
        <x:v>210</x:v>
      </x:c>
      <x:c r="E9" s="229" t="n">
        <x:v>65</x:v>
      </x:c>
      <x:c r="F9" s="256"/>
      <x:c r="G9" s="256" t="s">
        <x:v>207</x:v>
      </x:c>
      <x:c r="H9" s="258" t="b">
        <x:f aca="0">FALSE()</x:f>
        <x:v>0</x:v>
      </x:c>
      <x:c r="I9" s="269" t="n">
        <x:v>0.00028935185185185184</x:v>
      </x:c>
      <x:c r="J9" s="269" t="n">
        <x:v>0.00028935185185185184</x:v>
      </x:c>
      <x:c r="K9" s="269" t="n">
        <x:v>0.00028935185185185184</x:v>
      </x:c>
      <x:c r="L9" s="260"/>
      <x:c r="M9" s="260"/>
      <x:c r="N9" s="258" t="b">
        <x:f aca="0">FALSE()</x:f>
        <x:v>0</x:v>
      </x:c>
      <x:c r="O9" s="259" t="n">
        <x:v>4</x:v>
      </x:c>
      <x:c r="P9" s="259" t="n">
        <x:v>4</x:v>
      </x:c>
      <x:c r="Q9" s="259" t="n">
        <x:v>4</x:v>
      </x:c>
      <x:c r="R9" s="260"/>
      <x:c r="S9" s="260"/>
      <x:c r="T9" s="258" t="b">
        <x:f aca="0">FALSE()</x:f>
        <x:v>0</x:v>
      </x:c>
      <x:c r="U9" s="259" t="n">
        <x:v>4</x:v>
      </x:c>
      <x:c r="V9" s="259" t="n">
        <x:v>4</x:v>
      </x:c>
      <x:c r="W9" s="259" t="n">
        <x:v>4</x:v>
      </x:c>
      <x:c r="X9" s="260"/>
      <x:c r="Y9" s="260"/>
      <x:c r="Z9" s="261" t="b">
        <x:v>0</x:v>
      </x:c>
      <x:c r="AA9" s="259" t="n">
        <x:v>5</x:v>
      </x:c>
      <x:c r="AB9" s="382" t="b">
        <x:v>0</x:v>
      </x:c>
      <x:c r="AC9" s="262"/>
      <x:c r="AD9" s="287"/>
      <x:c r="AE9" s="287"/>
      <x:c r="AF9" s="287"/>
      <x:c r="AG9" s="377" t="n">
        <x:f>IF(COUNT(Scoring!X35:X41)&lt;&gt;ROWS(Scoring!X35:X41),"",ROUND(MAX(0,MIN(10,SUM(Scoring!X35:X41))),0))</x:f>
        <x:v>5</x:v>
      </x:c>
      <x:c r="AH9" s="328"/>
      <x:c r="AI9" s="329" t="n">
        <x:f>IF(COUNT(Scoring!H26:H29)&gt;0,MEDIAN(Scoring!H26:H29),"")</x:f>
        <x:v>100</x:v>
      </x:c>
      <x:c r="AJ9" s="329" t="str">
        <x:f>IF(COUNT(Scoring!I26:I29)&gt;0,MEDIAN(Scoring!I26:I29),"")</x:f>
      </x:c>
      <x:c r="AK9" s="340" t="n">
        <x:f>COUNT(Scoring!I26:I29)</x:f>
        <x:v>0</x:v>
      </x:c>
      <x:c r="AL9" s="340" t="n">
        <x:f>COUNT(Scoring!H26:H29)</x:f>
        <x:v>4</x:v>
      </x:c>
    </x:row>
    <x:row r="10" ht="88" hidden="0" customHeight="1">
      <x:c r="A10" s="223" t="n">
        <x:f aca="0">Strategy!$E$3+12</x:f>
        <x:v>46333.5</x:v>
      </x:c>
      <x:c r="B10" s="224" t="s">
        <x:v>61</x:v>
      </x:c>
      <x:c r="C10" s="224" t="s">
        <x:v>211</x:v>
      </x:c>
      <x:c r="D10" s="224" t="s">
        <x:v>212</x:v>
      </x:c>
      <x:c r="E10" s="224" t="n">
        <x:v>20</x:v>
      </x:c>
      <x:c r="F10" s="257"/>
      <x:c r="G10" s="257" t="s">
        <x:v>207</x:v>
      </x:c>
      <x:c r="H10" s="263" t="b">
        <x:f aca="0">FALSE()</x:f>
        <x:v>0</x:v>
      </x:c>
      <x:c r="I10" s="264" t="n">
        <x:v>0.001388888888888889</x:v>
      </x:c>
      <x:c r="J10" s="265"/>
      <x:c r="K10" s="265"/>
      <x:c r="L10" s="265"/>
      <x:c r="M10" s="265"/>
      <x:c r="N10" s="263" t="b">
        <x:f aca="0">FALSE()</x:f>
        <x:v>0</x:v>
      </x:c>
      <x:c r="O10" s="264" t="n">
        <x:v>0.00017361111111111112</x:v>
      </x:c>
      <x:c r="P10" s="264" t="n">
        <x:v>0.00017361111111111112</x:v>
      </x:c>
      <x:c r="Q10" s="264" t="n">
        <x:v>0.00017361111111111112</x:v>
      </x:c>
      <x:c r="R10" s="265"/>
      <x:c r="S10" s="265"/>
      <x:c r="T10" s="263" t="b">
        <x:f aca="0">FALSE()</x:f>
        <x:v>0</x:v>
      </x:c>
      <x:c r="U10" s="264" t="n">
        <x:v>0.00017361111111111112</x:v>
      </x:c>
      <x:c r="V10" s="264" t="n">
        <x:v>0.00017361111111111112</x:v>
      </x:c>
      <x:c r="W10" s="264" t="n">
        <x:v>0.00017361111111111112</x:v>
      </x:c>
      <x:c r="X10" s="265"/>
      <x:c r="Y10" s="265"/>
      <x:c r="Z10" s="266" t="b">
        <x:v>0</x:v>
      </x:c>
      <x:c r="AA10" s="267"/>
      <x:c r="AB10" s="266" t="b">
        <x:v>0</x:v>
      </x:c>
      <x:c r="AC10" s="268"/>
      <x:c r="AD10" s="288"/>
      <x:c r="AE10" s="288"/>
      <x:c r="AF10" s="288"/>
      <x:c r="AG10" s="378" t="n">
        <x:f>IF(COUNT(Scoring!X42:X44)&lt;&gt;ROWS(Scoring!X42:X44),"",ROUND(MAX(0,MIN(10,SUM(Scoring!X42:X44))),0))</x:f>
        <x:v>1</x:v>
      </x:c>
      <x:c r="AH10" s="330"/>
      <x:c r="AI10" s="331" t="n">
        <x:f>IF(COUNT(Scoring!H30:H32)&gt;0,MEDIAN(Scoring!H30:H32),"")</x:f>
        <x:v>100</x:v>
      </x:c>
      <x:c r="AJ10" s="331" t="str">
        <x:f>IF(COUNT(Scoring!I30:I32)&gt;0,MEDIAN(Scoring!I30:I32),"")</x:f>
      </x:c>
      <x:c r="AK10" s="341" t="n">
        <x:f>COUNT(Scoring!I30:I32)</x:f>
        <x:v>0</x:v>
      </x:c>
      <x:c r="AL10" s="341" t="n">
        <x:f>COUNT(Scoring!H30:H32)</x:f>
        <x:v>3</x:v>
      </x:c>
    </x:row>
    <x:row r="11" ht="88" hidden="0" customHeight="1">
      <x:c r="A11" s="228" t="n">
        <x:f aca="0">Strategy!$E$3+14</x:f>
        <x:v>46335.5</x:v>
      </x:c>
      <x:c r="B11" s="229" t="s">
        <x:v>53</x:v>
      </x:c>
      <x:c r="C11" s="289" t="str">
        <x:f aca="0">SUBSTITUTE(SUBSTITUTE(SUBSTITUTE("35 min skills"&amp;CHAR(10)&amp;Strategy!H23,", B)",CHAR(10)&amp;"B)"),", C)",CHAR(10)&amp;"C)"),", Core:",CHAR(10)&amp;"Core:")</x:f>
        <x:v>35 min skills
A) Explosive pull-up: 4 x 2
B) Low-bar transition: 3 x 3
C) Assisted full-depth pistol: 3 x 4/leg
Core: 5 rounds</x:v>
      </x:c>
      <x:c r="D11" s="229" t="s">
        <x:v>206</x:v>
      </x:c>
      <x:c r="E11" s="229" t="n">
        <x:v>65</x:v>
      </x:c>
      <x:c r="F11" s="256"/>
      <x:c r="G11" s="256" t="s">
        <x:v>207</x:v>
      </x:c>
      <x:c r="H11" s="258" t="b">
        <x:f aca="0">FALSE()</x:f>
        <x:v>0</x:v>
      </x:c>
      <x:c r="I11" s="259" t="n">
        <x:v>2</x:v>
      </x:c>
      <x:c r="J11" s="259" t="n">
        <x:v>2</x:v>
      </x:c>
      <x:c r="K11" s="259" t="n">
        <x:v>2</x:v>
      </x:c>
      <x:c r="L11" s="259" t="n">
        <x:v>2</x:v>
      </x:c>
      <x:c r="M11" s="260"/>
      <x:c r="N11" s="258" t="b">
        <x:f aca="0">FALSE()</x:f>
        <x:v>0</x:v>
      </x:c>
      <x:c r="O11" s="259" t="n">
        <x:v>3</x:v>
      </x:c>
      <x:c r="P11" s="259" t="n">
        <x:v>3</x:v>
      </x:c>
      <x:c r="Q11" s="259" t="n">
        <x:v>3</x:v>
      </x:c>
      <x:c r="R11" s="260"/>
      <x:c r="S11" s="260"/>
      <x:c r="T11" s="258" t="b">
        <x:f aca="0">FALSE()</x:f>
        <x:v>0</x:v>
      </x:c>
      <x:c r="U11" s="259" t="n">
        <x:v>4</x:v>
      </x:c>
      <x:c r="V11" s="259" t="n">
        <x:v>4</x:v>
      </x:c>
      <x:c r="W11" s="259" t="n">
        <x:v>4</x:v>
      </x:c>
      <x:c r="X11" s="260"/>
      <x:c r="Y11" s="260"/>
      <x:c r="Z11" s="261" t="b">
        <x:v>0</x:v>
      </x:c>
      <x:c r="AA11" s="259" t="n">
        <x:v>5</x:v>
      </x:c>
      <x:c r="AB11" s="382" t="b">
        <x:v>0</x:v>
      </x:c>
      <x:c r="AC11" s="262"/>
      <x:c r="AD11" s="287"/>
      <x:c r="AE11" s="287"/>
      <x:c r="AF11" s="287"/>
      <x:c r="AG11" s="377" t="n">
        <x:f>IF(COUNT(Scoring!X45:X51)&lt;&gt;ROWS(Scoring!X45:X51),"",ROUND(MAX(0,MIN(10,SUM(Scoring!X45:X51))),0))</x:f>
        <x:v>5</x:v>
      </x:c>
      <x:c r="AH11" s="328"/>
      <x:c r="AI11" s="329" t="n">
        <x:f>IF(COUNT(Scoring!H33:H36)&gt;0,MEDIAN(Scoring!H33:H36),"")</x:f>
        <x:v>100</x:v>
      </x:c>
      <x:c r="AJ11" s="329" t="str">
        <x:f>IF(COUNT(Scoring!I33:I36)&gt;0,MEDIAN(Scoring!I33:I36),"")</x:f>
      </x:c>
      <x:c r="AK11" s="340" t="n">
        <x:f>COUNT(Scoring!I33:I36)</x:f>
        <x:v>0</x:v>
      </x:c>
      <x:c r="AL11" s="340" t="n">
        <x:f>COUNT(Scoring!H33:H36)</x:f>
        <x:v>4</x:v>
      </x:c>
    </x:row>
    <x:row r="12" ht="88" hidden="0" customHeight="1">
      <x:c r="A12" s="223" t="n">
        <x:f aca="0">Strategy!$E$3+15</x:f>
        <x:v>46336.5</x:v>
      </x:c>
      <x:c r="B12" s="224" t="s">
        <x:v>61</x:v>
      </x:c>
      <x:c r="C12" s="224" t="s">
        <x:v>208</x:v>
      </x:c>
      <x:c r="D12" s="224" t="s">
        <x:v>209</x:v>
      </x:c>
      <x:c r="E12" s="224" t="n">
        <x:v>10</x:v>
      </x:c>
      <x:c r="F12" s="257"/>
      <x:c r="G12" s="257" t="s">
        <x:v>207</x:v>
      </x:c>
      <x:c r="H12" s="263" t="b">
        <x:f aca="0">FALSE()</x:f>
        <x:v>0</x:v>
      </x:c>
      <x:c r="I12" s="264" t="n">
        <x:v>0.001388888888888889</x:v>
      </x:c>
      <x:c r="J12" s="265"/>
      <x:c r="K12" s="265"/>
      <x:c r="L12" s="265"/>
      <x:c r="M12" s="265"/>
      <x:c r="N12" s="263" t="b">
        <x:f aca="0">FALSE()</x:f>
        <x:v>0</x:v>
      </x:c>
      <x:c r="O12" s="264" t="n">
        <x:v>0.00017361111111111112</x:v>
      </x:c>
      <x:c r="P12" s="264" t="n">
        <x:v>0.00017361111111111112</x:v>
      </x:c>
      <x:c r="Q12" s="264" t="n">
        <x:v>0.00017361111111111112</x:v>
      </x:c>
      <x:c r="R12" s="265"/>
      <x:c r="S12" s="265"/>
      <x:c r="T12" s="263" t="b">
        <x:f aca="0">FALSE()</x:f>
        <x:v>0</x:v>
      </x:c>
      <x:c r="U12" s="264" t="n">
        <x:v>0.00017361111111111112</x:v>
      </x:c>
      <x:c r="V12" s="264" t="n">
        <x:v>0.00017361111111111112</x:v>
      </x:c>
      <x:c r="W12" s="265"/>
      <x:c r="X12" s="265"/>
      <x:c r="Y12" s="265"/>
      <x:c r="Z12" s="266" t="b">
        <x:v>0</x:v>
      </x:c>
      <x:c r="AA12" s="267"/>
      <x:c r="AB12" s="266" t="b">
        <x:v>0</x:v>
      </x:c>
      <x:c r="AC12" s="268"/>
      <x:c r="AD12" s="288"/>
      <x:c r="AE12" s="288"/>
      <x:c r="AF12" s="288"/>
      <x:c r="AG12" s="378" t="n">
        <x:f>IF(COUNT(Scoring!X52:X54)&lt;&gt;ROWS(Scoring!X52:X54),"",ROUND(MAX(0,MIN(10,SUM(Scoring!X52:X54))),0))</x:f>
        <x:v>1</x:v>
      </x:c>
      <x:c r="AH12" s="330"/>
      <x:c r="AI12" s="331" t="n">
        <x:f>IF(COUNT(Scoring!H37:H39)&gt;0,MEDIAN(Scoring!H37:H39),"")</x:f>
        <x:v>100</x:v>
      </x:c>
      <x:c r="AJ12" s="331" t="str">
        <x:f>IF(COUNT(Scoring!I37:I39)&gt;0,MEDIAN(Scoring!I37:I39),"")</x:f>
      </x:c>
      <x:c r="AK12" s="341" t="n">
        <x:f>COUNT(Scoring!I37:I39)</x:f>
        <x:v>0</x:v>
      </x:c>
      <x:c r="AL12" s="341" t="n">
        <x:f>COUNT(Scoring!H37:H39)</x:f>
        <x:v>3</x:v>
      </x:c>
    </x:row>
    <x:row r="13" ht="88" hidden="0" customHeight="1">
      <x:c r="A13" s="228" t="n">
        <x:f aca="0">Strategy!$E$3+17</x:f>
        <x:v>46338.5</x:v>
      </x:c>
      <x:c r="B13" s="229" t="s">
        <x:v>57</x:v>
      </x:c>
      <x:c r="C13" s="289" t="str">
        <x:f aca="0">SUBSTITUTE(SUBSTITUTE(SUBSTITUTE("35 min skills"&amp;CHAR(10)&amp;Strategy!I23,", B)",CHAR(10)&amp;"B)"),", C)",CHAR(10)&amp;"C)"),", Core:",CHAR(10)&amp;"Core:")</x:f>
        <x:v>35 min skills
A) Wall HSPU negative: 3 x 2 (lower 3 sec)
B) Pike push-up: 3 x 5
C) Assisted full-depth pistol: 3 x 4/leg
Core: 5 rounds</x:v>
      </x:c>
      <x:c r="D13" s="229" t="s">
        <x:v>210</x:v>
      </x:c>
      <x:c r="E13" s="229" t="n">
        <x:v>65</x:v>
      </x:c>
      <x:c r="F13" s="256"/>
      <x:c r="G13" s="256" t="s">
        <x:v>207</x:v>
      </x:c>
      <x:c r="H13" s="258" t="b">
        <x:f aca="0">FALSE()</x:f>
        <x:v>0</x:v>
      </x:c>
      <x:c r="I13" s="259" t="n">
        <x:v>2</x:v>
      </x:c>
      <x:c r="J13" s="259" t="n">
        <x:v>2</x:v>
      </x:c>
      <x:c r="K13" s="259" t="n">
        <x:v>2</x:v>
      </x:c>
      <x:c r="L13" s="260"/>
      <x:c r="M13" s="260"/>
      <x:c r="N13" s="258" t="b">
        <x:f aca="0">FALSE()</x:f>
        <x:v>0</x:v>
      </x:c>
      <x:c r="O13" s="259" t="n">
        <x:v>5</x:v>
      </x:c>
      <x:c r="P13" s="259" t="n">
        <x:v>5</x:v>
      </x:c>
      <x:c r="Q13" s="259" t="n">
        <x:v>5</x:v>
      </x:c>
      <x:c r="R13" s="260"/>
      <x:c r="S13" s="260"/>
      <x:c r="T13" s="258" t="b">
        <x:f aca="0">FALSE()</x:f>
        <x:v>0</x:v>
      </x:c>
      <x:c r="U13" s="259" t="n">
        <x:v>4</x:v>
      </x:c>
      <x:c r="V13" s="259" t="n">
        <x:v>4</x:v>
      </x:c>
      <x:c r="W13" s="259" t="n">
        <x:v>4</x:v>
      </x:c>
      <x:c r="X13" s="260"/>
      <x:c r="Y13" s="260"/>
      <x:c r="Z13" s="261" t="b">
        <x:v>0</x:v>
      </x:c>
      <x:c r="AA13" s="259" t="n">
        <x:v>5</x:v>
      </x:c>
      <x:c r="AB13" s="382" t="b">
        <x:v>0</x:v>
      </x:c>
      <x:c r="AC13" s="262"/>
      <x:c r="AD13" s="287"/>
      <x:c r="AE13" s="287"/>
      <x:c r="AF13" s="287"/>
      <x:c r="AG13" s="377" t="n">
        <x:f>IF(COUNT(Scoring!X55:X61)&lt;&gt;ROWS(Scoring!X55:X61),"",ROUND(MAX(0,MIN(10,SUM(Scoring!X55:X61))),0))</x:f>
        <x:v>6</x:v>
      </x:c>
      <x:c r="AH13" s="328"/>
      <x:c r="AI13" s="329" t="n">
        <x:f>IF(COUNT(Scoring!H40:H42)&gt;0,MEDIAN(Scoring!H40:H42),"")</x:f>
        <x:v>100</x:v>
      </x:c>
      <x:c r="AJ13" s="329" t="str">
        <x:f>IF(COUNT(Scoring!I40:I42)&gt;0,MEDIAN(Scoring!I40:I42),"")</x:f>
      </x:c>
      <x:c r="AK13" s="340" t="n">
        <x:f>COUNT(Scoring!I40:I42)</x:f>
        <x:v>0</x:v>
      </x:c>
      <x:c r="AL13" s="340" t="n">
        <x:f>COUNT(Scoring!H40:H42)</x:f>
        <x:v>3</x:v>
      </x:c>
    </x:row>
    <x:row r="14" ht="88" hidden="0" customHeight="1">
      <x:c r="A14" s="223" t="n">
        <x:f aca="0">Strategy!$E$3+19</x:f>
        <x:v>46340.5</x:v>
      </x:c>
      <x:c r="B14" s="224" t="s">
        <x:v>61</x:v>
      </x:c>
      <x:c r="C14" s="224" t="s">
        <x:v>211</x:v>
      </x:c>
      <x:c r="D14" s="224" t="s">
        <x:v>212</x:v>
      </x:c>
      <x:c r="E14" s="224" t="n">
        <x:v>20</x:v>
      </x:c>
      <x:c r="F14" s="257"/>
      <x:c r="G14" s="257" t="s">
        <x:v>207</x:v>
      </x:c>
      <x:c r="H14" s="263" t="b">
        <x:f aca="0">FALSE()</x:f>
        <x:v>0</x:v>
      </x:c>
      <x:c r="I14" s="264" t="n">
        <x:v>0.001388888888888889</x:v>
      </x:c>
      <x:c r="J14" s="265"/>
      <x:c r="K14" s="265"/>
      <x:c r="L14" s="265"/>
      <x:c r="M14" s="265"/>
      <x:c r="N14" s="263" t="b">
        <x:f aca="0">FALSE()</x:f>
        <x:v>0</x:v>
      </x:c>
      <x:c r="O14" s="264" t="n">
        <x:v>0.00017361111111111112</x:v>
      </x:c>
      <x:c r="P14" s="264" t="n">
        <x:v>0.00017361111111111112</x:v>
      </x:c>
      <x:c r="Q14" s="264" t="n">
        <x:v>0.00017361111111111112</x:v>
      </x:c>
      <x:c r="R14" s="265"/>
      <x:c r="S14" s="265"/>
      <x:c r="T14" s="263" t="b">
        <x:f aca="0">FALSE()</x:f>
        <x:v>0</x:v>
      </x:c>
      <x:c r="U14" s="264" t="n">
        <x:v>0.00017361111111111112</x:v>
      </x:c>
      <x:c r="V14" s="264" t="n">
        <x:v>0.00017361111111111112</x:v>
      </x:c>
      <x:c r="W14" s="264" t="n">
        <x:v>0.00017361111111111112</x:v>
      </x:c>
      <x:c r="X14" s="265"/>
      <x:c r="Y14" s="265"/>
      <x:c r="Z14" s="266" t="b">
        <x:v>0</x:v>
      </x:c>
      <x:c r="AA14" s="267"/>
      <x:c r="AB14" s="266" t="b">
        <x:v>0</x:v>
      </x:c>
      <x:c r="AC14" s="268"/>
      <x:c r="AD14" s="288"/>
      <x:c r="AE14" s="288"/>
      <x:c r="AF14" s="288"/>
      <x:c r="AG14" s="378" t="n">
        <x:f>IF(COUNT(Scoring!X62:X64)&lt;&gt;ROWS(Scoring!X62:X64),"",ROUND(MAX(0,MIN(10,SUM(Scoring!X62:X64))),0))</x:f>
        <x:v>1</x:v>
      </x:c>
      <x:c r="AH14" s="330"/>
      <x:c r="AI14" s="331" t="n">
        <x:f>IF(COUNT(Scoring!H43:H45)&gt;0,MEDIAN(Scoring!H43:H45),"")</x:f>
        <x:v>100</x:v>
      </x:c>
      <x:c r="AJ14" s="331" t="str">
        <x:f>IF(COUNT(Scoring!I43:I45)&gt;0,MEDIAN(Scoring!I43:I45),"")</x:f>
      </x:c>
      <x:c r="AK14" s="341" t="n">
        <x:f>COUNT(Scoring!I43:I45)</x:f>
        <x:v>0</x:v>
      </x:c>
      <x:c r="AL14" s="341" t="n">
        <x:f>COUNT(Scoring!H43:H45)</x:f>
        <x:v>3</x:v>
      </x:c>
    </x:row>
    <x:row r="15" ht="88" hidden="0" customHeight="1">
      <x:c r="A15" s="228" t="n">
        <x:f aca="0">Strategy!$E$3+21</x:f>
        <x:v>46342.5</x:v>
      </x:c>
      <x:c r="B15" s="229" t="s">
        <x:v>53</x:v>
      </x:c>
      <x:c r="C15" s="289" t="str">
        <x:f aca="0">SUBSTITUTE(SUBSTITUTE(SUBSTITUTE("10 min skills"&amp;CHAR(10)&amp;Strategy!H24,", B)",CHAR(10)&amp;"B)"),", C)",CHAR(10)&amp;"C)"),", Core:",CHAR(10)&amp;"Core:")</x:f>
        <x:v>10 min skills
A) Easy scapular pull-up: 1 x 5
B) Easy low-bar transition: 1 x 3
C) Assisted pistol: 1 x 3/leg
Core: 3 rounds</x:v>
      </x:c>
      <x:c r="D15" s="229" t="s">
        <x:v>206</x:v>
      </x:c>
      <x:c r="E15" s="229" t="n">
        <x:v>33</x:v>
      </x:c>
      <x:c r="F15" s="256"/>
      <x:c r="G15" s="256" t="s">
        <x:v>207</x:v>
      </x:c>
      <x:c r="H15" s="258" t="b">
        <x:f aca="0">FALSE()</x:f>
        <x:v>0</x:v>
      </x:c>
      <x:c r="I15" s="259" t="n">
        <x:v>5</x:v>
      </x:c>
      <x:c r="J15" s="260"/>
      <x:c r="K15" s="260"/>
      <x:c r="L15" s="260"/>
      <x:c r="M15" s="260"/>
      <x:c r="N15" s="258" t="b">
        <x:f aca="0">FALSE()</x:f>
        <x:v>0</x:v>
      </x:c>
      <x:c r="O15" s="259" t="n">
        <x:v>3</x:v>
      </x:c>
      <x:c r="P15" s="260"/>
      <x:c r="Q15" s="260"/>
      <x:c r="R15" s="260"/>
      <x:c r="S15" s="260"/>
      <x:c r="T15" s="258" t="b">
        <x:f aca="0">FALSE()</x:f>
        <x:v>0</x:v>
      </x:c>
      <x:c r="U15" s="259" t="n">
        <x:v>3</x:v>
      </x:c>
      <x:c r="V15" s="260"/>
      <x:c r="W15" s="260"/>
      <x:c r="X15" s="260"/>
      <x:c r="Y15" s="260"/>
      <x:c r="Z15" s="261" t="b">
        <x:v>0</x:v>
      </x:c>
      <x:c r="AA15" s="259" t="n">
        <x:v>3</x:v>
      </x:c>
      <x:c r="AB15" s="382" t="b">
        <x:v>0</x:v>
      </x:c>
      <x:c r="AC15" s="262"/>
      <x:c r="AD15" s="287"/>
      <x:c r="AE15" s="287"/>
      <x:c r="AF15" s="287"/>
      <x:c r="AG15" s="377" t="n">
        <x:f>IF(COUNT(Scoring!X65:X71)&lt;&gt;ROWS(Scoring!X65:X71),"",ROUND(MAX(0,MIN(10,SUM(Scoring!X65:X71))),0))</x:f>
        <x:v>1</x:v>
      </x:c>
      <x:c r="AH15" s="328"/>
      <x:c r="AI15" s="329" t="n">
        <x:f>IF(COUNT(Scoring!H46:H49)&gt;0,MEDIAN(Scoring!H46:H49),"")</x:f>
        <x:v>100</x:v>
      </x:c>
      <x:c r="AJ15" s="329" t="str">
        <x:f>IF(COUNT(Scoring!I46:I49)&gt;0,MEDIAN(Scoring!I46:I49),"")</x:f>
      </x:c>
      <x:c r="AK15" s="340" t="n">
        <x:f>COUNT(Scoring!I46:I49)</x:f>
        <x:v>0</x:v>
      </x:c>
      <x:c r="AL15" s="340" t="n">
        <x:f>COUNT(Scoring!H46:H49)</x:f>
        <x:v>4</x:v>
      </x:c>
    </x:row>
    <x:row r="16" ht="88" hidden="0" customHeight="1">
      <x:c r="A16" s="223" t="n">
        <x:f aca="0">Strategy!$E$3+22</x:f>
        <x:v>46343.5</x:v>
      </x:c>
      <x:c r="B16" s="224" t="s">
        <x:v>61</x:v>
      </x:c>
      <x:c r="C16" s="224" t="s">
        <x:v>213</x:v>
      </x:c>
      <x:c r="D16" s="224" t="s">
        <x:v>209</x:v>
      </x:c>
      <x:c r="E16" s="224" t="n">
        <x:v>5</x:v>
      </x:c>
      <x:c r="F16" s="257"/>
      <x:c r="G16" s="257" t="s">
        <x:v>207</x:v>
      </x:c>
      <x:c r="H16" s="263" t="b">
        <x:f aca="0">FALSE()</x:f>
        <x:v>0</x:v>
      </x:c>
      <x:c r="I16" s="264" t="n">
        <x:v>0.0006944444444444445</x:v>
      </x:c>
      <x:c r="J16" s="265"/>
      <x:c r="K16" s="265"/>
      <x:c r="L16" s="265"/>
      <x:c r="M16" s="265"/>
      <x:c r="N16" s="263" t="b">
        <x:f aca="0">FALSE()</x:f>
        <x:v>0</x:v>
      </x:c>
      <x:c r="O16" s="264" t="n">
        <x:v>0.00011574074074074075</x:v>
      </x:c>
      <x:c r="P16" s="264" t="n">
        <x:v>0.00011574074074074075</x:v>
      </x:c>
      <x:c r="Q16" s="265"/>
      <x:c r="R16" s="265"/>
      <x:c r="S16" s="265"/>
      <x:c r="T16" s="263" t="b">
        <x:f aca="0">FALSE()</x:f>
        <x:v>0</x:v>
      </x:c>
      <x:c r="U16" s="264" t="n">
        <x:v>0.00011574074074074075</x:v>
      </x:c>
      <x:c r="V16" s="265"/>
      <x:c r="W16" s="265"/>
      <x:c r="X16" s="265"/>
      <x:c r="Y16" s="265"/>
      <x:c r="Z16" s="266" t="b">
        <x:v>0</x:v>
      </x:c>
      <x:c r="AA16" s="267"/>
      <x:c r="AB16" s="266" t="b">
        <x:v>0</x:v>
      </x:c>
      <x:c r="AC16" s="268"/>
      <x:c r="AD16" s="288"/>
      <x:c r="AE16" s="288"/>
      <x:c r="AF16" s="288"/>
      <x:c r="AG16" s="378" t="n">
        <x:f>IF(COUNT(Scoring!X72:X74)&lt;&gt;ROWS(Scoring!X72:X74),"",ROUND(MAX(0,MIN(10,SUM(Scoring!X72:X74))),0))</x:f>
        <x:v>1</x:v>
      </x:c>
      <x:c r="AH16" s="330"/>
      <x:c r="AI16" s="331" t="n">
        <x:f>IF(COUNT(Scoring!H50:H52)&gt;0,MEDIAN(Scoring!H50:H52),"")</x:f>
        <x:v>100</x:v>
      </x:c>
      <x:c r="AJ16" s="331" t="str">
        <x:f>IF(COUNT(Scoring!I50:I52)&gt;0,MEDIAN(Scoring!I50:I52),"")</x:f>
      </x:c>
      <x:c r="AK16" s="341" t="n">
        <x:f>COUNT(Scoring!I50:I52)</x:f>
        <x:v>0</x:v>
      </x:c>
      <x:c r="AL16" s="341" t="n">
        <x:f>COUNT(Scoring!H50:H52)</x:f>
        <x:v>3</x:v>
      </x:c>
    </x:row>
    <x:row r="17" ht="88" hidden="0" customHeight="1">
      <x:c r="A17" s="228" t="n">
        <x:f aca="0">Strategy!$E$3+24</x:f>
        <x:v>46345.5</x:v>
      </x:c>
      <x:c r="B17" s="229" t="s">
        <x:v>57</x:v>
      </x:c>
      <x:c r="C17" s="289" t="str">
        <x:f aca="0">SUBSTITUTE(SUBSTITUTE(SUBSTITUTE("10 min skills"&amp;CHAR(10)&amp;Strategy!I24,", B)",CHAR(10)&amp;"B)"),", C)",CHAR(10)&amp;"C)"),", Core:",CHAR(10)&amp;"Core:")</x:f>
        <x:v>10 min skills
A) Easy wall handstand: 1 x 15 sec
B) Gentle wrist/shoulder mobility: 2 min
C) Assisted pistol: 1 x 3/leg
Core: 3 rounds</x:v>
      </x:c>
      <x:c r="D17" s="229" t="s">
        <x:v>214</x:v>
      </x:c>
      <x:c r="E17" s="229" t="n">
        <x:v>33</x:v>
      </x:c>
      <x:c r="F17" s="256"/>
      <x:c r="G17" s="256" t="s">
        <x:v>207</x:v>
      </x:c>
      <x:c r="H17" s="258" t="b">
        <x:f aca="0">FALSE()</x:f>
        <x:v>0</x:v>
      </x:c>
      <x:c r="I17" s="269" t="n">
        <x:v>0.00017361111111111112</x:v>
      </x:c>
      <x:c r="J17" s="260"/>
      <x:c r="K17" s="260"/>
      <x:c r="L17" s="260"/>
      <x:c r="M17" s="260"/>
      <x:c r="N17" s="258" t="b">
        <x:f aca="0">FALSE()</x:f>
        <x:v>0</x:v>
      </x:c>
      <x:c r="O17" s="269" t="n">
        <x:v>0.001388888888888889</x:v>
      </x:c>
      <x:c r="P17" s="260"/>
      <x:c r="Q17" s="260"/>
      <x:c r="R17" s="260"/>
      <x:c r="S17" s="260"/>
      <x:c r="T17" s="258" t="b">
        <x:f aca="0">FALSE()</x:f>
        <x:v>0</x:v>
      </x:c>
      <x:c r="U17" s="259" t="n">
        <x:v>3</x:v>
      </x:c>
      <x:c r="V17" s="260"/>
      <x:c r="W17" s="260"/>
      <x:c r="X17" s="260"/>
      <x:c r="Y17" s="260"/>
      <x:c r="Z17" s="261" t="b">
        <x:v>0</x:v>
      </x:c>
      <x:c r="AA17" s="259" t="n">
        <x:v>3</x:v>
      </x:c>
      <x:c r="AB17" s="382" t="b">
        <x:v>0</x:v>
      </x:c>
      <x:c r="AC17" s="262"/>
      <x:c r="AD17" s="287"/>
      <x:c r="AE17" s="287"/>
      <x:c r="AF17" s="287"/>
      <x:c r="AG17" s="377" t="n">
        <x:f>IF(COUNT(Scoring!X75:X81)&lt;&gt;ROWS(Scoring!X75:X81),"",ROUND(MAX(0,MIN(10,SUM(Scoring!X75:X81))),0))</x:f>
        <x:v>2</x:v>
      </x:c>
      <x:c r="AH17" s="328"/>
      <x:c r="AI17" s="329" t="n">
        <x:f>IF(COUNT(Scoring!H53:H56)&gt;0,MEDIAN(Scoring!H53:H56),"")</x:f>
        <x:v>100</x:v>
      </x:c>
      <x:c r="AJ17" s="329" t="str">
        <x:f>IF(COUNT(Scoring!I53:I56)&gt;0,MEDIAN(Scoring!I53:I56),"")</x:f>
      </x:c>
      <x:c r="AK17" s="340" t="n">
        <x:f>COUNT(Scoring!I53:I56)</x:f>
        <x:v>0</x:v>
      </x:c>
      <x:c r="AL17" s="340" t="n">
        <x:f>COUNT(Scoring!H53:H56)</x:f>
        <x:v>4</x:v>
      </x:c>
    </x:row>
    <x:row r="18" ht="88" hidden="0" customHeight="1">
      <x:c r="A18" s="223" t="n">
        <x:f aca="0">Strategy!$E$3+26</x:f>
        <x:v>46347.5</x:v>
      </x:c>
      <x:c r="B18" s="224" t="s">
        <x:v>61</x:v>
      </x:c>
      <x:c r="C18" s="224" t="s">
        <x:v>215</x:v>
      </x:c>
      <x:c r="D18" s="224" t="s">
        <x:v>212</x:v>
      </x:c>
      <x:c r="E18" s="224" t="n">
        <x:v>10</x:v>
      </x:c>
      <x:c r="F18" s="257"/>
      <x:c r="G18" s="257" t="s">
        <x:v>207</x:v>
      </x:c>
      <x:c r="H18" s="263" t="b">
        <x:f aca="0">FALSE()</x:f>
        <x:v>0</x:v>
      </x:c>
      <x:c r="I18" s="264" t="n">
        <x:v>0.0006944444444444445</x:v>
      </x:c>
      <x:c r="J18" s="265"/>
      <x:c r="K18" s="265"/>
      <x:c r="L18" s="265"/>
      <x:c r="M18" s="265"/>
      <x:c r="N18" s="263" t="b">
        <x:f aca="0">FALSE()</x:f>
        <x:v>0</x:v>
      </x:c>
      <x:c r="O18" s="264" t="n">
        <x:v>0.00011574074074074075</x:v>
      </x:c>
      <x:c r="P18" s="264" t="n">
        <x:v>0.00011574074074074075</x:v>
      </x:c>
      <x:c r="Q18" s="265"/>
      <x:c r="R18" s="265"/>
      <x:c r="S18" s="265"/>
      <x:c r="T18" s="263" t="b">
        <x:f aca="0">FALSE()</x:f>
        <x:v>0</x:v>
      </x:c>
      <x:c r="U18" s="264" t="n">
        <x:v>0.00011574074074074075</x:v>
      </x:c>
      <x:c r="V18" s="265"/>
      <x:c r="W18" s="265"/>
      <x:c r="X18" s="265"/>
      <x:c r="Y18" s="265"/>
      <x:c r="Z18" s="266" t="b">
        <x:v>0</x:v>
      </x:c>
      <x:c r="AA18" s="267"/>
      <x:c r="AB18" s="266" t="b">
        <x:v>0</x:v>
      </x:c>
      <x:c r="AC18" s="268"/>
      <x:c r="AD18" s="288"/>
      <x:c r="AE18" s="288"/>
      <x:c r="AF18" s="288"/>
      <x:c r="AG18" s="378" t="n">
        <x:f>IF(COUNT(Scoring!X82:X84)&lt;&gt;ROWS(Scoring!X82:X84),"",ROUND(MAX(0,MIN(10,SUM(Scoring!X82:X84))),0))</x:f>
        <x:v>1</x:v>
      </x:c>
      <x:c r="AH18" s="330"/>
      <x:c r="AI18" s="331" t="n">
        <x:f>IF(COUNT(Scoring!H57:H59)&gt;0,MEDIAN(Scoring!H57:H59),"")</x:f>
        <x:v>100</x:v>
      </x:c>
      <x:c r="AJ18" s="331" t="str">
        <x:f>IF(COUNT(Scoring!I57:I59)&gt;0,MEDIAN(Scoring!I57:I59),"")</x:f>
      </x:c>
      <x:c r="AK18" s="341" t="n">
        <x:f>COUNT(Scoring!I57:I59)</x:f>
        <x:v>0</x:v>
      </x:c>
      <x:c r="AL18" s="341" t="n">
        <x:f>COUNT(Scoring!H57:H59)</x:f>
        <x:v>3</x:v>
      </x:c>
    </x:row>
    <x:row r="19" ht="88" hidden="0" customHeight="1">
      <x:c r="A19" s="228" t="n">
        <x:f aca="0">Strategy!$E$3+28</x:f>
        <x:v>46349.5</x:v>
      </x:c>
      <x:c r="B19" s="229" t="s">
        <x:v>53</x:v>
      </x:c>
      <x:c r="C19" s="289" t="str">
        <x:f aca="0">SUBSTITUTE(SUBSTITUTE(SUBSTITUTE("35 min skills"&amp;CHAR(10)&amp;Strategy!H25,", B)",CHAR(10)&amp;"B)"),", C)",CHAR(10)&amp;"C)"),", Core:",CHAR(10)&amp;"Core:")</x:f>
        <x:v>35 min skills
A) Chest-to-bar pull-up: 3 x 3
B) Band-assisted muscle-up: 4 x 1
C) Counterweight pistol: 3 x 4/leg
Core: 5 rounds</x:v>
      </x:c>
      <x:c r="D19" s="229" t="s">
        <x:v>206</x:v>
      </x:c>
      <x:c r="E19" s="229" t="n">
        <x:v>65</x:v>
      </x:c>
      <x:c r="F19" s="256"/>
      <x:c r="G19" s="256" t="s">
        <x:v>207</x:v>
      </x:c>
      <x:c r="H19" s="258" t="b">
        <x:f aca="0">FALSE()</x:f>
        <x:v>0</x:v>
      </x:c>
      <x:c r="I19" s="259" t="n">
        <x:v>3</x:v>
      </x:c>
      <x:c r="J19" s="259" t="n">
        <x:v>3</x:v>
      </x:c>
      <x:c r="K19" s="259" t="n">
        <x:v>3</x:v>
      </x:c>
      <x:c r="L19" s="260"/>
      <x:c r="M19" s="260"/>
      <x:c r="N19" s="258" t="b">
        <x:f aca="0">FALSE()</x:f>
        <x:v>0</x:v>
      </x:c>
      <x:c r="O19" s="259" t="n">
        <x:v>1</x:v>
      </x:c>
      <x:c r="P19" s="259" t="n">
        <x:v>1</x:v>
      </x:c>
      <x:c r="Q19" s="259" t="n">
        <x:v>1</x:v>
      </x:c>
      <x:c r="R19" s="259" t="n">
        <x:v>1</x:v>
      </x:c>
      <x:c r="S19" s="260"/>
      <x:c r="T19" s="258" t="b">
        <x:f aca="0">FALSE()</x:f>
        <x:v>0</x:v>
      </x:c>
      <x:c r="U19" s="259" t="n">
        <x:v>4</x:v>
      </x:c>
      <x:c r="V19" s="259" t="n">
        <x:v>4</x:v>
      </x:c>
      <x:c r="W19" s="259" t="n">
        <x:v>4</x:v>
      </x:c>
      <x:c r="X19" s="260"/>
      <x:c r="Y19" s="260"/>
      <x:c r="Z19" s="261" t="b">
        <x:v>0</x:v>
      </x:c>
      <x:c r="AA19" s="259" t="n">
        <x:v>5</x:v>
      </x:c>
      <x:c r="AB19" s="382" t="b">
        <x:v>0</x:v>
      </x:c>
      <x:c r="AC19" s="262"/>
      <x:c r="AD19" s="287"/>
      <x:c r="AE19" s="287"/>
      <x:c r="AF19" s="287"/>
      <x:c r="AG19" s="377" t="n">
        <x:f>IF(COUNT(Scoring!X85:X91)&lt;&gt;ROWS(Scoring!X85:X91),"",ROUND(MAX(0,MIN(10,SUM(Scoring!X85:X91))),0))</x:f>
        <x:v>5</x:v>
      </x:c>
      <x:c r="AH19" s="328"/>
      <x:c r="AI19" s="329" t="n">
        <x:f>IF(COUNT(Scoring!H60:H63)&gt;0,MEDIAN(Scoring!H60:H63),"")</x:f>
        <x:v>100</x:v>
      </x:c>
      <x:c r="AJ19" s="329" t="str">
        <x:f>IF(COUNT(Scoring!I60:I63)&gt;0,MEDIAN(Scoring!I60:I63),"")</x:f>
      </x:c>
      <x:c r="AK19" s="340" t="n">
        <x:f>COUNT(Scoring!I60:I63)</x:f>
        <x:v>0</x:v>
      </x:c>
      <x:c r="AL19" s="340" t="n">
        <x:f>COUNT(Scoring!H60:H63)</x:f>
        <x:v>4</x:v>
      </x:c>
    </x:row>
    <x:row r="20" ht="88" hidden="0" customHeight="1">
      <x:c r="A20" s="223" t="n">
        <x:f aca="0">Strategy!$E$3+29</x:f>
        <x:v>46350.5</x:v>
      </x:c>
      <x:c r="B20" s="224" t="s">
        <x:v>61</x:v>
      </x:c>
      <x:c r="C20" s="224" t="s">
        <x:v>208</x:v>
      </x:c>
      <x:c r="D20" s="224" t="s">
        <x:v>209</x:v>
      </x:c>
      <x:c r="E20" s="224" t="n">
        <x:v>10</x:v>
      </x:c>
      <x:c r="F20" s="257"/>
      <x:c r="G20" s="257" t="s">
        <x:v>207</x:v>
      </x:c>
      <x:c r="H20" s="263" t="b">
        <x:f aca="0">FALSE()</x:f>
        <x:v>0</x:v>
      </x:c>
      <x:c r="I20" s="264" t="n">
        <x:v>0.001388888888888889</x:v>
      </x:c>
      <x:c r="J20" s="265"/>
      <x:c r="K20" s="265"/>
      <x:c r="L20" s="265"/>
      <x:c r="M20" s="265"/>
      <x:c r="N20" s="263" t="b">
        <x:f aca="0">FALSE()</x:f>
        <x:v>0</x:v>
      </x:c>
      <x:c r="O20" s="264" t="n">
        <x:v>0.00017361111111111112</x:v>
      </x:c>
      <x:c r="P20" s="264" t="n">
        <x:v>0.00017361111111111112</x:v>
      </x:c>
      <x:c r="Q20" s="264" t="n">
        <x:v>0.00017361111111111112</x:v>
      </x:c>
      <x:c r="R20" s="265"/>
      <x:c r="S20" s="265"/>
      <x:c r="T20" s="263" t="b">
        <x:f aca="0">FALSE()</x:f>
        <x:v>0</x:v>
      </x:c>
      <x:c r="U20" s="264" t="n">
        <x:v>0.00017361111111111112</x:v>
      </x:c>
      <x:c r="V20" s="264" t="n">
        <x:v>0.00017361111111111112</x:v>
      </x:c>
      <x:c r="W20" s="265"/>
      <x:c r="X20" s="265"/>
      <x:c r="Y20" s="265"/>
      <x:c r="Z20" s="266" t="b">
        <x:v>0</x:v>
      </x:c>
      <x:c r="AA20" s="267"/>
      <x:c r="AB20" s="266" t="b">
        <x:v>0</x:v>
      </x:c>
      <x:c r="AC20" s="268"/>
      <x:c r="AD20" s="288"/>
      <x:c r="AE20" s="288"/>
      <x:c r="AF20" s="288"/>
      <x:c r="AG20" s="378" t="n">
        <x:f>IF(COUNT(Scoring!X92:X94)&lt;&gt;ROWS(Scoring!X92:X94),"",ROUND(MAX(0,MIN(10,SUM(Scoring!X92:X94))),0))</x:f>
        <x:v>1</x:v>
      </x:c>
      <x:c r="AH20" s="330"/>
      <x:c r="AI20" s="331" t="n">
        <x:f>IF(COUNT(Scoring!H64:H66)&gt;0,MEDIAN(Scoring!H64:H66),"")</x:f>
        <x:v>100</x:v>
      </x:c>
      <x:c r="AJ20" s="331" t="str">
        <x:f>IF(COUNT(Scoring!I64:I66)&gt;0,MEDIAN(Scoring!I64:I66),"")</x:f>
      </x:c>
      <x:c r="AK20" s="341" t="n">
        <x:f>COUNT(Scoring!I64:I66)</x:f>
        <x:v>0</x:v>
      </x:c>
      <x:c r="AL20" s="341" t="n">
        <x:f>COUNT(Scoring!H64:H66)</x:f>
        <x:v>3</x:v>
      </x:c>
    </x:row>
    <x:row r="21" ht="88" hidden="0" customHeight="1">
      <x:c r="A21" s="228" t="n">
        <x:f aca="0">Strategy!$E$3+31</x:f>
        <x:v>46352.5</x:v>
      </x:c>
      <x:c r="B21" s="229" t="s">
        <x:v>57</x:v>
      </x:c>
      <x:c r="C21" s="289" t="str">
        <x:f aca="0">SUBSTITUTE(SUBSTITUTE(SUBSTITUTE("35 min skills"&amp;CHAR(10)&amp;Strategy!I25,", B)",CHAR(10)&amp;"B)"),", C)",CHAR(10)&amp;"C)"),", Core:",CHAR(10)&amp;"Core:")</x:f>
        <x:v>35 min skills
A) Deficit pike push-up: 3 x 4
B) Wall HSPU negative: 3 x 2 (lower 3 sec)
C) Counterweight pistol: 3 x 4/leg
Core: 5 rounds</x:v>
      </x:c>
      <x:c r="D21" s="229" t="s">
        <x:v>210</x:v>
      </x:c>
      <x:c r="E21" s="229" t="n">
        <x:v>65</x:v>
      </x:c>
      <x:c r="F21" s="256"/>
      <x:c r="G21" s="256" t="s">
        <x:v>207</x:v>
      </x:c>
      <x:c r="H21" s="258" t="b">
        <x:f aca="0">FALSE()</x:f>
        <x:v>0</x:v>
      </x:c>
      <x:c r="I21" s="259" t="n">
        <x:v>4</x:v>
      </x:c>
      <x:c r="J21" s="259" t="n">
        <x:v>4</x:v>
      </x:c>
      <x:c r="K21" s="259" t="n">
        <x:v>4</x:v>
      </x:c>
      <x:c r="L21" s="260"/>
      <x:c r="M21" s="260"/>
      <x:c r="N21" s="258" t="b">
        <x:f aca="0">FALSE()</x:f>
        <x:v>0</x:v>
      </x:c>
      <x:c r="O21" s="259" t="n">
        <x:v>2</x:v>
      </x:c>
      <x:c r="P21" s="259" t="n">
        <x:v>2</x:v>
      </x:c>
      <x:c r="Q21" s="259" t="n">
        <x:v>2</x:v>
      </x:c>
      <x:c r="R21" s="260"/>
      <x:c r="S21" s="260"/>
      <x:c r="T21" s="258" t="b">
        <x:f aca="0">FALSE()</x:f>
        <x:v>0</x:v>
      </x:c>
      <x:c r="U21" s="259" t="n">
        <x:v>4</x:v>
      </x:c>
      <x:c r="V21" s="259" t="n">
        <x:v>4</x:v>
      </x:c>
      <x:c r="W21" s="259" t="n">
        <x:v>4</x:v>
      </x:c>
      <x:c r="X21" s="260"/>
      <x:c r="Y21" s="260"/>
      <x:c r="Z21" s="261" t="b">
        <x:v>0</x:v>
      </x:c>
      <x:c r="AA21" s="259" t="n">
        <x:v>5</x:v>
      </x:c>
      <x:c r="AB21" s="382" t="b">
        <x:v>0</x:v>
      </x:c>
      <x:c r="AC21" s="262"/>
      <x:c r="AD21" s="287"/>
      <x:c r="AE21" s="287"/>
      <x:c r="AF21" s="287"/>
      <x:c r="AG21" s="377" t="n">
        <x:f>IF(COUNT(Scoring!X95:X101)&lt;&gt;ROWS(Scoring!X95:X101),"",ROUND(MAX(0,MIN(10,SUM(Scoring!X95:X101))),0))</x:f>
        <x:v>6</x:v>
      </x:c>
      <x:c r="AH21" s="328"/>
      <x:c r="AI21" s="329" t="n">
        <x:f>IF(COUNT(Scoring!H67:H69)&gt;0,MEDIAN(Scoring!H67:H69),"")</x:f>
        <x:v>100</x:v>
      </x:c>
      <x:c r="AJ21" s="329" t="str">
        <x:f>IF(COUNT(Scoring!I67:I69)&gt;0,MEDIAN(Scoring!I67:I69),"")</x:f>
      </x:c>
      <x:c r="AK21" s="340" t="n">
        <x:f>COUNT(Scoring!I67:I69)</x:f>
        <x:v>0</x:v>
      </x:c>
      <x:c r="AL21" s="340" t="n">
        <x:f>COUNT(Scoring!H67:H69)</x:f>
        <x:v>3</x:v>
      </x:c>
    </x:row>
    <x:row r="22" ht="88" hidden="0" customHeight="1">
      <x:c r="A22" s="223" t="n">
        <x:f aca="0">Strategy!$E$3+33</x:f>
        <x:v>46354.5</x:v>
      </x:c>
      <x:c r="B22" s="224" t="s">
        <x:v>61</x:v>
      </x:c>
      <x:c r="C22" s="224" t="s">
        <x:v>211</x:v>
      </x:c>
      <x:c r="D22" s="224" t="s">
        <x:v>212</x:v>
      </x:c>
      <x:c r="E22" s="224" t="n">
        <x:v>20</x:v>
      </x:c>
      <x:c r="F22" s="257"/>
      <x:c r="G22" s="257" t="s">
        <x:v>207</x:v>
      </x:c>
      <x:c r="H22" s="263" t="b">
        <x:f aca="0">FALSE()</x:f>
        <x:v>0</x:v>
      </x:c>
      <x:c r="I22" s="264" t="n">
        <x:v>0.001388888888888889</x:v>
      </x:c>
      <x:c r="J22" s="265"/>
      <x:c r="K22" s="265"/>
      <x:c r="L22" s="265"/>
      <x:c r="M22" s="265"/>
      <x:c r="N22" s="263" t="b">
        <x:f aca="0">FALSE()</x:f>
        <x:v>0</x:v>
      </x:c>
      <x:c r="O22" s="264" t="n">
        <x:v>0.00017361111111111112</x:v>
      </x:c>
      <x:c r="P22" s="264" t="n">
        <x:v>0.00017361111111111112</x:v>
      </x:c>
      <x:c r="Q22" s="264" t="n">
        <x:v>0.00017361111111111112</x:v>
      </x:c>
      <x:c r="R22" s="265"/>
      <x:c r="S22" s="265"/>
      <x:c r="T22" s="263" t="b">
        <x:f aca="0">FALSE()</x:f>
        <x:v>0</x:v>
      </x:c>
      <x:c r="U22" s="264" t="n">
        <x:v>0.00017361111111111112</x:v>
      </x:c>
      <x:c r="V22" s="264" t="n">
        <x:v>0.00017361111111111112</x:v>
      </x:c>
      <x:c r="W22" s="264" t="n">
        <x:v>0.00017361111111111112</x:v>
      </x:c>
      <x:c r="X22" s="265"/>
      <x:c r="Y22" s="265"/>
      <x:c r="Z22" s="266" t="b">
        <x:v>0</x:v>
      </x:c>
      <x:c r="AA22" s="267"/>
      <x:c r="AB22" s="266" t="b">
        <x:v>0</x:v>
      </x:c>
      <x:c r="AC22" s="268"/>
      <x:c r="AD22" s="288"/>
      <x:c r="AE22" s="288"/>
      <x:c r="AF22" s="288"/>
      <x:c r="AG22" s="378" t="n">
        <x:f>IF(COUNT(Scoring!X102:X104)&lt;&gt;ROWS(Scoring!X102:X104),"",ROUND(MAX(0,MIN(10,SUM(Scoring!X102:X104))),0))</x:f>
        <x:v>1</x:v>
      </x:c>
      <x:c r="AH22" s="330"/>
      <x:c r="AI22" s="331" t="n">
        <x:f>IF(COUNT(Scoring!H70:H72)&gt;0,MEDIAN(Scoring!H70:H72),"")</x:f>
        <x:v>100</x:v>
      </x:c>
      <x:c r="AJ22" s="331" t="str">
        <x:f>IF(COUNT(Scoring!I70:I72)&gt;0,MEDIAN(Scoring!I70:I72),"")</x:f>
      </x:c>
      <x:c r="AK22" s="341" t="n">
        <x:f>COUNT(Scoring!I70:I72)</x:f>
        <x:v>0</x:v>
      </x:c>
      <x:c r="AL22" s="341" t="n">
        <x:f>COUNT(Scoring!H70:H72)</x:f>
        <x:v>3</x:v>
      </x:c>
    </x:row>
    <x:row r="23" ht="88" hidden="0" customHeight="1">
      <x:c r="A23" s="228" t="n">
        <x:f aca="0">Strategy!$E$3+35</x:f>
        <x:v>46356.5</x:v>
      </x:c>
      <x:c r="B23" s="229" t="s">
        <x:v>53</x:v>
      </x:c>
      <x:c r="C23" s="289" t="str">
        <x:f aca="0">SUBSTITUTE(SUBSTITUTE(SUBSTITUTE("35 min skills"&amp;CHAR(10)&amp;Strategy!H26,", B)",CHAR(10)&amp;"B)"),", C)",CHAR(10)&amp;"C)"),", Core:",CHAR(10)&amp;"Core:")</x:f>
        <x:v>35 min skills
A) Jumping muscle-up: 3 x 3
B) Low-bar slow transition: 3 x 3
C) Light-counterweight pistol: 3 x 4/leg
Core: 5 rounds</x:v>
      </x:c>
      <x:c r="D23" s="229" t="s">
        <x:v>206</x:v>
      </x:c>
      <x:c r="E23" s="229" t="n">
        <x:v>65</x:v>
      </x:c>
      <x:c r="F23" s="256"/>
      <x:c r="G23" s="256" t="s">
        <x:v>207</x:v>
      </x:c>
      <x:c r="H23" s="258" t="b">
        <x:f aca="0">FALSE()</x:f>
        <x:v>0</x:v>
      </x:c>
      <x:c r="I23" s="259" t="n">
        <x:v>3</x:v>
      </x:c>
      <x:c r="J23" s="259" t="n">
        <x:v>3</x:v>
      </x:c>
      <x:c r="K23" s="259" t="n">
        <x:v>3</x:v>
      </x:c>
      <x:c r="L23" s="260"/>
      <x:c r="M23" s="260"/>
      <x:c r="N23" s="258" t="b">
        <x:f aca="0">FALSE()</x:f>
        <x:v>0</x:v>
      </x:c>
      <x:c r="O23" s="259" t="n">
        <x:v>3</x:v>
      </x:c>
      <x:c r="P23" s="259" t="n">
        <x:v>3</x:v>
      </x:c>
      <x:c r="Q23" s="259" t="n">
        <x:v>3</x:v>
      </x:c>
      <x:c r="R23" s="260"/>
      <x:c r="S23" s="260"/>
      <x:c r="T23" s="258" t="b">
        <x:f aca="0">FALSE()</x:f>
        <x:v>0</x:v>
      </x:c>
      <x:c r="U23" s="259" t="n">
        <x:v>4</x:v>
      </x:c>
      <x:c r="V23" s="259" t="n">
        <x:v>4</x:v>
      </x:c>
      <x:c r="W23" s="259" t="n">
        <x:v>4</x:v>
      </x:c>
      <x:c r="X23" s="260"/>
      <x:c r="Y23" s="260"/>
      <x:c r="Z23" s="261" t="b">
        <x:v>0</x:v>
      </x:c>
      <x:c r="AA23" s="259" t="n">
        <x:v>5</x:v>
      </x:c>
      <x:c r="AB23" s="382" t="b">
        <x:v>0</x:v>
      </x:c>
      <x:c r="AC23" s="262"/>
      <x:c r="AD23" s="287"/>
      <x:c r="AE23" s="287"/>
      <x:c r="AF23" s="287"/>
      <x:c r="AG23" s="377" t="n">
        <x:f>IF(COUNT(Scoring!X105:X111)&lt;&gt;ROWS(Scoring!X105:X111),"",ROUND(MAX(0,MIN(10,SUM(Scoring!X105:X111))),0))</x:f>
        <x:v>5</x:v>
      </x:c>
      <x:c r="AH23" s="328"/>
      <x:c r="AI23" s="329" t="n">
        <x:f>IF(COUNT(Scoring!H73:H76)&gt;0,MEDIAN(Scoring!H73:H76),"")</x:f>
        <x:v>100</x:v>
      </x:c>
      <x:c r="AJ23" s="329" t="str">
        <x:f>IF(COUNT(Scoring!I73:I76)&gt;0,MEDIAN(Scoring!I73:I76),"")</x:f>
      </x:c>
      <x:c r="AK23" s="340" t="n">
        <x:f>COUNT(Scoring!I73:I76)</x:f>
        <x:v>0</x:v>
      </x:c>
      <x:c r="AL23" s="340" t="n">
        <x:f>COUNT(Scoring!H73:H76)</x:f>
        <x:v>4</x:v>
      </x:c>
    </x:row>
    <x:row r="24" ht="88" hidden="0" customHeight="1">
      <x:c r="A24" s="223" t="n">
        <x:f aca="0">Strategy!$E$3+36</x:f>
        <x:v>46357.5</x:v>
      </x:c>
      <x:c r="B24" s="224" t="s">
        <x:v>61</x:v>
      </x:c>
      <x:c r="C24" s="224" t="s">
        <x:v>208</x:v>
      </x:c>
      <x:c r="D24" s="224" t="s">
        <x:v>209</x:v>
      </x:c>
      <x:c r="E24" s="224" t="n">
        <x:v>10</x:v>
      </x:c>
      <x:c r="F24" s="257"/>
      <x:c r="G24" s="257" t="s">
        <x:v>207</x:v>
      </x:c>
      <x:c r="H24" s="263" t="b">
        <x:f aca="0">FALSE()</x:f>
        <x:v>0</x:v>
      </x:c>
      <x:c r="I24" s="264" t="n">
        <x:v>0.001388888888888889</x:v>
      </x:c>
      <x:c r="J24" s="265"/>
      <x:c r="K24" s="265"/>
      <x:c r="L24" s="265"/>
      <x:c r="M24" s="265"/>
      <x:c r="N24" s="263" t="b">
        <x:f aca="0">FALSE()</x:f>
        <x:v>0</x:v>
      </x:c>
      <x:c r="O24" s="264" t="n">
        <x:v>0.00017361111111111112</x:v>
      </x:c>
      <x:c r="P24" s="264" t="n">
        <x:v>0.00017361111111111112</x:v>
      </x:c>
      <x:c r="Q24" s="264" t="n">
        <x:v>0.00017361111111111112</x:v>
      </x:c>
      <x:c r="R24" s="265"/>
      <x:c r="S24" s="265"/>
      <x:c r="T24" s="263" t="b">
        <x:f aca="0">FALSE()</x:f>
        <x:v>0</x:v>
      </x:c>
      <x:c r="U24" s="264" t="n">
        <x:v>0.00017361111111111112</x:v>
      </x:c>
      <x:c r="V24" s="264" t="n">
        <x:v>0.00017361111111111112</x:v>
      </x:c>
      <x:c r="W24" s="265"/>
      <x:c r="X24" s="265"/>
      <x:c r="Y24" s="265"/>
      <x:c r="Z24" s="266" t="b">
        <x:v>0</x:v>
      </x:c>
      <x:c r="AA24" s="267"/>
      <x:c r="AB24" s="266" t="b">
        <x:v>0</x:v>
      </x:c>
      <x:c r="AC24" s="268"/>
      <x:c r="AD24" s="288"/>
      <x:c r="AE24" s="288"/>
      <x:c r="AF24" s="288"/>
      <x:c r="AG24" s="378" t="n">
        <x:f>IF(COUNT(Scoring!X112:X114)&lt;&gt;ROWS(Scoring!X112:X114),"",ROUND(MAX(0,MIN(10,SUM(Scoring!X112:X114))),0))</x:f>
        <x:v>1</x:v>
      </x:c>
      <x:c r="AH24" s="330"/>
      <x:c r="AI24" s="331" t="n">
        <x:f>IF(COUNT(Scoring!H77:H79)&gt;0,MEDIAN(Scoring!H77:H79),"")</x:f>
        <x:v>100</x:v>
      </x:c>
      <x:c r="AJ24" s="331" t="str">
        <x:f>IF(COUNT(Scoring!I77:I79)&gt;0,MEDIAN(Scoring!I77:I79),"")</x:f>
      </x:c>
      <x:c r="AK24" s="341" t="n">
        <x:f>COUNT(Scoring!I77:I79)</x:f>
        <x:v>0</x:v>
      </x:c>
      <x:c r="AL24" s="341" t="n">
        <x:f>COUNT(Scoring!H77:H79)</x:f>
        <x:v>3</x:v>
      </x:c>
    </x:row>
    <x:row r="25" ht="88" hidden="0" customHeight="1">
      <x:c r="A25" s="228" t="n">
        <x:f aca="0">Strategy!$E$3+38</x:f>
        <x:v>46359.5</x:v>
      </x:c>
      <x:c r="B25" s="229" t="s">
        <x:v>57</x:v>
      </x:c>
      <x:c r="C25" s="289" t="str">
        <x:f aca="0">SUBSTITUTE(SUBSTITUTE(SUBSTITUTE("35 min skills"&amp;CHAR(10)&amp;Strategy!I26,", B)",CHAR(10)&amp;"B)"),", C)",CHAR(10)&amp;"C)"),", Core:",CHAR(10)&amp;"Core:")</x:f>
        <x:v>35 min skills
A) Partial wall HSPU: 3 x 3
B) Wall HSPU negative: 3 x 2 (lower 3 sec)
C) Light-counterweight pistol: 3 x 4/leg
Core: 5 rounds</x:v>
      </x:c>
      <x:c r="D25" s="229" t="s">
        <x:v>210</x:v>
      </x:c>
      <x:c r="E25" s="229" t="n">
        <x:v>65</x:v>
      </x:c>
      <x:c r="F25" s="256"/>
      <x:c r="G25" s="256" t="s">
        <x:v>207</x:v>
      </x:c>
      <x:c r="H25" s="258" t="b">
        <x:f aca="0">FALSE()</x:f>
        <x:v>0</x:v>
      </x:c>
      <x:c r="I25" s="259" t="n">
        <x:v>3</x:v>
      </x:c>
      <x:c r="J25" s="259" t="n">
        <x:v>3</x:v>
      </x:c>
      <x:c r="K25" s="259" t="n">
        <x:v>3</x:v>
      </x:c>
      <x:c r="L25" s="260"/>
      <x:c r="M25" s="260"/>
      <x:c r="N25" s="258" t="b">
        <x:f aca="0">FALSE()</x:f>
        <x:v>0</x:v>
      </x:c>
      <x:c r="O25" s="259" t="n">
        <x:v>2</x:v>
      </x:c>
      <x:c r="P25" s="259" t="n">
        <x:v>2</x:v>
      </x:c>
      <x:c r="Q25" s="259" t="n">
        <x:v>2</x:v>
      </x:c>
      <x:c r="R25" s="260"/>
      <x:c r="S25" s="260"/>
      <x:c r="T25" s="258" t="b">
        <x:f aca="0">FALSE()</x:f>
        <x:v>0</x:v>
      </x:c>
      <x:c r="U25" s="259" t="n">
        <x:v>4</x:v>
      </x:c>
      <x:c r="V25" s="259" t="n">
        <x:v>4</x:v>
      </x:c>
      <x:c r="W25" s="259" t="n">
        <x:v>4</x:v>
      </x:c>
      <x:c r="X25" s="260"/>
      <x:c r="Y25" s="260"/>
      <x:c r="Z25" s="261" t="b">
        <x:v>0</x:v>
      </x:c>
      <x:c r="AA25" s="259" t="n">
        <x:v>5</x:v>
      </x:c>
      <x:c r="AB25" s="382" t="b">
        <x:v>0</x:v>
      </x:c>
      <x:c r="AC25" s="262"/>
      <x:c r="AD25" s="287"/>
      <x:c r="AE25" s="287"/>
      <x:c r="AF25" s="287"/>
      <x:c r="AG25" s="377" t="n">
        <x:f>IF(COUNT(Scoring!X115:X121)&lt;&gt;ROWS(Scoring!X115:X121),"",ROUND(MAX(0,MIN(10,SUM(Scoring!X115:X121))),0))</x:f>
        <x:v>5</x:v>
      </x:c>
      <x:c r="AH25" s="328"/>
      <x:c r="AI25" s="329" t="n">
        <x:f>IF(COUNT(Scoring!H80:H82)&gt;0,MEDIAN(Scoring!H80:H82),"")</x:f>
        <x:v>100</x:v>
      </x:c>
      <x:c r="AJ25" s="329" t="str">
        <x:f>IF(COUNT(Scoring!I80:I82)&gt;0,MEDIAN(Scoring!I80:I82),"")</x:f>
      </x:c>
      <x:c r="AK25" s="340" t="n">
        <x:f>COUNT(Scoring!I80:I82)</x:f>
        <x:v>0</x:v>
      </x:c>
      <x:c r="AL25" s="340" t="n">
        <x:f>COUNT(Scoring!H80:H82)</x:f>
        <x:v>3</x:v>
      </x:c>
    </x:row>
    <x:row r="26" ht="88" hidden="0" customHeight="1">
      <x:c r="A26" s="223" t="n">
        <x:f aca="0">Strategy!$E$3+40</x:f>
        <x:v>46361.5</x:v>
      </x:c>
      <x:c r="B26" s="224" t="s">
        <x:v>61</x:v>
      </x:c>
      <x:c r="C26" s="224" t="s">
        <x:v>211</x:v>
      </x:c>
      <x:c r="D26" s="224" t="s">
        <x:v>212</x:v>
      </x:c>
      <x:c r="E26" s="224" t="n">
        <x:v>20</x:v>
      </x:c>
      <x:c r="F26" s="257"/>
      <x:c r="G26" s="257" t="s">
        <x:v>207</x:v>
      </x:c>
      <x:c r="H26" s="263" t="b">
        <x:f aca="0">FALSE()</x:f>
        <x:v>0</x:v>
      </x:c>
      <x:c r="I26" s="264" t="n">
        <x:v>0.001388888888888889</x:v>
      </x:c>
      <x:c r="J26" s="265"/>
      <x:c r="K26" s="265"/>
      <x:c r="L26" s="265"/>
      <x:c r="M26" s="265"/>
      <x:c r="N26" s="263" t="b">
        <x:f aca="0">FALSE()</x:f>
        <x:v>0</x:v>
      </x:c>
      <x:c r="O26" s="264" t="n">
        <x:v>0.00017361111111111112</x:v>
      </x:c>
      <x:c r="P26" s="264" t="n">
        <x:v>0.00017361111111111112</x:v>
      </x:c>
      <x:c r="Q26" s="264" t="n">
        <x:v>0.00017361111111111112</x:v>
      </x:c>
      <x:c r="R26" s="265"/>
      <x:c r="S26" s="265"/>
      <x:c r="T26" s="263" t="b">
        <x:f aca="0">FALSE()</x:f>
        <x:v>0</x:v>
      </x:c>
      <x:c r="U26" s="264" t="n">
        <x:v>0.00017361111111111112</x:v>
      </x:c>
      <x:c r="V26" s="264" t="n">
        <x:v>0.00017361111111111112</x:v>
      </x:c>
      <x:c r="W26" s="264" t="n">
        <x:v>0.00017361111111111112</x:v>
      </x:c>
      <x:c r="X26" s="265"/>
      <x:c r="Y26" s="265"/>
      <x:c r="Z26" s="266" t="b">
        <x:v>0</x:v>
      </x:c>
      <x:c r="AA26" s="267"/>
      <x:c r="AB26" s="266" t="b">
        <x:v>0</x:v>
      </x:c>
      <x:c r="AC26" s="268"/>
      <x:c r="AD26" s="288"/>
      <x:c r="AE26" s="288"/>
      <x:c r="AF26" s="288"/>
      <x:c r="AG26" s="378" t="n">
        <x:f>IF(COUNT(Scoring!X122:X124)&lt;&gt;ROWS(Scoring!X122:X124),"",ROUND(MAX(0,MIN(10,SUM(Scoring!X122:X124))),0))</x:f>
        <x:v>1</x:v>
      </x:c>
      <x:c r="AH26" s="330"/>
      <x:c r="AI26" s="331" t="n">
        <x:f>IF(COUNT(Scoring!H83:H85)&gt;0,MEDIAN(Scoring!H83:H85),"")</x:f>
        <x:v>100</x:v>
      </x:c>
      <x:c r="AJ26" s="331" t="str">
        <x:f>IF(COUNT(Scoring!I83:I85)&gt;0,MEDIAN(Scoring!I83:I85),"")</x:f>
      </x:c>
      <x:c r="AK26" s="341" t="n">
        <x:f>COUNT(Scoring!I83:I85)</x:f>
        <x:v>0</x:v>
      </x:c>
      <x:c r="AL26" s="341" t="n">
        <x:f>COUNT(Scoring!H83:H85)</x:f>
        <x:v>3</x:v>
      </x:c>
    </x:row>
    <x:row r="27" ht="88" hidden="0" customHeight="1">
      <x:c r="A27" s="228" t="n">
        <x:f aca="0">Strategy!$E$3+42</x:f>
        <x:v>46363.5</x:v>
      </x:c>
      <x:c r="B27" s="229" t="s">
        <x:v>53</x:v>
      </x:c>
      <x:c r="C27" s="289" t="str">
        <x:f aca="0">SUBSTITUTE(SUBSTITUTE(SUBSTITUTE("35 min skills"&amp;CHAR(10)&amp;Strategy!H27,", B)",CHAR(10)&amp;"B)"),", C)",CHAR(10)&amp;"C)"),", Core:",CHAR(10)&amp;"Core:")</x:f>
        <x:v>35 min skills
A) Light-band muscle-up: 4 x 1
B) Band-assisted transition: 3 x 2
C) Unassisted pistol to target: 3 x 1/leg
Core: 5 rounds</x:v>
      </x:c>
      <x:c r="D27" s="229" t="s">
        <x:v>206</x:v>
      </x:c>
      <x:c r="E27" s="229" t="n">
        <x:v>65</x:v>
      </x:c>
      <x:c r="F27" s="256"/>
      <x:c r="G27" s="256" t="s">
        <x:v>207</x:v>
      </x:c>
      <x:c r="H27" s="258" t="b">
        <x:f aca="0">FALSE()</x:f>
        <x:v>0</x:v>
      </x:c>
      <x:c r="I27" s="259" t="n">
        <x:v>1</x:v>
      </x:c>
      <x:c r="J27" s="259" t="n">
        <x:v>1</x:v>
      </x:c>
      <x:c r="K27" s="259" t="n">
        <x:v>1</x:v>
      </x:c>
      <x:c r="L27" s="259" t="n">
        <x:v>1</x:v>
      </x:c>
      <x:c r="M27" s="260"/>
      <x:c r="N27" s="258" t="b">
        <x:f aca="0">FALSE()</x:f>
        <x:v>0</x:v>
      </x:c>
      <x:c r="O27" s="259" t="n">
        <x:v>2</x:v>
      </x:c>
      <x:c r="P27" s="259" t="n">
        <x:v>2</x:v>
      </x:c>
      <x:c r="Q27" s="259" t="n">
        <x:v>2</x:v>
      </x:c>
      <x:c r="R27" s="260"/>
      <x:c r="S27" s="260"/>
      <x:c r="T27" s="258" t="b">
        <x:f aca="0">FALSE()</x:f>
        <x:v>0</x:v>
      </x:c>
      <x:c r="U27" s="259" t="n">
        <x:v>1</x:v>
      </x:c>
      <x:c r="V27" s="259" t="n">
        <x:v>1</x:v>
      </x:c>
      <x:c r="W27" s="259" t="n">
        <x:v>1</x:v>
      </x:c>
      <x:c r="X27" s="260"/>
      <x:c r="Y27" s="260"/>
      <x:c r="Z27" s="261" t="b">
        <x:v>0</x:v>
      </x:c>
      <x:c r="AA27" s="259" t="n">
        <x:v>5</x:v>
      </x:c>
      <x:c r="AB27" s="382" t="b">
        <x:v>0</x:v>
      </x:c>
      <x:c r="AC27" s="262"/>
      <x:c r="AD27" s="287"/>
      <x:c r="AE27" s="287"/>
      <x:c r="AF27" s="287"/>
      <x:c r="AG27" s="377" t="n">
        <x:f>IF(COUNT(Scoring!X125:X131)&lt;&gt;ROWS(Scoring!X125:X131),"",ROUND(MAX(0,MIN(10,SUM(Scoring!X125:X131))),0))</x:f>
        <x:v>3</x:v>
      </x:c>
      <x:c r="AH27" s="328"/>
      <x:c r="AI27" s="329" t="n">
        <x:f>IF(COUNT(Scoring!H86:H89)&gt;0,MEDIAN(Scoring!H86:H89),"")</x:f>
        <x:v>100</x:v>
      </x:c>
      <x:c r="AJ27" s="329" t="str">
        <x:f>IF(COUNT(Scoring!I86:I89)&gt;0,MEDIAN(Scoring!I86:I89),"")</x:f>
      </x:c>
      <x:c r="AK27" s="340" t="n">
        <x:f>COUNT(Scoring!I86:I89)</x:f>
        <x:v>0</x:v>
      </x:c>
      <x:c r="AL27" s="340" t="n">
        <x:f>COUNT(Scoring!H86:H89)</x:f>
        <x:v>4</x:v>
      </x:c>
    </x:row>
    <x:row r="28" ht="88" hidden="0" customHeight="1">
      <x:c r="A28" s="223" t="n">
        <x:f aca="0">Strategy!$E$3+43</x:f>
        <x:v>46364.5</x:v>
      </x:c>
      <x:c r="B28" s="224" t="s">
        <x:v>61</x:v>
      </x:c>
      <x:c r="C28" s="224" t="s">
        <x:v>208</x:v>
      </x:c>
      <x:c r="D28" s="224" t="s">
        <x:v>209</x:v>
      </x:c>
      <x:c r="E28" s="224" t="n">
        <x:v>10</x:v>
      </x:c>
      <x:c r="F28" s="257"/>
      <x:c r="G28" s="257" t="s">
        <x:v>207</x:v>
      </x:c>
      <x:c r="H28" s="263" t="b">
        <x:f aca="0">FALSE()</x:f>
        <x:v>0</x:v>
      </x:c>
      <x:c r="I28" s="264" t="n">
        <x:v>0.001388888888888889</x:v>
      </x:c>
      <x:c r="J28" s="265"/>
      <x:c r="K28" s="265"/>
      <x:c r="L28" s="265"/>
      <x:c r="M28" s="265"/>
      <x:c r="N28" s="263" t="b">
        <x:f aca="0">FALSE()</x:f>
        <x:v>0</x:v>
      </x:c>
      <x:c r="O28" s="264" t="n">
        <x:v>0.00017361111111111112</x:v>
      </x:c>
      <x:c r="P28" s="264" t="n">
        <x:v>0.00017361111111111112</x:v>
      </x:c>
      <x:c r="Q28" s="264" t="n">
        <x:v>0.00017361111111111112</x:v>
      </x:c>
      <x:c r="R28" s="265"/>
      <x:c r="S28" s="265"/>
      <x:c r="T28" s="263" t="b">
        <x:f aca="0">FALSE()</x:f>
        <x:v>0</x:v>
      </x:c>
      <x:c r="U28" s="264" t="n">
        <x:v>0.00017361111111111112</x:v>
      </x:c>
      <x:c r="V28" s="264" t="n">
        <x:v>0.00017361111111111112</x:v>
      </x:c>
      <x:c r="W28" s="265"/>
      <x:c r="X28" s="265"/>
      <x:c r="Y28" s="265"/>
      <x:c r="Z28" s="266" t="b">
        <x:v>0</x:v>
      </x:c>
      <x:c r="AA28" s="267"/>
      <x:c r="AB28" s="266" t="b">
        <x:v>0</x:v>
      </x:c>
      <x:c r="AC28" s="268"/>
      <x:c r="AD28" s="288"/>
      <x:c r="AE28" s="288"/>
      <x:c r="AF28" s="288"/>
      <x:c r="AG28" s="378" t="n">
        <x:f>IF(COUNT(Scoring!X132:X134)&lt;&gt;ROWS(Scoring!X132:X134),"",ROUND(MAX(0,MIN(10,SUM(Scoring!X132:X134))),0))</x:f>
        <x:v>1</x:v>
      </x:c>
      <x:c r="AH28" s="330"/>
      <x:c r="AI28" s="331" t="n">
        <x:f>IF(COUNT(Scoring!H90:H92)&gt;0,MEDIAN(Scoring!H90:H92),"")</x:f>
        <x:v>100</x:v>
      </x:c>
      <x:c r="AJ28" s="331" t="str">
        <x:f>IF(COUNT(Scoring!I90:I92)&gt;0,MEDIAN(Scoring!I90:I92),"")</x:f>
      </x:c>
      <x:c r="AK28" s="341" t="n">
        <x:f>COUNT(Scoring!I90:I92)</x:f>
        <x:v>0</x:v>
      </x:c>
      <x:c r="AL28" s="341" t="n">
        <x:f>COUNT(Scoring!H90:H92)</x:f>
        <x:v>3</x:v>
      </x:c>
    </x:row>
    <x:row r="29" ht="88" hidden="0" customHeight="1">
      <x:c r="A29" s="228" t="n">
        <x:f aca="0">Strategy!$E$3+45</x:f>
        <x:v>46366.5</x:v>
      </x:c>
      <x:c r="B29" s="229" t="s">
        <x:v>57</x:v>
      </x:c>
      <x:c r="C29" s="289" t="str">
        <x:f aca="0">SUBSTITUTE(SUBSTITUTE(SUBSTITUTE("35 min skills"&amp;CHAR(10)&amp;Strategy!I27,", B)",CHAR(10)&amp;"B)"),", C)",CHAR(10)&amp;"C)"),", Core:",CHAR(10)&amp;"Core:")</x:f>
        <x:v>35 min skills
A) Deeper wall HSPU: 3 x 2
B) Easy wall handstand: 2 x 20 sec
C) Unassisted pistol to target: 3 x 1/leg
Core: 5 rounds</x:v>
      </x:c>
      <x:c r="D29" s="229" t="s">
        <x:v>210</x:v>
      </x:c>
      <x:c r="E29" s="229" t="n">
        <x:v>65</x:v>
      </x:c>
      <x:c r="F29" s="256"/>
      <x:c r="G29" s="256" t="s">
        <x:v>207</x:v>
      </x:c>
      <x:c r="H29" s="258" t="b">
        <x:f aca="0">FALSE()</x:f>
        <x:v>0</x:v>
      </x:c>
      <x:c r="I29" s="259" t="n">
        <x:v>2</x:v>
      </x:c>
      <x:c r="J29" s="259" t="n">
        <x:v>2</x:v>
      </x:c>
      <x:c r="K29" s="259" t="n">
        <x:v>2</x:v>
      </x:c>
      <x:c r="L29" s="260"/>
      <x:c r="M29" s="260"/>
      <x:c r="N29" s="258" t="b">
        <x:f aca="0">FALSE()</x:f>
        <x:v>0</x:v>
      </x:c>
      <x:c r="O29" s="269" t="n">
        <x:v>0.0002314814814814815</x:v>
      </x:c>
      <x:c r="P29" s="269" t="n">
        <x:v>0.0002314814814814815</x:v>
      </x:c>
      <x:c r="Q29" s="260"/>
      <x:c r="R29" s="260"/>
      <x:c r="S29" s="260"/>
      <x:c r="T29" s="258" t="b">
        <x:f aca="0">FALSE()</x:f>
        <x:v>0</x:v>
      </x:c>
      <x:c r="U29" s="259" t="n">
        <x:v>1</x:v>
      </x:c>
      <x:c r="V29" s="259" t="n">
        <x:v>1</x:v>
      </x:c>
      <x:c r="W29" s="259" t="n">
        <x:v>1</x:v>
      </x:c>
      <x:c r="X29" s="260"/>
      <x:c r="Y29" s="260"/>
      <x:c r="Z29" s="261" t="b">
        <x:v>0</x:v>
      </x:c>
      <x:c r="AA29" s="259" t="n">
        <x:v>5</x:v>
      </x:c>
      <x:c r="AB29" s="382" t="b">
        <x:v>0</x:v>
      </x:c>
      <x:c r="AC29" s="262"/>
      <x:c r="AD29" s="287"/>
      <x:c r="AE29" s="287"/>
      <x:c r="AF29" s="287"/>
      <x:c r="AG29" s="377" t="n">
        <x:f>IF(COUNT(Scoring!X135:X141)&lt;&gt;ROWS(Scoring!X135:X141),"",ROUND(MAX(0,MIN(10,SUM(Scoring!X135:X141))),0))</x:f>
        <x:v>3</x:v>
      </x:c>
      <x:c r="AH29" s="328"/>
      <x:c r="AI29" s="329" t="n">
        <x:f>IF(COUNT(Scoring!H93:H96)&gt;0,MEDIAN(Scoring!H93:H96),"")</x:f>
        <x:v>100</x:v>
      </x:c>
      <x:c r="AJ29" s="329" t="str">
        <x:f>IF(COUNT(Scoring!I93:I96)&gt;0,MEDIAN(Scoring!I93:I96),"")</x:f>
      </x:c>
      <x:c r="AK29" s="340" t="n">
        <x:f>COUNT(Scoring!I93:I96)</x:f>
        <x:v>0</x:v>
      </x:c>
      <x:c r="AL29" s="340" t="n">
        <x:f>COUNT(Scoring!H93:H96)</x:f>
        <x:v>4</x:v>
      </x:c>
    </x:row>
    <x:row r="30" ht="88" hidden="0" customHeight="1">
      <x:c r="A30" s="223" t="n">
        <x:f aca="0">Strategy!$E$3+47</x:f>
        <x:v>46368.5</x:v>
      </x:c>
      <x:c r="B30" s="224" t="s">
        <x:v>61</x:v>
      </x:c>
      <x:c r="C30" s="224" t="s">
        <x:v>211</x:v>
      </x:c>
      <x:c r="D30" s="224" t="s">
        <x:v>212</x:v>
      </x:c>
      <x:c r="E30" s="224" t="n">
        <x:v>20</x:v>
      </x:c>
      <x:c r="F30" s="257"/>
      <x:c r="G30" s="257" t="s">
        <x:v>207</x:v>
      </x:c>
      <x:c r="H30" s="263" t="b">
        <x:f aca="0">FALSE()</x:f>
        <x:v>0</x:v>
      </x:c>
      <x:c r="I30" s="264" t="n">
        <x:v>0.001388888888888889</x:v>
      </x:c>
      <x:c r="J30" s="265"/>
      <x:c r="K30" s="265"/>
      <x:c r="L30" s="265"/>
      <x:c r="M30" s="265"/>
      <x:c r="N30" s="263" t="b">
        <x:f aca="0">FALSE()</x:f>
        <x:v>0</x:v>
      </x:c>
      <x:c r="O30" s="264" t="n">
        <x:v>0.00017361111111111112</x:v>
      </x:c>
      <x:c r="P30" s="264" t="n">
        <x:v>0.00017361111111111112</x:v>
      </x:c>
      <x:c r="Q30" s="264" t="n">
        <x:v>0.00017361111111111112</x:v>
      </x:c>
      <x:c r="R30" s="265"/>
      <x:c r="S30" s="265"/>
      <x:c r="T30" s="263" t="b">
        <x:f aca="0">FALSE()</x:f>
        <x:v>0</x:v>
      </x:c>
      <x:c r="U30" s="264" t="n">
        <x:v>0.00017361111111111112</x:v>
      </x:c>
      <x:c r="V30" s="264" t="n">
        <x:v>0.00017361111111111112</x:v>
      </x:c>
      <x:c r="W30" s="264" t="n">
        <x:v>0.00017361111111111112</x:v>
      </x:c>
      <x:c r="X30" s="265"/>
      <x:c r="Y30" s="265"/>
      <x:c r="Z30" s="266" t="b">
        <x:v>0</x:v>
      </x:c>
      <x:c r="AA30" s="267"/>
      <x:c r="AB30" s="266" t="b">
        <x:v>0</x:v>
      </x:c>
      <x:c r="AC30" s="268"/>
      <x:c r="AD30" s="288"/>
      <x:c r="AE30" s="288"/>
      <x:c r="AF30" s="288"/>
      <x:c r="AG30" s="378" t="n">
        <x:f>IF(COUNT(Scoring!X142:X144)&lt;&gt;ROWS(Scoring!X142:X144),"",ROUND(MAX(0,MIN(10,SUM(Scoring!X142:X144))),0))</x:f>
        <x:v>1</x:v>
      </x:c>
      <x:c r="AH30" s="330"/>
      <x:c r="AI30" s="331" t="n">
        <x:f>IF(COUNT(Scoring!H97:H99)&gt;0,MEDIAN(Scoring!H97:H99),"")</x:f>
        <x:v>100</x:v>
      </x:c>
      <x:c r="AJ30" s="331" t="str">
        <x:f>IF(COUNT(Scoring!I97:I99)&gt;0,MEDIAN(Scoring!I97:I99),"")</x:f>
      </x:c>
      <x:c r="AK30" s="341" t="n">
        <x:f>COUNT(Scoring!I97:I99)</x:f>
        <x:v>0</x:v>
      </x:c>
      <x:c r="AL30" s="341" t="n">
        <x:f>COUNT(Scoring!H97:H99)</x:f>
        <x:v>3</x:v>
      </x:c>
    </x:row>
    <x:row r="31" ht="88" hidden="0" customHeight="1">
      <x:c r="A31" s="228" t="n">
        <x:f aca="0">Strategy!$E$3+49</x:f>
        <x:v>46370.5</x:v>
      </x:c>
      <x:c r="B31" s="229" t="s">
        <x:v>53</x:v>
      </x:c>
      <x:c r="C31" s="289" t="str">
        <x:f aca="0">SUBSTITUTE(SUBSTITUTE(SUBSTITUTE("10 min skills"&amp;CHAR(10)&amp;Strategy!H28,", B)",CHAR(10)&amp;"B)"),", C)",CHAR(10)&amp;"C)"),", Core:",CHAR(10)&amp;"Core:")</x:f>
        <x:v>10 min skills
A) Easy high pull: 1 x 3
B) Easy low-bar transition: 1 x 3
C) Assisted smooth pistol: 1 x 3/leg
Core: 3 rounds</x:v>
      </x:c>
      <x:c r="D31" s="229" t="s">
        <x:v>206</x:v>
      </x:c>
      <x:c r="E31" s="229" t="n">
        <x:v>33</x:v>
      </x:c>
      <x:c r="F31" s="256"/>
      <x:c r="G31" s="256" t="s">
        <x:v>207</x:v>
      </x:c>
      <x:c r="H31" s="258" t="b">
        <x:f aca="0">FALSE()</x:f>
        <x:v>0</x:v>
      </x:c>
      <x:c r="I31" s="259" t="n">
        <x:v>3</x:v>
      </x:c>
      <x:c r="J31" s="260"/>
      <x:c r="K31" s="260"/>
      <x:c r="L31" s="260"/>
      <x:c r="M31" s="260"/>
      <x:c r="N31" s="258" t="b">
        <x:f aca="0">FALSE()</x:f>
        <x:v>0</x:v>
      </x:c>
      <x:c r="O31" s="259" t="n">
        <x:v>3</x:v>
      </x:c>
      <x:c r="P31" s="260"/>
      <x:c r="Q31" s="260"/>
      <x:c r="R31" s="260"/>
      <x:c r="S31" s="260"/>
      <x:c r="T31" s="258" t="b">
        <x:f aca="0">FALSE()</x:f>
        <x:v>0</x:v>
      </x:c>
      <x:c r="U31" s="259" t="n">
        <x:v>3</x:v>
      </x:c>
      <x:c r="V31" s="260"/>
      <x:c r="W31" s="260"/>
      <x:c r="X31" s="260"/>
      <x:c r="Y31" s="260"/>
      <x:c r="Z31" s="261" t="b">
        <x:v>0</x:v>
      </x:c>
      <x:c r="AA31" s="259" t="n">
        <x:v>3</x:v>
      </x:c>
      <x:c r="AB31" s="382" t="b">
        <x:v>0</x:v>
      </x:c>
      <x:c r="AC31" s="262"/>
      <x:c r="AD31" s="287"/>
      <x:c r="AE31" s="287"/>
      <x:c r="AF31" s="287"/>
      <x:c r="AG31" s="377" t="n">
        <x:f>IF(COUNT(Scoring!X145:X151)&lt;&gt;ROWS(Scoring!X145:X151),"",ROUND(MAX(0,MIN(10,SUM(Scoring!X145:X151))),0))</x:f>
        <x:v>1</x:v>
      </x:c>
      <x:c r="AH31" s="328"/>
      <x:c r="AI31" s="329" t="n">
        <x:f>IF(COUNT(Scoring!H100:H103)&gt;0,MEDIAN(Scoring!H100:H103),"")</x:f>
        <x:v>100</x:v>
      </x:c>
      <x:c r="AJ31" s="329" t="str">
        <x:f>IF(COUNT(Scoring!I100:I103)&gt;0,MEDIAN(Scoring!I100:I103),"")</x:f>
      </x:c>
      <x:c r="AK31" s="340" t="n">
        <x:f>COUNT(Scoring!I100:I103)</x:f>
        <x:v>0</x:v>
      </x:c>
      <x:c r="AL31" s="340" t="n">
        <x:f>COUNT(Scoring!H100:H103)</x:f>
        <x:v>4</x:v>
      </x:c>
    </x:row>
    <x:row r="32" ht="88" hidden="0" customHeight="1">
      <x:c r="A32" s="223" t="n">
        <x:f aca="0">Strategy!$E$3+50</x:f>
        <x:v>46371.5</x:v>
      </x:c>
      <x:c r="B32" s="224" t="s">
        <x:v>61</x:v>
      </x:c>
      <x:c r="C32" s="224" t="s">
        <x:v>213</x:v>
      </x:c>
      <x:c r="D32" s="224" t="s">
        <x:v>209</x:v>
      </x:c>
      <x:c r="E32" s="224" t="n">
        <x:v>5</x:v>
      </x:c>
      <x:c r="F32" s="257"/>
      <x:c r="G32" s="257" t="s">
        <x:v>207</x:v>
      </x:c>
      <x:c r="H32" s="263" t="b">
        <x:f aca="0">FALSE()</x:f>
        <x:v>0</x:v>
      </x:c>
      <x:c r="I32" s="264" t="n">
        <x:v>0.0006944444444444445</x:v>
      </x:c>
      <x:c r="J32" s="265"/>
      <x:c r="K32" s="265"/>
      <x:c r="L32" s="265"/>
      <x:c r="M32" s="265"/>
      <x:c r="N32" s="263" t="b">
        <x:f aca="0">FALSE()</x:f>
        <x:v>0</x:v>
      </x:c>
      <x:c r="O32" s="264" t="n">
        <x:v>0.00011574074074074075</x:v>
      </x:c>
      <x:c r="P32" s="264" t="n">
        <x:v>0.00011574074074074075</x:v>
      </x:c>
      <x:c r="Q32" s="265"/>
      <x:c r="R32" s="265"/>
      <x:c r="S32" s="265"/>
      <x:c r="T32" s="263" t="b">
        <x:f aca="0">FALSE()</x:f>
        <x:v>0</x:v>
      </x:c>
      <x:c r="U32" s="264" t="n">
        <x:v>0.00011574074074074075</x:v>
      </x:c>
      <x:c r="V32" s="265"/>
      <x:c r="W32" s="265"/>
      <x:c r="X32" s="265"/>
      <x:c r="Y32" s="265"/>
      <x:c r="Z32" s="266" t="b">
        <x:v>0</x:v>
      </x:c>
      <x:c r="AA32" s="267"/>
      <x:c r="AB32" s="266" t="b">
        <x:v>0</x:v>
      </x:c>
      <x:c r="AC32" s="268"/>
      <x:c r="AD32" s="288"/>
      <x:c r="AE32" s="288"/>
      <x:c r="AF32" s="288"/>
      <x:c r="AG32" s="378" t="n">
        <x:f>IF(COUNT(Scoring!X152:X154)&lt;&gt;ROWS(Scoring!X152:X154),"",ROUND(MAX(0,MIN(10,SUM(Scoring!X152:X154))),0))</x:f>
        <x:v>1</x:v>
      </x:c>
      <x:c r="AH32" s="330"/>
      <x:c r="AI32" s="331" t="n">
        <x:f>IF(COUNT(Scoring!H104:H106)&gt;0,MEDIAN(Scoring!H104:H106),"")</x:f>
        <x:v>100</x:v>
      </x:c>
      <x:c r="AJ32" s="331" t="str">
        <x:f>IF(COUNT(Scoring!I104:I106)&gt;0,MEDIAN(Scoring!I104:I106),"")</x:f>
      </x:c>
      <x:c r="AK32" s="341" t="n">
        <x:f>COUNT(Scoring!I104:I106)</x:f>
        <x:v>0</x:v>
      </x:c>
      <x:c r="AL32" s="341" t="n">
        <x:f>COUNT(Scoring!H104:H106)</x:f>
        <x:v>3</x:v>
      </x:c>
    </x:row>
    <x:row r="33" ht="88" hidden="0" customHeight="1">
      <x:c r="A33" s="228" t="n">
        <x:f aca="0">Strategy!$E$3+52</x:f>
        <x:v>46373.5</x:v>
      </x:c>
      <x:c r="B33" s="229" t="s">
        <x:v>57</x:v>
      </x:c>
      <x:c r="C33" s="289" t="str">
        <x:f aca="0">SUBSTITUTE(SUBSTITUTE(SUBSTITUTE("10 min skills"&amp;CHAR(10)&amp;Strategy!I28,", B)",CHAR(10)&amp;"B)"),", C)",CHAR(10)&amp;"C)"),", Core:",CHAR(10)&amp;"Core:")</x:f>
        <x:v>10 min skills
A) Easy wall handstand: 1 x 15 sec
B) Easy pike push-up: 1 x 4
C) Assisted smooth pistol: 1 x 3/leg
Core: 3 rounds</x:v>
      </x:c>
      <x:c r="D33" s="229" t="s">
        <x:v>214</x:v>
      </x:c>
      <x:c r="E33" s="229" t="n">
        <x:v>33</x:v>
      </x:c>
      <x:c r="F33" s="256"/>
      <x:c r="G33" s="256" t="s">
        <x:v>207</x:v>
      </x:c>
      <x:c r="H33" s="258" t="b">
        <x:f aca="0">FALSE()</x:f>
        <x:v>0</x:v>
      </x:c>
      <x:c r="I33" s="269" t="n">
        <x:v>0.00017361111111111112</x:v>
      </x:c>
      <x:c r="J33" s="260"/>
      <x:c r="K33" s="260"/>
      <x:c r="L33" s="260"/>
      <x:c r="M33" s="260"/>
      <x:c r="N33" s="258" t="b">
        <x:f aca="0">FALSE()</x:f>
        <x:v>0</x:v>
      </x:c>
      <x:c r="O33" s="259" t="n">
        <x:v>4</x:v>
      </x:c>
      <x:c r="P33" s="260"/>
      <x:c r="Q33" s="260"/>
      <x:c r="R33" s="260"/>
      <x:c r="S33" s="260"/>
      <x:c r="T33" s="258" t="b">
        <x:f aca="0">FALSE()</x:f>
        <x:v>0</x:v>
      </x:c>
      <x:c r="U33" s="259" t="n">
        <x:v>3</x:v>
      </x:c>
      <x:c r="V33" s="260"/>
      <x:c r="W33" s="260"/>
      <x:c r="X33" s="260"/>
      <x:c r="Y33" s="260"/>
      <x:c r="Z33" s="261" t="b">
        <x:v>0</x:v>
      </x:c>
      <x:c r="AA33" s="259" t="n">
        <x:v>3</x:v>
      </x:c>
      <x:c r="AB33" s="382" t="b">
        <x:v>0</x:v>
      </x:c>
      <x:c r="AC33" s="262"/>
      <x:c r="AD33" s="287"/>
      <x:c r="AE33" s="287"/>
      <x:c r="AF33" s="287"/>
      <x:c r="AG33" s="377" t="n">
        <x:f>IF(COUNT(Scoring!X155:X161)&lt;&gt;ROWS(Scoring!X155:X161),"",ROUND(MAX(0,MIN(10,SUM(Scoring!X155:X161))),0))</x:f>
        <x:v>1</x:v>
      </x:c>
      <x:c r="AH33" s="328"/>
      <x:c r="AI33" s="329" t="n">
        <x:f>IF(COUNT(Scoring!H107:H110)&gt;0,MEDIAN(Scoring!H107:H110),"")</x:f>
        <x:v>100</x:v>
      </x:c>
      <x:c r="AJ33" s="329" t="str">
        <x:f>IF(COUNT(Scoring!I107:I110)&gt;0,MEDIAN(Scoring!I107:I110),"")</x:f>
      </x:c>
      <x:c r="AK33" s="340" t="n">
        <x:f>COUNT(Scoring!I107:I110)</x:f>
        <x:v>0</x:v>
      </x:c>
      <x:c r="AL33" s="340" t="n">
        <x:f>COUNT(Scoring!H107:H110)</x:f>
        <x:v>4</x:v>
      </x:c>
    </x:row>
    <x:row r="34" ht="88" hidden="0" customHeight="1">
      <x:c r="A34" s="223" t="n">
        <x:f aca="0">Strategy!$E$3+54</x:f>
        <x:v>46375.5</x:v>
      </x:c>
      <x:c r="B34" s="224" t="s">
        <x:v>61</x:v>
      </x:c>
      <x:c r="C34" s="224" t="s">
        <x:v>215</x:v>
      </x:c>
      <x:c r="D34" s="224" t="s">
        <x:v>212</x:v>
      </x:c>
      <x:c r="E34" s="224" t="n">
        <x:v>10</x:v>
      </x:c>
      <x:c r="F34" s="257"/>
      <x:c r="G34" s="257" t="s">
        <x:v>207</x:v>
      </x:c>
      <x:c r="H34" s="263" t="b">
        <x:f aca="0">FALSE()</x:f>
        <x:v>0</x:v>
      </x:c>
      <x:c r="I34" s="264" t="n">
        <x:v>0.0006944444444444445</x:v>
      </x:c>
      <x:c r="J34" s="265"/>
      <x:c r="K34" s="265"/>
      <x:c r="L34" s="265"/>
      <x:c r="M34" s="265"/>
      <x:c r="N34" s="263" t="b">
        <x:f aca="0">FALSE()</x:f>
        <x:v>0</x:v>
      </x:c>
      <x:c r="O34" s="264" t="n">
        <x:v>0.00011574074074074075</x:v>
      </x:c>
      <x:c r="P34" s="264" t="n">
        <x:v>0.00011574074074074075</x:v>
      </x:c>
      <x:c r="Q34" s="265"/>
      <x:c r="R34" s="265"/>
      <x:c r="S34" s="265"/>
      <x:c r="T34" s="263" t="b">
        <x:f aca="0">FALSE()</x:f>
        <x:v>0</x:v>
      </x:c>
      <x:c r="U34" s="264" t="n">
        <x:v>0.00011574074074074075</x:v>
      </x:c>
      <x:c r="V34" s="265"/>
      <x:c r="W34" s="265"/>
      <x:c r="X34" s="265"/>
      <x:c r="Y34" s="265"/>
      <x:c r="Z34" s="266" t="b">
        <x:v>0</x:v>
      </x:c>
      <x:c r="AA34" s="267"/>
      <x:c r="AB34" s="266" t="b">
        <x:v>0</x:v>
      </x:c>
      <x:c r="AC34" s="268"/>
      <x:c r="AD34" s="288"/>
      <x:c r="AE34" s="288"/>
      <x:c r="AF34" s="288"/>
      <x:c r="AG34" s="378" t="n">
        <x:f>IF(COUNT(Scoring!X162:X164)&lt;&gt;ROWS(Scoring!X162:X164),"",ROUND(MAX(0,MIN(10,SUM(Scoring!X162:X164))),0))</x:f>
        <x:v>1</x:v>
      </x:c>
      <x:c r="AH34" s="330"/>
      <x:c r="AI34" s="331" t="n">
        <x:f>IF(COUNT(Scoring!H111:H113)&gt;0,MEDIAN(Scoring!H111:H113),"")</x:f>
        <x:v>100</x:v>
      </x:c>
      <x:c r="AJ34" s="331" t="str">
        <x:f>IF(COUNT(Scoring!I111:I113)&gt;0,MEDIAN(Scoring!I111:I113),"")</x:f>
      </x:c>
      <x:c r="AK34" s="341" t="n">
        <x:f>COUNT(Scoring!I111:I113)</x:f>
        <x:v>0</x:v>
      </x:c>
      <x:c r="AL34" s="341" t="n">
        <x:f>COUNT(Scoring!H111:H113)</x:f>
        <x:v>3</x:v>
      </x:c>
    </x:row>
    <x:row r="35" ht="88" hidden="0" customHeight="1">
      <x:c r="A35" s="228" t="n">
        <x:f aca="0">Strategy!$E$3+56</x:f>
        <x:v>46377.5</x:v>
      </x:c>
      <x:c r="B35" s="229" t="s">
        <x:v>53</x:v>
      </x:c>
      <x:c r="C35" s="289" t="str">
        <x:f aca="0">SUBSTITUTE(SUBSTITUTE(SUBSTITUTE("35 min skills"&amp;CHAR(10)&amp;Strategy!H29,", B)",CHAR(10)&amp;"B)"),", C)",CHAR(10)&amp;"C)"),", Core:",CHAR(10)&amp;"Core:")</x:f>
        <x:v>35 min skills
A) Light-band or strict muscle-up: 3 x 1
B) Stronger-band back-off muscle-up: 2 x 2
C) Unassisted pistol: 3 x 1/leg
Core: 5 rounds</x:v>
      </x:c>
      <x:c r="D35" s="229" t="s">
        <x:v>206</x:v>
      </x:c>
      <x:c r="E35" s="229" t="n">
        <x:v>65</x:v>
      </x:c>
      <x:c r="F35" s="256"/>
      <x:c r="G35" s="256" t="s">
        <x:v>207</x:v>
      </x:c>
      <x:c r="H35" s="258" t="b">
        <x:f aca="0">FALSE()</x:f>
        <x:v>0</x:v>
      </x:c>
      <x:c r="I35" s="259" t="n">
        <x:v>1</x:v>
      </x:c>
      <x:c r="J35" s="259" t="n">
        <x:v>1</x:v>
      </x:c>
      <x:c r="K35" s="259" t="n">
        <x:v>1</x:v>
      </x:c>
      <x:c r="L35" s="260"/>
      <x:c r="M35" s="260"/>
      <x:c r="N35" s="258" t="b">
        <x:f aca="0">FALSE()</x:f>
        <x:v>0</x:v>
      </x:c>
      <x:c r="O35" s="259" t="n">
        <x:v>2</x:v>
      </x:c>
      <x:c r="P35" s="259" t="n">
        <x:v>2</x:v>
      </x:c>
      <x:c r="Q35" s="260"/>
      <x:c r="R35" s="260"/>
      <x:c r="S35" s="260"/>
      <x:c r="T35" s="258" t="b">
        <x:f aca="0">FALSE()</x:f>
        <x:v>0</x:v>
      </x:c>
      <x:c r="U35" s="259" t="n">
        <x:v>1</x:v>
      </x:c>
      <x:c r="V35" s="259" t="n">
        <x:v>1</x:v>
      </x:c>
      <x:c r="W35" s="259" t="n">
        <x:v>1</x:v>
      </x:c>
      <x:c r="X35" s="260"/>
      <x:c r="Y35" s="260"/>
      <x:c r="Z35" s="261" t="b">
        <x:v>0</x:v>
      </x:c>
      <x:c r="AA35" s="259" t="n">
        <x:v>5</x:v>
      </x:c>
      <x:c r="AB35" s="382" t="b">
        <x:v>0</x:v>
      </x:c>
      <x:c r="AC35" s="262"/>
      <x:c r="AD35" s="287"/>
      <x:c r="AE35" s="287"/>
      <x:c r="AF35" s="287"/>
      <x:c r="AG35" s="377" t="n">
        <x:f>IF(COUNT(Scoring!X165:X171)&lt;&gt;ROWS(Scoring!X165:X171),"",ROUND(MAX(0,MIN(10,SUM(Scoring!X165:X171))),0))</x:f>
        <x:v>3</x:v>
      </x:c>
      <x:c r="AH35" s="328"/>
      <x:c r="AI35" s="329" t="n">
        <x:f>IF(COUNT(Scoring!H114:H117)&gt;0,MEDIAN(Scoring!H114:H117),"")</x:f>
        <x:v>100</x:v>
      </x:c>
      <x:c r="AJ35" s="329" t="str">
        <x:f>IF(COUNT(Scoring!I114:I117)&gt;0,MEDIAN(Scoring!I114:I117),"")</x:f>
      </x:c>
      <x:c r="AK35" s="340" t="n">
        <x:f>COUNT(Scoring!I114:I117)</x:f>
        <x:v>0</x:v>
      </x:c>
      <x:c r="AL35" s="340" t="n">
        <x:f>COUNT(Scoring!H114:H117)</x:f>
        <x:v>4</x:v>
      </x:c>
    </x:row>
    <x:row r="36" ht="88" hidden="0" customHeight="1">
      <x:c r="A36" s="223" t="n">
        <x:f aca="0">Strategy!$E$3+57</x:f>
        <x:v>46378.5</x:v>
      </x:c>
      <x:c r="B36" s="224" t="s">
        <x:v>61</x:v>
      </x:c>
      <x:c r="C36" s="224" t="s">
        <x:v>208</x:v>
      </x:c>
      <x:c r="D36" s="224" t="s">
        <x:v>209</x:v>
      </x:c>
      <x:c r="E36" s="224" t="n">
        <x:v>10</x:v>
      </x:c>
      <x:c r="F36" s="257"/>
      <x:c r="G36" s="257" t="s">
        <x:v>207</x:v>
      </x:c>
      <x:c r="H36" s="263" t="b">
        <x:f aca="0">FALSE()</x:f>
        <x:v>0</x:v>
      </x:c>
      <x:c r="I36" s="264" t="n">
        <x:v>0.001388888888888889</x:v>
      </x:c>
      <x:c r="J36" s="265"/>
      <x:c r="K36" s="265"/>
      <x:c r="L36" s="265"/>
      <x:c r="M36" s="265"/>
      <x:c r="N36" s="263" t="b">
        <x:f aca="0">FALSE()</x:f>
        <x:v>0</x:v>
      </x:c>
      <x:c r="O36" s="264" t="n">
        <x:v>0.00017361111111111112</x:v>
      </x:c>
      <x:c r="P36" s="264" t="n">
        <x:v>0.00017361111111111112</x:v>
      </x:c>
      <x:c r="Q36" s="264" t="n">
        <x:v>0.00017361111111111112</x:v>
      </x:c>
      <x:c r="R36" s="265"/>
      <x:c r="S36" s="265"/>
      <x:c r="T36" s="263" t="b">
        <x:f aca="0">FALSE()</x:f>
        <x:v>0</x:v>
      </x:c>
      <x:c r="U36" s="264" t="n">
        <x:v>0.00017361111111111112</x:v>
      </x:c>
      <x:c r="V36" s="264" t="n">
        <x:v>0.00017361111111111112</x:v>
      </x:c>
      <x:c r="W36" s="265"/>
      <x:c r="X36" s="265"/>
      <x:c r="Y36" s="265"/>
      <x:c r="Z36" s="266" t="b">
        <x:v>0</x:v>
      </x:c>
      <x:c r="AA36" s="267"/>
      <x:c r="AB36" s="266" t="b">
        <x:v>0</x:v>
      </x:c>
      <x:c r="AC36" s="268"/>
      <x:c r="AD36" s="288"/>
      <x:c r="AE36" s="288"/>
      <x:c r="AF36" s="288"/>
      <x:c r="AG36" s="378" t="n">
        <x:f>IF(COUNT(Scoring!X172:X174)&lt;&gt;ROWS(Scoring!X172:X174),"",ROUND(MAX(0,MIN(10,SUM(Scoring!X172:X174))),0))</x:f>
        <x:v>1</x:v>
      </x:c>
      <x:c r="AH36" s="330"/>
      <x:c r="AI36" s="331" t="n">
        <x:f>IF(COUNT(Scoring!H118:H120)&gt;0,MEDIAN(Scoring!H118:H120),"")</x:f>
        <x:v>100</x:v>
      </x:c>
      <x:c r="AJ36" s="331" t="str">
        <x:f>IF(COUNT(Scoring!I118:I120)&gt;0,MEDIAN(Scoring!I118:I120),"")</x:f>
      </x:c>
      <x:c r="AK36" s="341" t="n">
        <x:f>COUNT(Scoring!I118:I120)</x:f>
        <x:v>0</x:v>
      </x:c>
      <x:c r="AL36" s="341" t="n">
        <x:f>COUNT(Scoring!H118:H120)</x:f>
        <x:v>3</x:v>
      </x:c>
    </x:row>
    <x:row r="37" ht="88" hidden="0" customHeight="1">
      <x:c r="A37" s="228" t="n">
        <x:f aca="0">Strategy!$E$3+59</x:f>
        <x:v>46380.5</x:v>
      </x:c>
      <x:c r="B37" s="229" t="s">
        <x:v>57</x:v>
      </x:c>
      <x:c r="C37" s="289" t="str">
        <x:f aca="0">SUBSTITUTE(SUBSTITUTE(SUBSTITUTE("35 min skills"&amp;CHAR(10)&amp;Strategy!I29,", B)",CHAR(10)&amp;"B)"),", C)",CHAR(10)&amp;"C)"),", Core:",CHAR(10)&amp;"Core:")</x:f>
        <x:v>35 min skills
A) Full-ROM wall HSPU negative: 3 x 1
B) Partial wall HSPU: 3 x 3
C) Unassisted pistol: 3 x 1/leg
Core: 5 rounds</x:v>
      </x:c>
      <x:c r="D37" s="229" t="s">
        <x:v>210</x:v>
      </x:c>
      <x:c r="E37" s="229" t="n">
        <x:v>65</x:v>
      </x:c>
      <x:c r="F37" s="256"/>
      <x:c r="G37" s="256" t="s">
        <x:v>207</x:v>
      </x:c>
      <x:c r="H37" s="258" t="b">
        <x:f aca="0">FALSE()</x:f>
        <x:v>0</x:v>
      </x:c>
      <x:c r="I37" s="259" t="n">
        <x:v>1</x:v>
      </x:c>
      <x:c r="J37" s="259" t="n">
        <x:v>1</x:v>
      </x:c>
      <x:c r="K37" s="259" t="n">
        <x:v>1</x:v>
      </x:c>
      <x:c r="L37" s="260"/>
      <x:c r="M37" s="260"/>
      <x:c r="N37" s="258" t="b">
        <x:f aca="0">FALSE()</x:f>
        <x:v>0</x:v>
      </x:c>
      <x:c r="O37" s="259" t="n">
        <x:v>3</x:v>
      </x:c>
      <x:c r="P37" s="259" t="n">
        <x:v>3</x:v>
      </x:c>
      <x:c r="Q37" s="259" t="n">
        <x:v>3</x:v>
      </x:c>
      <x:c r="R37" s="260"/>
      <x:c r="S37" s="260"/>
      <x:c r="T37" s="258" t="b">
        <x:f aca="0">FALSE()</x:f>
        <x:v>0</x:v>
      </x:c>
      <x:c r="U37" s="259" t="n">
        <x:v>1</x:v>
      </x:c>
      <x:c r="V37" s="259" t="n">
        <x:v>1</x:v>
      </x:c>
      <x:c r="W37" s="259" t="n">
        <x:v>1</x:v>
      </x:c>
      <x:c r="X37" s="260"/>
      <x:c r="Y37" s="260"/>
      <x:c r="Z37" s="261" t="b">
        <x:v>0</x:v>
      </x:c>
      <x:c r="AA37" s="259" t="n">
        <x:v>5</x:v>
      </x:c>
      <x:c r="AB37" s="382" t="b">
        <x:v>0</x:v>
      </x:c>
      <x:c r="AC37" s="262"/>
      <x:c r="AD37" s="287"/>
      <x:c r="AE37" s="287"/>
      <x:c r="AF37" s="287"/>
      <x:c r="AG37" s="377" t="n">
        <x:f>IF(COUNT(Scoring!X175:X181)&lt;&gt;ROWS(Scoring!X175:X181),"",ROUND(MAX(0,MIN(10,SUM(Scoring!X175:X181))),0))</x:f>
        <x:v>3</x:v>
      </x:c>
      <x:c r="AH37" s="328"/>
      <x:c r="AI37" s="329" t="n">
        <x:f>IF(COUNT(Scoring!H121:H124)&gt;0,MEDIAN(Scoring!H121:H124),"")</x:f>
        <x:v>100</x:v>
      </x:c>
      <x:c r="AJ37" s="329" t="str">
        <x:f>IF(COUNT(Scoring!I121:I124)&gt;0,MEDIAN(Scoring!I121:I124),"")</x:f>
      </x:c>
      <x:c r="AK37" s="340" t="n">
        <x:f>COUNT(Scoring!I121:I124)</x:f>
        <x:v>0</x:v>
      </x:c>
      <x:c r="AL37" s="340" t="n">
        <x:f>COUNT(Scoring!H121:H124)</x:f>
        <x:v>4</x:v>
      </x:c>
    </x:row>
    <x:row r="38" ht="88" hidden="0" customHeight="1">
      <x:c r="A38" s="223" t="n">
        <x:f aca="0">Strategy!$E$3+61</x:f>
        <x:v>46382.5</x:v>
      </x:c>
      <x:c r="B38" s="224" t="s">
        <x:v>61</x:v>
      </x:c>
      <x:c r="C38" s="224" t="s">
        <x:v>211</x:v>
      </x:c>
      <x:c r="D38" s="224" t="s">
        <x:v>212</x:v>
      </x:c>
      <x:c r="E38" s="224" t="n">
        <x:v>20</x:v>
      </x:c>
      <x:c r="F38" s="257"/>
      <x:c r="G38" s="257" t="s">
        <x:v>207</x:v>
      </x:c>
      <x:c r="H38" s="263" t="b">
        <x:f aca="0">FALSE()</x:f>
        <x:v>0</x:v>
      </x:c>
      <x:c r="I38" s="264" t="n">
        <x:v>0.001388888888888889</x:v>
      </x:c>
      <x:c r="J38" s="265"/>
      <x:c r="K38" s="265"/>
      <x:c r="L38" s="265"/>
      <x:c r="M38" s="265"/>
      <x:c r="N38" s="263" t="b">
        <x:f aca="0">FALSE()</x:f>
        <x:v>0</x:v>
      </x:c>
      <x:c r="O38" s="264" t="n">
        <x:v>0.00017361111111111112</x:v>
      </x:c>
      <x:c r="P38" s="264" t="n">
        <x:v>0.00017361111111111112</x:v>
      </x:c>
      <x:c r="Q38" s="264" t="n">
        <x:v>0.00017361111111111112</x:v>
      </x:c>
      <x:c r="R38" s="265"/>
      <x:c r="S38" s="265"/>
      <x:c r="T38" s="263" t="b">
        <x:f aca="0">FALSE()</x:f>
        <x:v>0</x:v>
      </x:c>
      <x:c r="U38" s="264" t="n">
        <x:v>0.00017361111111111112</x:v>
      </x:c>
      <x:c r="V38" s="264" t="n">
        <x:v>0.00017361111111111112</x:v>
      </x:c>
      <x:c r="W38" s="264" t="n">
        <x:v>0.00017361111111111112</x:v>
      </x:c>
      <x:c r="X38" s="265"/>
      <x:c r="Y38" s="265"/>
      <x:c r="Z38" s="266" t="b">
        <x:v>0</x:v>
      </x:c>
      <x:c r="AA38" s="267"/>
      <x:c r="AB38" s="266" t="b">
        <x:v>0</x:v>
      </x:c>
      <x:c r="AC38" s="268"/>
      <x:c r="AD38" s="288"/>
      <x:c r="AE38" s="288"/>
      <x:c r="AF38" s="288"/>
      <x:c r="AG38" s="378" t="n">
        <x:f>IF(COUNT(Scoring!X182:X184)&lt;&gt;ROWS(Scoring!X182:X184),"",ROUND(MAX(0,MIN(10,SUM(Scoring!X182:X184))),0))</x:f>
        <x:v>1</x:v>
      </x:c>
      <x:c r="AH38" s="330"/>
      <x:c r="AI38" s="331" t="n">
        <x:f>IF(COUNT(Scoring!H125:H127)&gt;0,MEDIAN(Scoring!H125:H127),"")</x:f>
        <x:v>100</x:v>
      </x:c>
      <x:c r="AJ38" s="331" t="str">
        <x:f>IF(COUNT(Scoring!I125:I127)&gt;0,MEDIAN(Scoring!I125:I127),"")</x:f>
      </x:c>
      <x:c r="AK38" s="341" t="n">
        <x:f>COUNT(Scoring!I125:I127)</x:f>
        <x:v>0</x:v>
      </x:c>
      <x:c r="AL38" s="341" t="n">
        <x:f>COUNT(Scoring!H125:H127)</x:f>
        <x:v>3</x:v>
      </x:c>
    </x:row>
    <x:row r="39" ht="88" hidden="0" customHeight="1">
      <x:c r="A39" s="228" t="n">
        <x:f aca="0">Strategy!$E$3+63</x:f>
        <x:v>46384.5</x:v>
      </x:c>
      <x:c r="B39" s="229" t="s">
        <x:v>53</x:v>
      </x:c>
      <x:c r="C39" s="289" t="str">
        <x:f aca="0">SUBSTITUTE(SUBSTITUTE(SUBSTITUTE("35 min skills"&amp;CHAR(10)&amp;Strategy!H30,", B)",CHAR(10)&amp;"B)"),", C)",CHAR(10)&amp;"C)"),", Core:",CHAR(10)&amp;"Core:")</x:f>
        <x:v>35 min skills
A) Quality muscle-up attempts: 3-5 singles
B) Band-assisted muscle-up: 2 x 2
C) Pistol clusters: 3 x (1+1)/leg (20 sec between reps)
Core: 5 rounds</x:v>
      </x:c>
      <x:c r="D39" s="229" t="s">
        <x:v>206</x:v>
      </x:c>
      <x:c r="E39" s="229" t="n">
        <x:v>65</x:v>
      </x:c>
      <x:c r="F39" s="256"/>
      <x:c r="G39" s="256" t="s">
        <x:v>207</x:v>
      </x:c>
      <x:c r="H39" s="258" t="b">
        <x:f aca="0">FALSE()</x:f>
        <x:v>0</x:v>
      </x:c>
      <x:c r="I39" s="259" t="n">
        <x:v>1</x:v>
      </x:c>
      <x:c r="J39" s="259" t="n">
        <x:v>1</x:v>
      </x:c>
      <x:c r="K39" s="259" t="n">
        <x:v>1</x:v>
      </x:c>
      <x:c r="L39" s="260"/>
      <x:c r="M39" s="260"/>
      <x:c r="N39" s="258" t="b">
        <x:f aca="0">FALSE()</x:f>
        <x:v>0</x:v>
      </x:c>
      <x:c r="O39" s="259" t="n">
        <x:v>2</x:v>
      </x:c>
      <x:c r="P39" s="259" t="n">
        <x:v>2</x:v>
      </x:c>
      <x:c r="Q39" s="260"/>
      <x:c r="R39" s="260"/>
      <x:c r="S39" s="260"/>
      <x:c r="T39" s="258" t="b">
        <x:f aca="0">FALSE()</x:f>
        <x:v>0</x:v>
      </x:c>
      <x:c r="U39" s="259" t="n">
        <x:v>2</x:v>
      </x:c>
      <x:c r="V39" s="259" t="n">
        <x:v>2</x:v>
      </x:c>
      <x:c r="W39" s="259" t="n">
        <x:v>2</x:v>
      </x:c>
      <x:c r="X39" s="260"/>
      <x:c r="Y39" s="260"/>
      <x:c r="Z39" s="261" t="b">
        <x:v>0</x:v>
      </x:c>
      <x:c r="AA39" s="259" t="n">
        <x:v>5</x:v>
      </x:c>
      <x:c r="AB39" s="382" t="b">
        <x:v>0</x:v>
      </x:c>
      <x:c r="AC39" s="262"/>
      <x:c r="AD39" s="287"/>
      <x:c r="AE39" s="287"/>
      <x:c r="AF39" s="287"/>
      <x:c r="AG39" s="377" t="n">
        <x:f>IF(COUNT(Scoring!X185:X191)&lt;&gt;ROWS(Scoring!X185:X191),"",ROUND(MAX(0,MIN(10,SUM(Scoring!X185:X191))),0))</x:f>
        <x:v>5</x:v>
      </x:c>
      <x:c r="AH39" s="328"/>
      <x:c r="AI39" s="329" t="n">
        <x:f>IF(COUNT(Scoring!H128:H129)&gt;0,MEDIAN(Scoring!H128:H129),"")</x:f>
        <x:v>100</x:v>
      </x:c>
      <x:c r="AJ39" s="329" t="str">
        <x:f>IF(COUNT(Scoring!I128:I129)&gt;0,MEDIAN(Scoring!I128:I129),"")</x:f>
      </x:c>
      <x:c r="AK39" s="340" t="n">
        <x:f>COUNT(Scoring!I128:I129)</x:f>
        <x:v>0</x:v>
      </x:c>
      <x:c r="AL39" s="340" t="n">
        <x:f>COUNT(Scoring!H128:H129)</x:f>
        <x:v>2</x:v>
      </x:c>
    </x:row>
    <x:row r="40" ht="88" hidden="0" customHeight="1">
      <x:c r="A40" s="223" t="n">
        <x:f aca="0">Strategy!$E$3+64</x:f>
        <x:v>46385.5</x:v>
      </x:c>
      <x:c r="B40" s="224" t="s">
        <x:v>61</x:v>
      </x:c>
      <x:c r="C40" s="224" t="s">
        <x:v>208</x:v>
      </x:c>
      <x:c r="D40" s="224" t="s">
        <x:v>209</x:v>
      </x:c>
      <x:c r="E40" s="224" t="n">
        <x:v>10</x:v>
      </x:c>
      <x:c r="F40" s="257"/>
      <x:c r="G40" s="257" t="s">
        <x:v>207</x:v>
      </x:c>
      <x:c r="H40" s="263" t="b">
        <x:f aca="0">FALSE()</x:f>
        <x:v>0</x:v>
      </x:c>
      <x:c r="I40" s="264" t="n">
        <x:v>0.001388888888888889</x:v>
      </x:c>
      <x:c r="J40" s="265"/>
      <x:c r="K40" s="265"/>
      <x:c r="L40" s="265"/>
      <x:c r="M40" s="265"/>
      <x:c r="N40" s="263" t="b">
        <x:f aca="0">FALSE()</x:f>
        <x:v>0</x:v>
      </x:c>
      <x:c r="O40" s="264" t="n">
        <x:v>0.00017361111111111112</x:v>
      </x:c>
      <x:c r="P40" s="264" t="n">
        <x:v>0.00017361111111111112</x:v>
      </x:c>
      <x:c r="Q40" s="264" t="n">
        <x:v>0.00017361111111111112</x:v>
      </x:c>
      <x:c r="R40" s="265"/>
      <x:c r="S40" s="265"/>
      <x:c r="T40" s="263" t="b">
        <x:f aca="0">FALSE()</x:f>
        <x:v>0</x:v>
      </x:c>
      <x:c r="U40" s="264" t="n">
        <x:v>0.00017361111111111112</x:v>
      </x:c>
      <x:c r="V40" s="264" t="n">
        <x:v>0.00017361111111111112</x:v>
      </x:c>
      <x:c r="W40" s="265"/>
      <x:c r="X40" s="265"/>
      <x:c r="Y40" s="265"/>
      <x:c r="Z40" s="266" t="b">
        <x:v>0</x:v>
      </x:c>
      <x:c r="AA40" s="267"/>
      <x:c r="AB40" s="266" t="b">
        <x:v>0</x:v>
      </x:c>
      <x:c r="AC40" s="268"/>
      <x:c r="AD40" s="288"/>
      <x:c r="AE40" s="288"/>
      <x:c r="AF40" s="288"/>
      <x:c r="AG40" s="378" t="n">
        <x:f>IF(COUNT(Scoring!X192:X194)&lt;&gt;ROWS(Scoring!X192:X194),"",ROUND(MAX(0,MIN(10,SUM(Scoring!X192:X194))),0))</x:f>
        <x:v>1</x:v>
      </x:c>
      <x:c r="AH40" s="330"/>
      <x:c r="AI40" s="331" t="n">
        <x:f>IF(COUNT(Scoring!H130:H132)&gt;0,MEDIAN(Scoring!H130:H132),"")</x:f>
        <x:v>100</x:v>
      </x:c>
      <x:c r="AJ40" s="331" t="str">
        <x:f>IF(COUNT(Scoring!I130:I132)&gt;0,MEDIAN(Scoring!I130:I132),"")</x:f>
      </x:c>
      <x:c r="AK40" s="341" t="n">
        <x:f>COUNT(Scoring!I130:I132)</x:f>
        <x:v>0</x:v>
      </x:c>
      <x:c r="AL40" s="341" t="n">
        <x:f>COUNT(Scoring!H130:H132)</x:f>
        <x:v>3</x:v>
      </x:c>
    </x:row>
    <x:row r="41" ht="88" hidden="0" customHeight="1">
      <x:c r="A41" s="228" t="n">
        <x:f aca="0">Strategy!$E$3+66</x:f>
        <x:v>46387.5</x:v>
      </x:c>
      <x:c r="B41" s="229" t="s">
        <x:v>57</x:v>
      </x:c>
      <x:c r="C41" s="289" t="str">
        <x:f aca="0">SUBSTITUTE(SUBSTITUTE(SUBSTITUTE("35 min skills"&amp;CHAR(10)&amp;Strategy!I30,", B)",CHAR(10)&amp;"B)"),", C)",CHAR(10)&amp;"C)"),", Core:",CHAR(10)&amp;"Core:")</x:f>
        <x:v>35 min skills
A) Wall HSPU clusters: 3 x (1+1) (20 sec between reps)
B) Easy wall handstand: 2 x 20 sec
C) Pistol clusters: 3 x (1+1)/leg (20 sec between reps)
Core: 5 rounds</x:v>
      </x:c>
      <x:c r="D41" s="229" t="s">
        <x:v>210</x:v>
      </x:c>
      <x:c r="E41" s="229" t="n">
        <x:v>65</x:v>
      </x:c>
      <x:c r="F41" s="256"/>
      <x:c r="G41" s="256" t="s">
        <x:v>207</x:v>
      </x:c>
      <x:c r="H41" s="258" t="b">
        <x:f aca="0">FALSE()</x:f>
        <x:v>0</x:v>
      </x:c>
      <x:c r="I41" s="259" t="n">
        <x:v>2</x:v>
      </x:c>
      <x:c r="J41" s="259" t="n">
        <x:v>2</x:v>
      </x:c>
      <x:c r="K41" s="259" t="n">
        <x:v>2</x:v>
      </x:c>
      <x:c r="L41" s="260"/>
      <x:c r="M41" s="260"/>
      <x:c r="N41" s="258" t="b">
        <x:f aca="0">FALSE()</x:f>
        <x:v>0</x:v>
      </x:c>
      <x:c r="O41" s="269" t="n">
        <x:v>0.0002314814814814815</x:v>
      </x:c>
      <x:c r="P41" s="269" t="n">
        <x:v>0.0002314814814814815</x:v>
      </x:c>
      <x:c r="Q41" s="260"/>
      <x:c r="R41" s="260"/>
      <x:c r="S41" s="260"/>
      <x:c r="T41" s="258" t="b">
        <x:f aca="0">FALSE()</x:f>
        <x:v>0</x:v>
      </x:c>
      <x:c r="U41" s="259" t="n">
        <x:v>2</x:v>
      </x:c>
      <x:c r="V41" s="259" t="n">
        <x:v>2</x:v>
      </x:c>
      <x:c r="W41" s="259" t="n">
        <x:v>2</x:v>
      </x:c>
      <x:c r="X41" s="260"/>
      <x:c r="Y41" s="260"/>
      <x:c r="Z41" s="261" t="b">
        <x:v>0</x:v>
      </x:c>
      <x:c r="AA41" s="259" t="n">
        <x:v>5</x:v>
      </x:c>
      <x:c r="AB41" s="382" t="b">
        <x:v>0</x:v>
      </x:c>
      <x:c r="AC41" s="262"/>
      <x:c r="AD41" s="287"/>
      <x:c r="AE41" s="287"/>
      <x:c r="AF41" s="287"/>
      <x:c r="AG41" s="377" t="n">
        <x:f>IF(COUNT(Scoring!X195:X201)&lt;&gt;ROWS(Scoring!X195:X201),"",ROUND(MAX(0,MIN(10,SUM(Scoring!X195:X201))),0))</x:f>
        <x:v>4</x:v>
      </x:c>
      <x:c r="AH41" s="328"/>
      <x:c r="AI41" s="329" t="n">
        <x:f>IF(COUNT(Scoring!H133:H134)&gt;0,MEDIAN(Scoring!H133:H134),"")</x:f>
        <x:v>100</x:v>
      </x:c>
      <x:c r="AJ41" s="329" t="str">
        <x:f>IF(COUNT(Scoring!I133:I134)&gt;0,MEDIAN(Scoring!I133:I134),"")</x:f>
      </x:c>
      <x:c r="AK41" s="340" t="n">
        <x:f>COUNT(Scoring!I133:I134)</x:f>
        <x:v>0</x:v>
      </x:c>
      <x:c r="AL41" s="340" t="n">
        <x:f>COUNT(Scoring!H133:H134)</x:f>
        <x:v>2</x:v>
      </x:c>
    </x:row>
    <x:row r="42" ht="88" hidden="0" customHeight="1">
      <x:c r="A42" s="223" t="n">
        <x:f aca="0">Strategy!$E$3+68</x:f>
        <x:v>46389.5</x:v>
      </x:c>
      <x:c r="B42" s="224" t="s">
        <x:v>61</x:v>
      </x:c>
      <x:c r="C42" s="224" t="s">
        <x:v>211</x:v>
      </x:c>
      <x:c r="D42" s="224" t="s">
        <x:v>212</x:v>
      </x:c>
      <x:c r="E42" s="224" t="n">
        <x:v>20</x:v>
      </x:c>
      <x:c r="F42" s="257"/>
      <x:c r="G42" s="257" t="s">
        <x:v>207</x:v>
      </x:c>
      <x:c r="H42" s="263" t="b">
        <x:f aca="0">FALSE()</x:f>
        <x:v>0</x:v>
      </x:c>
      <x:c r="I42" s="264" t="n">
        <x:v>0.001388888888888889</x:v>
      </x:c>
      <x:c r="J42" s="265"/>
      <x:c r="K42" s="265"/>
      <x:c r="L42" s="265"/>
      <x:c r="M42" s="265"/>
      <x:c r="N42" s="263" t="b">
        <x:f aca="0">FALSE()</x:f>
        <x:v>0</x:v>
      </x:c>
      <x:c r="O42" s="264" t="n">
        <x:v>0.00017361111111111112</x:v>
      </x:c>
      <x:c r="P42" s="264" t="n">
        <x:v>0.00017361111111111112</x:v>
      </x:c>
      <x:c r="Q42" s="264" t="n">
        <x:v>0.00017361111111111112</x:v>
      </x:c>
      <x:c r="R42" s="265"/>
      <x:c r="S42" s="265"/>
      <x:c r="T42" s="263" t="b">
        <x:f aca="0">FALSE()</x:f>
        <x:v>0</x:v>
      </x:c>
      <x:c r="U42" s="264" t="n">
        <x:v>0.00017361111111111112</x:v>
      </x:c>
      <x:c r="V42" s="264" t="n">
        <x:v>0.00017361111111111112</x:v>
      </x:c>
      <x:c r="W42" s="264" t="n">
        <x:v>0.00017361111111111112</x:v>
      </x:c>
      <x:c r="X42" s="265"/>
      <x:c r="Y42" s="265"/>
      <x:c r="Z42" s="266" t="b">
        <x:v>0</x:v>
      </x:c>
      <x:c r="AA42" s="267"/>
      <x:c r="AB42" s="266" t="b">
        <x:v>0</x:v>
      </x:c>
      <x:c r="AC42" s="268"/>
      <x:c r="AD42" s="288"/>
      <x:c r="AE42" s="288"/>
      <x:c r="AF42" s="288"/>
      <x:c r="AG42" s="378" t="n">
        <x:f>IF(COUNT(Scoring!X202:X204)&lt;&gt;ROWS(Scoring!X202:X204),"",ROUND(MAX(0,MIN(10,SUM(Scoring!X202:X204))),0))</x:f>
        <x:v>1</x:v>
      </x:c>
      <x:c r="AH42" s="330"/>
      <x:c r="AI42" s="331" t="n">
        <x:f>IF(COUNT(Scoring!H135:H137)&gt;0,MEDIAN(Scoring!H135:H137),"")</x:f>
        <x:v>100</x:v>
      </x:c>
      <x:c r="AJ42" s="331" t="str">
        <x:f>IF(COUNT(Scoring!I135:I137)&gt;0,MEDIAN(Scoring!I135:I137),"")</x:f>
      </x:c>
      <x:c r="AK42" s="341" t="n">
        <x:f>COUNT(Scoring!I135:I137)</x:f>
        <x:v>0</x:v>
      </x:c>
      <x:c r="AL42" s="341" t="n">
        <x:f>COUNT(Scoring!H135:H137)</x:f>
        <x:v>3</x:v>
      </x:c>
    </x:row>
    <x:row r="43" ht="88" hidden="0" customHeight="1">
      <x:c r="A43" s="228" t="n">
        <x:f aca="0">Strategy!$E$3+70</x:f>
        <x:v>46391.5</x:v>
      </x:c>
      <x:c r="B43" s="229" t="s">
        <x:v>53</x:v>
      </x:c>
      <x:c r="C43" s="289" t="str">
        <x:f aca="0">SUBSTITUTE(SUBSTITUTE(SUBSTITUTE("35 min skills"&amp;CHAR(10)&amp;Strategy!H31,", B)",CHAR(10)&amp;"B)"),", C)",CHAR(10)&amp;"C)"),", Core:",CHAR(10)&amp;"Core:")</x:f>
        <x:v>35 min skills
A) Quality muscle-up attempts: 3 singles
B) Crisp high pull: 3 x 2
C) Clean pistol: 3 x 2/leg
Core: 5 rounds</x:v>
      </x:c>
      <x:c r="D43" s="229" t="s">
        <x:v>206</x:v>
      </x:c>
      <x:c r="E43" s="229" t="n">
        <x:v>65</x:v>
      </x:c>
      <x:c r="F43" s="256"/>
      <x:c r="G43" s="256" t="s">
        <x:v>207</x:v>
      </x:c>
      <x:c r="H43" s="258" t="b">
        <x:f aca="0">FALSE()</x:f>
        <x:v>0</x:v>
      </x:c>
      <x:c r="I43" s="259" t="n">
        <x:v>1</x:v>
      </x:c>
      <x:c r="J43" s="259" t="n">
        <x:v>1</x:v>
      </x:c>
      <x:c r="K43" s="259" t="n">
        <x:v>1</x:v>
      </x:c>
      <x:c r="L43" s="260"/>
      <x:c r="M43" s="260"/>
      <x:c r="N43" s="258" t="b">
        <x:f aca="0">FALSE()</x:f>
        <x:v>0</x:v>
      </x:c>
      <x:c r="O43" s="259" t="n">
        <x:v>2</x:v>
      </x:c>
      <x:c r="P43" s="259" t="n">
        <x:v>2</x:v>
      </x:c>
      <x:c r="Q43" s="259" t="n">
        <x:v>2</x:v>
      </x:c>
      <x:c r="R43" s="260"/>
      <x:c r="S43" s="260"/>
      <x:c r="T43" s="258" t="b">
        <x:f aca="0">FALSE()</x:f>
        <x:v>0</x:v>
      </x:c>
      <x:c r="U43" s="259" t="n">
        <x:v>2</x:v>
      </x:c>
      <x:c r="V43" s="259" t="n">
        <x:v>2</x:v>
      </x:c>
      <x:c r="W43" s="259" t="n">
        <x:v>2</x:v>
      </x:c>
      <x:c r="X43" s="260"/>
      <x:c r="Y43" s="260"/>
      <x:c r="Z43" s="261" t="b">
        <x:v>0</x:v>
      </x:c>
      <x:c r="AA43" s="259" t="n">
        <x:v>5</x:v>
      </x:c>
      <x:c r="AB43" s="382" t="b">
        <x:v>0</x:v>
      </x:c>
      <x:c r="AC43" s="262"/>
      <x:c r="AD43" s="287"/>
      <x:c r="AE43" s="287"/>
      <x:c r="AF43" s="287"/>
      <x:c r="AG43" s="377" t="n">
        <x:f>IF(COUNT(Scoring!X205:X211)&lt;&gt;ROWS(Scoring!X205:X211),"",ROUND(MAX(0,MIN(10,SUM(Scoring!X205:X211))),0))</x:f>
        <x:v>4</x:v>
      </x:c>
      <x:c r="AH43" s="328"/>
      <x:c r="AI43" s="329" t="n">
        <x:f>IF(COUNT(Scoring!H138:H141)&gt;0,MEDIAN(Scoring!H138:H141),"")</x:f>
        <x:v>100</x:v>
      </x:c>
      <x:c r="AJ43" s="329" t="str">
        <x:f>IF(COUNT(Scoring!I138:I141)&gt;0,MEDIAN(Scoring!I138:I141),"")</x:f>
      </x:c>
      <x:c r="AK43" s="340" t="n">
        <x:f>COUNT(Scoring!I138:I141)</x:f>
        <x:v>0</x:v>
      </x:c>
      <x:c r="AL43" s="340" t="n">
        <x:f>COUNT(Scoring!H138:H141)</x:f>
        <x:v>4</x:v>
      </x:c>
    </x:row>
    <x:row r="44" ht="88" hidden="0" customHeight="1">
      <x:c r="A44" s="223" t="n">
        <x:f aca="0">Strategy!$E$3+71</x:f>
        <x:v>46392.5</x:v>
      </x:c>
      <x:c r="B44" s="224" t="s">
        <x:v>61</x:v>
      </x:c>
      <x:c r="C44" s="224" t="s">
        <x:v>208</x:v>
      </x:c>
      <x:c r="D44" s="224" t="s">
        <x:v>209</x:v>
      </x:c>
      <x:c r="E44" s="224" t="n">
        <x:v>10</x:v>
      </x:c>
      <x:c r="F44" s="257"/>
      <x:c r="G44" s="257" t="s">
        <x:v>207</x:v>
      </x:c>
      <x:c r="H44" s="263" t="b">
        <x:f aca="0">FALSE()</x:f>
        <x:v>0</x:v>
      </x:c>
      <x:c r="I44" s="264" t="n">
        <x:v>0.001388888888888889</x:v>
      </x:c>
      <x:c r="J44" s="265"/>
      <x:c r="K44" s="265"/>
      <x:c r="L44" s="265"/>
      <x:c r="M44" s="265"/>
      <x:c r="N44" s="263" t="b">
        <x:f aca="0">FALSE()</x:f>
        <x:v>0</x:v>
      </x:c>
      <x:c r="O44" s="264" t="n">
        <x:v>0.00017361111111111112</x:v>
      </x:c>
      <x:c r="P44" s="264" t="n">
        <x:v>0.00017361111111111112</x:v>
      </x:c>
      <x:c r="Q44" s="264" t="n">
        <x:v>0.00017361111111111112</x:v>
      </x:c>
      <x:c r="R44" s="265"/>
      <x:c r="S44" s="265"/>
      <x:c r="T44" s="263" t="b">
        <x:f aca="0">FALSE()</x:f>
        <x:v>0</x:v>
      </x:c>
      <x:c r="U44" s="264" t="n">
        <x:v>0.00017361111111111112</x:v>
      </x:c>
      <x:c r="V44" s="264" t="n">
        <x:v>0.00017361111111111112</x:v>
      </x:c>
      <x:c r="W44" s="265"/>
      <x:c r="X44" s="265"/>
      <x:c r="Y44" s="265"/>
      <x:c r="Z44" s="266" t="b">
        <x:v>0</x:v>
      </x:c>
      <x:c r="AA44" s="267"/>
      <x:c r="AB44" s="266" t="b">
        <x:v>0</x:v>
      </x:c>
      <x:c r="AC44" s="268"/>
      <x:c r="AD44" s="288"/>
      <x:c r="AE44" s="288"/>
      <x:c r="AF44" s="288"/>
      <x:c r="AG44" s="378" t="n">
        <x:f>IF(COUNT(Scoring!X212:X214)&lt;&gt;ROWS(Scoring!X212:X214),"",ROUND(MAX(0,MIN(10,SUM(Scoring!X212:X214))),0))</x:f>
        <x:v>1</x:v>
      </x:c>
      <x:c r="AH44" s="330"/>
      <x:c r="AI44" s="331" t="n">
        <x:f>IF(COUNT(Scoring!H142:H144)&gt;0,MEDIAN(Scoring!H142:H144),"")</x:f>
        <x:v>100</x:v>
      </x:c>
      <x:c r="AJ44" s="331" t="str">
        <x:f>IF(COUNT(Scoring!I142:I144)&gt;0,MEDIAN(Scoring!I142:I144),"")</x:f>
      </x:c>
      <x:c r="AK44" s="341" t="n">
        <x:f>COUNT(Scoring!I142:I144)</x:f>
        <x:v>0</x:v>
      </x:c>
      <x:c r="AL44" s="341" t="n">
        <x:f>COUNT(Scoring!H142:H144)</x:f>
        <x:v>3</x:v>
      </x:c>
    </x:row>
    <x:row r="45" ht="88" hidden="0" customHeight="1">
      <x:c r="A45" s="228" t="n">
        <x:f aca="0">Strategy!$E$3+73</x:f>
        <x:v>46394.5</x:v>
      </x:c>
      <x:c r="B45" s="229" t="s">
        <x:v>57</x:v>
      </x:c>
      <x:c r="C45" s="289" t="str">
        <x:f aca="0">SUBSTITUTE(SUBSTITUTE(SUBSTITUTE("35 min skills"&amp;CHAR(10)&amp;Strategy!I31,", B)",CHAR(10)&amp;"B)"),", C)",CHAR(10)&amp;"C)"),", Core:",CHAR(10)&amp;"Core:")</x:f>
        <x:v>35 min skills
A) Full-ROM wall HSPU: 3 single attempts
B) Pike push-up back-off: 2 x 4
C) Clean pistol: 3 x 2/leg
Core: 5 rounds</x:v>
      </x:c>
      <x:c r="D45" s="229" t="s">
        <x:v>210</x:v>
      </x:c>
      <x:c r="E45" s="229" t="n">
        <x:v>65</x:v>
      </x:c>
      <x:c r="F45" s="256"/>
      <x:c r="G45" s="256" t="s">
        <x:v>207</x:v>
      </x:c>
      <x:c r="H45" s="258" t="b">
        <x:f aca="0">FALSE()</x:f>
        <x:v>0</x:v>
      </x:c>
      <x:c r="I45" s="259" t="n">
        <x:v>1</x:v>
      </x:c>
      <x:c r="J45" s="259" t="n">
        <x:v>1</x:v>
      </x:c>
      <x:c r="K45" s="259" t="n">
        <x:v>1</x:v>
      </x:c>
      <x:c r="L45" s="260"/>
      <x:c r="M45" s="260"/>
      <x:c r="N45" s="258" t="b">
        <x:f aca="0">FALSE()</x:f>
        <x:v>0</x:v>
      </x:c>
      <x:c r="O45" s="259" t="n">
        <x:v>4</x:v>
      </x:c>
      <x:c r="P45" s="259" t="n">
        <x:v>4</x:v>
      </x:c>
      <x:c r="Q45" s="260"/>
      <x:c r="R45" s="260"/>
      <x:c r="S45" s="260"/>
      <x:c r="T45" s="258" t="b">
        <x:f aca="0">FALSE()</x:f>
        <x:v>0</x:v>
      </x:c>
      <x:c r="U45" s="259" t="n">
        <x:v>2</x:v>
      </x:c>
      <x:c r="V45" s="259" t="n">
        <x:v>2</x:v>
      </x:c>
      <x:c r="W45" s="259" t="n">
        <x:v>2</x:v>
      </x:c>
      <x:c r="X45" s="260"/>
      <x:c r="Y45" s="260"/>
      <x:c r="Z45" s="261" t="b">
        <x:v>0</x:v>
      </x:c>
      <x:c r="AA45" s="259" t="n">
        <x:v>5</x:v>
      </x:c>
      <x:c r="AB45" s="382" t="b">
        <x:v>0</x:v>
      </x:c>
      <x:c r="AC45" s="262"/>
      <x:c r="AD45" s="287"/>
      <x:c r="AE45" s="287"/>
      <x:c r="AF45" s="287"/>
      <x:c r="AG45" s="377" t="n">
        <x:f>IF(COUNT(Scoring!X215:X221)&lt;&gt;ROWS(Scoring!X215:X221),"",ROUND(MAX(0,MIN(10,SUM(Scoring!X215:X221))),0))</x:f>
        <x:v>4</x:v>
      </x:c>
      <x:c r="AH45" s="328"/>
      <x:c r="AI45" s="329" t="n">
        <x:f>IF(COUNT(Scoring!H145:H147)&gt;0,MEDIAN(Scoring!H145:H147),"")</x:f>
        <x:v>100</x:v>
      </x:c>
      <x:c r="AJ45" s="329" t="str">
        <x:f>IF(COUNT(Scoring!I145:I147)&gt;0,MEDIAN(Scoring!I145:I147),"")</x:f>
      </x:c>
      <x:c r="AK45" s="340" t="n">
        <x:f>COUNT(Scoring!I145:I147)</x:f>
        <x:v>0</x:v>
      </x:c>
      <x:c r="AL45" s="340" t="n">
        <x:f>COUNT(Scoring!H145:H147)</x:f>
        <x:v>3</x:v>
      </x:c>
    </x:row>
    <x:row r="46" ht="88" hidden="0" customHeight="1">
      <x:c r="A46" s="223" t="n">
        <x:f aca="0">Strategy!$E$3+75</x:f>
        <x:v>46396.5</x:v>
      </x:c>
      <x:c r="B46" s="224" t="s">
        <x:v>61</x:v>
      </x:c>
      <x:c r="C46" s="224" t="s">
        <x:v>211</x:v>
      </x:c>
      <x:c r="D46" s="224" t="s">
        <x:v>212</x:v>
      </x:c>
      <x:c r="E46" s="224" t="n">
        <x:v>20</x:v>
      </x:c>
      <x:c r="F46" s="257"/>
      <x:c r="G46" s="257" t="s">
        <x:v>207</x:v>
      </x:c>
      <x:c r="H46" s="263" t="b">
        <x:f aca="0">FALSE()</x:f>
        <x:v>0</x:v>
      </x:c>
      <x:c r="I46" s="264" t="n">
        <x:v>0.001388888888888889</x:v>
      </x:c>
      <x:c r="J46" s="265"/>
      <x:c r="K46" s="265"/>
      <x:c r="L46" s="265"/>
      <x:c r="M46" s="265"/>
      <x:c r="N46" s="263" t="b">
        <x:f aca="0">FALSE()</x:f>
        <x:v>0</x:v>
      </x:c>
      <x:c r="O46" s="264" t="n">
        <x:v>0.00017361111111111112</x:v>
      </x:c>
      <x:c r="P46" s="264" t="n">
        <x:v>0.00017361111111111112</x:v>
      </x:c>
      <x:c r="Q46" s="264" t="n">
        <x:v>0.00017361111111111112</x:v>
      </x:c>
      <x:c r="R46" s="265"/>
      <x:c r="S46" s="265"/>
      <x:c r="T46" s="263" t="b">
        <x:f aca="0">FALSE()</x:f>
        <x:v>0</x:v>
      </x:c>
      <x:c r="U46" s="264" t="n">
        <x:v>0.00017361111111111112</x:v>
      </x:c>
      <x:c r="V46" s="264" t="n">
        <x:v>0.00017361111111111112</x:v>
      </x:c>
      <x:c r="W46" s="264" t="n">
        <x:v>0.00017361111111111112</x:v>
      </x:c>
      <x:c r="X46" s="265"/>
      <x:c r="Y46" s="265"/>
      <x:c r="Z46" s="266" t="b">
        <x:v>0</x:v>
      </x:c>
      <x:c r="AA46" s="267"/>
      <x:c r="AB46" s="266" t="b">
        <x:v>0</x:v>
      </x:c>
      <x:c r="AC46" s="268"/>
      <x:c r="AD46" s="288"/>
      <x:c r="AE46" s="288"/>
      <x:c r="AF46" s="288"/>
      <x:c r="AG46" s="378" t="n">
        <x:f>IF(COUNT(Scoring!X222:X224)&lt;&gt;ROWS(Scoring!X222:X224),"",ROUND(MAX(0,MIN(10,SUM(Scoring!X222:X224))),0))</x:f>
        <x:v>1</x:v>
      </x:c>
      <x:c r="AH46" s="330"/>
      <x:c r="AI46" s="331" t="n">
        <x:f>IF(COUNT(Scoring!H148:H150)&gt;0,MEDIAN(Scoring!H148:H150),"")</x:f>
        <x:v>100</x:v>
      </x:c>
      <x:c r="AJ46" s="331" t="str">
        <x:f>IF(COUNT(Scoring!I148:I150)&gt;0,MEDIAN(Scoring!I148:I150),"")</x:f>
      </x:c>
      <x:c r="AK46" s="341" t="n">
        <x:f>COUNT(Scoring!I148:I150)</x:f>
        <x:v>0</x:v>
      </x:c>
      <x:c r="AL46" s="341" t="n">
        <x:f>COUNT(Scoring!H148:H150)</x:f>
        <x:v>3</x:v>
      </x:c>
    </x:row>
    <x:row r="47" ht="88" hidden="0" customHeight="1">
      <x:c r="A47" s="228" t="n">
        <x:f aca="0">Strategy!$E$3+77</x:f>
        <x:v>46398.5</x:v>
      </x:c>
      <x:c r="B47" s="229" t="s">
        <x:v>53</x:v>
      </x:c>
      <x:c r="C47" s="289" t="str">
        <x:f aca="0">SUBSTITUTE(SUBSTITUTE(SUBSTITUTE("10 min skills"&amp;CHAR(10)&amp;Strategy!H32,", B)",CHAR(10)&amp;"B)"),", C)",CHAR(10)&amp;"C)"),", Core:",CHAR(10)&amp;"Core:")</x:f>
        <x:v>10 min skills
A) Muscle-up test: up to 3 rested singles
B) Pistol test: 1 clean set/leg (cap at 5)
C) Easy scapular pull-up: 1 x 5 if time remains
Core: 2 rounds</x:v>
      </x:c>
      <x:c r="D47" s="229" t="s">
        <x:v>206</x:v>
      </x:c>
      <x:c r="E47" s="229" t="n">
        <x:v>30</x:v>
      </x:c>
      <x:c r="F47" s="256"/>
      <x:c r="G47" s="256" t="s">
        <x:v>207</x:v>
      </x:c>
      <x:c r="H47" s="258" t="b">
        <x:f aca="0">FALSE()</x:f>
        <x:v>0</x:v>
      </x:c>
      <x:c r="I47" s="259" t="n">
        <x:v>1</x:v>
      </x:c>
      <x:c r="J47" s="259" t="n">
        <x:v>1</x:v>
      </x:c>
      <x:c r="K47" s="259" t="n">
        <x:v>1</x:v>
      </x:c>
      <x:c r="L47" s="260"/>
      <x:c r="M47" s="260"/>
      <x:c r="N47" s="258" t="b">
        <x:f aca="0">FALSE()</x:f>
        <x:v>0</x:v>
      </x:c>
      <x:c r="O47" s="259" t="n">
        <x:v>5</x:v>
      </x:c>
      <x:c r="P47" s="260"/>
      <x:c r="Q47" s="260"/>
      <x:c r="R47" s="260"/>
      <x:c r="S47" s="260"/>
      <x:c r="T47" s="258" t="b">
        <x:f aca="0">FALSE()</x:f>
        <x:v>0</x:v>
      </x:c>
      <x:c r="U47" s="259" t="n">
        <x:v>5</x:v>
      </x:c>
      <x:c r="V47" s="260"/>
      <x:c r="W47" s="260"/>
      <x:c r="X47" s="260"/>
      <x:c r="Y47" s="260"/>
      <x:c r="Z47" s="261" t="b">
        <x:v>0</x:v>
      </x:c>
      <x:c r="AA47" s="259" t="n">
        <x:v>2</x:v>
      </x:c>
      <x:c r="AB47" s="382" t="b">
        <x:v>0</x:v>
      </x:c>
      <x:c r="AC47" s="262"/>
      <x:c r="AD47" s="287"/>
      <x:c r="AE47" s="287"/>
      <x:c r="AF47" s="287"/>
      <x:c r="AG47" s="377" t="n">
        <x:f>IF(COUNT(Scoring!X225:X231)&lt;&gt;ROWS(Scoring!X225:X231),"",ROUND(MAX(0,MIN(10,SUM(Scoring!X225:X231))),0))</x:f>
        <x:v>3</x:v>
      </x:c>
      <x:c r="AH47" s="328"/>
      <x:c r="AI47" s="329" t="n">
        <x:f>IF(COUNT(Scoring!H151:H151)&gt;0,MEDIAN(Scoring!H151:H151),"")</x:f>
        <x:v>100</x:v>
      </x:c>
      <x:c r="AJ47" s="329" t="str">
        <x:f>IF(COUNT(Scoring!I151:I151)&gt;0,MEDIAN(Scoring!I151:I151),"")</x:f>
      </x:c>
      <x:c r="AK47" s="340" t="n">
        <x:f>COUNT(Scoring!I151:I151)</x:f>
        <x:v>0</x:v>
      </x:c>
      <x:c r="AL47" s="340" t="n">
        <x:f>COUNT(Scoring!H151:H151)</x:f>
        <x:v>1</x:v>
      </x:c>
    </x:row>
    <x:row r="48" ht="88" hidden="0" customHeight="1">
      <x:c r="A48" s="223" t="n">
        <x:f aca="0">Strategy!$E$3+78</x:f>
        <x:v>46399.5</x:v>
      </x:c>
      <x:c r="B48" s="224" t="s">
        <x:v>61</x:v>
      </x:c>
      <x:c r="C48" s="224" t="s">
        <x:v>213</x:v>
      </x:c>
      <x:c r="D48" s="224" t="s">
        <x:v>209</x:v>
      </x:c>
      <x:c r="E48" s="224" t="n">
        <x:v>5</x:v>
      </x:c>
      <x:c r="F48" s="257"/>
      <x:c r="G48" s="257" t="s">
        <x:v>207</x:v>
      </x:c>
      <x:c r="H48" s="263" t="b">
        <x:f aca="0">FALSE()</x:f>
        <x:v>0</x:v>
      </x:c>
      <x:c r="I48" s="264" t="n">
        <x:v>0.0006944444444444445</x:v>
      </x:c>
      <x:c r="J48" s="265"/>
      <x:c r="K48" s="265"/>
      <x:c r="L48" s="265"/>
      <x:c r="M48" s="265"/>
      <x:c r="N48" s="263" t="b">
        <x:f aca="0">FALSE()</x:f>
        <x:v>0</x:v>
      </x:c>
      <x:c r="O48" s="264" t="n">
        <x:v>0.00011574074074074075</x:v>
      </x:c>
      <x:c r="P48" s="264" t="n">
        <x:v>0.00011574074074074075</x:v>
      </x:c>
      <x:c r="Q48" s="265"/>
      <x:c r="R48" s="265"/>
      <x:c r="S48" s="265"/>
      <x:c r="T48" s="263" t="b">
        <x:f aca="0">FALSE()</x:f>
        <x:v>0</x:v>
      </x:c>
      <x:c r="U48" s="264" t="n">
        <x:v>0.00011574074074074075</x:v>
      </x:c>
      <x:c r="V48" s="265"/>
      <x:c r="W48" s="265"/>
      <x:c r="X48" s="265"/>
      <x:c r="Y48" s="265"/>
      <x:c r="Z48" s="266" t="b">
        <x:v>0</x:v>
      </x:c>
      <x:c r="AA48" s="267"/>
      <x:c r="AB48" s="266" t="b">
        <x:v>0</x:v>
      </x:c>
      <x:c r="AC48" s="268"/>
      <x:c r="AD48" s="288"/>
      <x:c r="AE48" s="288"/>
      <x:c r="AF48" s="288"/>
      <x:c r="AG48" s="378" t="n">
        <x:f>IF(COUNT(Scoring!X232:X234)&lt;&gt;ROWS(Scoring!X232:X234),"",ROUND(MAX(0,MIN(10,SUM(Scoring!X232:X234))),0))</x:f>
        <x:v>1</x:v>
      </x:c>
      <x:c r="AH48" s="330"/>
      <x:c r="AI48" s="331" t="n">
        <x:f>IF(COUNT(Scoring!H152:H154)&gt;0,MEDIAN(Scoring!H152:H154),"")</x:f>
        <x:v>100</x:v>
      </x:c>
      <x:c r="AJ48" s="331" t="str">
        <x:f>IF(COUNT(Scoring!I152:I154)&gt;0,MEDIAN(Scoring!I152:I154),"")</x:f>
      </x:c>
      <x:c r="AK48" s="341" t="n">
        <x:f>COUNT(Scoring!I152:I154)</x:f>
        <x:v>0</x:v>
      </x:c>
      <x:c r="AL48" s="341" t="n">
        <x:f>COUNT(Scoring!H152:H154)</x:f>
        <x:v>3</x:v>
      </x:c>
    </x:row>
    <x:row r="49" ht="88" hidden="0" customHeight="1">
      <x:c r="A49" s="228" t="n">
        <x:f aca="0">Strategy!$E$3+80</x:f>
        <x:v>46401.5</x:v>
      </x:c>
      <x:c r="B49" s="229" t="s">
        <x:v>57</x:v>
      </x:c>
      <x:c r="C49" s="289" t="str">
        <x:f aca="0">SUBSTITUTE(SUBSTITUTE(SUBSTITUTE("10 min skills"&amp;CHAR(10)&amp;Strategy!I32,", B)",CHAR(10)&amp;"B)"),", C)",CHAR(10)&amp;"C)"),", Core:",CHAR(10)&amp;"Core:")</x:f>
        <x:v>10 min skills
A) Wall HSPU test: 1 clean set (cap at 5)
B) Easy wall handstand: 1 x 15 sec
C) Gentle wrist/shoulder mobility: 2 min
Core: 2 rounds</x:v>
      </x:c>
      <x:c r="D49" s="229" t="s">
        <x:v>214</x:v>
      </x:c>
      <x:c r="E49" s="229" t="n">
        <x:v>30</x:v>
      </x:c>
      <x:c r="F49" s="256"/>
      <x:c r="G49" s="256" t="s">
        <x:v>207</x:v>
      </x:c>
      <x:c r="H49" s="258" t="b">
        <x:f aca="0">FALSE()</x:f>
        <x:v>0</x:v>
      </x:c>
      <x:c r="I49" s="259" t="n">
        <x:v>5</x:v>
      </x:c>
      <x:c r="J49" s="260"/>
      <x:c r="K49" s="260"/>
      <x:c r="L49" s="260"/>
      <x:c r="M49" s="260"/>
      <x:c r="N49" s="258" t="b">
        <x:f aca="0">FALSE()</x:f>
        <x:v>0</x:v>
      </x:c>
      <x:c r="O49" s="269" t="n">
        <x:v>0.00017361111111111112</x:v>
      </x:c>
      <x:c r="P49" s="260"/>
      <x:c r="Q49" s="260"/>
      <x:c r="R49" s="260"/>
      <x:c r="S49" s="260"/>
      <x:c r="T49" s="258" t="b">
        <x:f aca="0">FALSE()</x:f>
        <x:v>0</x:v>
      </x:c>
      <x:c r="U49" s="269" t="n">
        <x:v>0.001388888888888889</x:v>
      </x:c>
      <x:c r="V49" s="260"/>
      <x:c r="W49" s="260"/>
      <x:c r="X49" s="260"/>
      <x:c r="Y49" s="260"/>
      <x:c r="Z49" s="261" t="b">
        <x:v>0</x:v>
      </x:c>
      <x:c r="AA49" s="259" t="n">
        <x:v>2</x:v>
      </x:c>
      <x:c r="AB49" s="382" t="b">
        <x:v>0</x:v>
      </x:c>
      <x:c r="AC49" s="262"/>
      <x:c r="AD49" s="287"/>
      <x:c r="AE49" s="287"/>
      <x:c r="AF49" s="287"/>
      <x:c r="AG49" s="377" t="n">
        <x:f>IF(COUNT(Scoring!X235:X241)&lt;&gt;ROWS(Scoring!X235:X241),"",ROUND(MAX(0,MIN(10,SUM(Scoring!X235:X241))),0))</x:f>
        <x:v>2</x:v>
      </x:c>
      <x:c r="AH49" s="328"/>
      <x:c r="AI49" s="329" t="n">
        <x:f>IF(COUNT(Scoring!H155:H157)&gt;0,MEDIAN(Scoring!H155:H157),"")</x:f>
        <x:v>100</x:v>
      </x:c>
      <x:c r="AJ49" s="329" t="str">
        <x:f>IF(COUNT(Scoring!I155:I157)&gt;0,MEDIAN(Scoring!I155:I157),"")</x:f>
      </x:c>
      <x:c r="AK49" s="340" t="n">
        <x:f>COUNT(Scoring!I155:I157)</x:f>
        <x:v>0</x:v>
      </x:c>
      <x:c r="AL49" s="340" t="n">
        <x:f>COUNT(Scoring!H155:H157)</x:f>
        <x:v>3</x:v>
      </x:c>
    </x:row>
    <x:row r="50" ht="88" hidden="0" customHeight="1">
      <x:c r="A50" s="223" t="n">
        <x:f aca="0">Strategy!$E$3+82</x:f>
        <x:v>46403.5</x:v>
      </x:c>
      <x:c r="B50" s="224" t="s">
        <x:v>61</x:v>
      </x:c>
      <x:c r="C50" s="224" t="s">
        <x:v>215</x:v>
      </x:c>
      <x:c r="D50" s="224" t="s">
        <x:v>212</x:v>
      </x:c>
      <x:c r="E50" s="224" t="n">
        <x:v>10</x:v>
      </x:c>
      <x:c r="F50" s="257"/>
      <x:c r="G50" s="257" t="s">
        <x:v>207</x:v>
      </x:c>
      <x:c r="H50" s="263" t="b">
        <x:f aca="0">FALSE()</x:f>
        <x:v>0</x:v>
      </x:c>
      <x:c r="I50" s="264" t="n">
        <x:v>0.0006944444444444445</x:v>
      </x:c>
      <x:c r="J50" s="265"/>
      <x:c r="K50" s="265"/>
      <x:c r="L50" s="265"/>
      <x:c r="M50" s="265"/>
      <x:c r="N50" s="263" t="b">
        <x:f aca="0">FALSE()</x:f>
        <x:v>0</x:v>
      </x:c>
      <x:c r="O50" s="264" t="n">
        <x:v>0.00011574074074074075</x:v>
      </x:c>
      <x:c r="P50" s="264" t="n">
        <x:v>0.00011574074074074075</x:v>
      </x:c>
      <x:c r="Q50" s="265"/>
      <x:c r="R50" s="265"/>
      <x:c r="S50" s="265"/>
      <x:c r="T50" s="263" t="b">
        <x:f aca="0">FALSE()</x:f>
        <x:v>0</x:v>
      </x:c>
      <x:c r="U50" s="264" t="n">
        <x:v>0.00011574074074074075</x:v>
      </x:c>
      <x:c r="V50" s="265"/>
      <x:c r="W50" s="265"/>
      <x:c r="X50" s="265"/>
      <x:c r="Y50" s="265"/>
      <x:c r="Z50" s="266" t="b">
        <x:v>0</x:v>
      </x:c>
      <x:c r="AA50" s="267"/>
      <x:c r="AB50" s="266" t="b">
        <x:v>0</x:v>
      </x:c>
      <x:c r="AC50" s="268"/>
      <x:c r="AD50" s="288"/>
      <x:c r="AE50" s="288"/>
      <x:c r="AF50" s="288"/>
      <x:c r="AG50" s="378" t="n">
        <x:f>IF(COUNT(Scoring!X242:X244)&lt;&gt;ROWS(Scoring!X242:X244),"",ROUND(MAX(0,MIN(10,SUM(Scoring!X242:X244))),0))</x:f>
        <x:v>1</x:v>
      </x:c>
      <x:c r="AH50" s="330"/>
      <x:c r="AI50" s="331" t="n">
        <x:f>IF(COUNT(Scoring!H158:H160)&gt;0,MEDIAN(Scoring!H158:H160),"")</x:f>
        <x:v>100</x:v>
      </x:c>
      <x:c r="AJ50" s="331" t="str">
        <x:f>IF(COUNT(Scoring!I158:I160)&gt;0,MEDIAN(Scoring!I158:I160),"")</x:f>
      </x:c>
      <x:c r="AK50" s="341" t="n">
        <x:f>COUNT(Scoring!I158:I160)</x:f>
        <x:v>0</x:v>
      </x:c>
      <x:c r="AL50" s="341" t="n">
        <x:f>COUNT(Scoring!H158:H160)</x:f>
        <x:v>3</x:v>
      </x:c>
    </x:row>
  </x:sheetData>
  <x:mergeCells>
    <x:mergeCell ref="H1:M1"/>
    <x:mergeCell ref="N1:S1"/>
    <x:mergeCell ref="T1:Y1"/>
    <x:mergeCell ref="Z1:AA1"/>
    <x:mergeCell ref="A1:G1"/>
    <x:mergeCell ref="AG1:AL1"/>
    <x:mergeCell ref="AB1:AF1"/>
  </x:mergeCells>
  <x:conditionalFormatting sqref="G2:G49">
    <x:cfRule type="containsText" dxfId="4" priority="2" aboveAverage="0" percent="0" bottom="0" operator="containsText" text="completed" rank="0" equalAverage="0">
      <x:formula>NOT(ISERROR(SEARCH("completed",G2)))</x:formula>
    </x:cfRule>
  </x:conditionalFormatting>
  <x:conditionalFormatting sqref="H3:H50">
    <x:cfRule type="expression" dxfId="5" priority="3">
      <x:formula>OR(H3=TRUE,H3="TRUE")</x:formula>
    </x:cfRule>
    <x:cfRule type="expression" dxfId="11" priority="8">
      <x:formula>$AB3=TRUE</x:formula>
    </x:cfRule>
  </x:conditionalFormatting>
  <x:conditionalFormatting sqref="N3:N50">
    <x:cfRule type="expression" dxfId="6" priority="4">
      <x:formula>OR(N3=TRUE,N3="TRUE")</x:formula>
    </x:cfRule>
    <x:cfRule type="expression" dxfId="12" priority="9">
      <x:formula>$AB3=TRUE</x:formula>
    </x:cfRule>
  </x:conditionalFormatting>
  <x:conditionalFormatting sqref="T3:T50">
    <x:cfRule type="expression" dxfId="7" priority="5">
      <x:formula>OR(T3=TRUE,T3="TRUE")</x:formula>
    </x:cfRule>
    <x:cfRule type="expression" dxfId="13" priority="10">
      <x:formula>$AB3=TRUE</x:formula>
    </x:cfRule>
  </x:conditionalFormatting>
  <x:conditionalFormatting sqref="Z3:Z50">
    <x:cfRule type="expression" dxfId="8" priority="6">
      <x:formula>OR(Z3=TRUE,Z3="TRUE")</x:formula>
    </x:cfRule>
    <x:cfRule type="expression" dxfId="14" priority="11">
      <x:formula>$AB3=TRUE</x:formula>
    </x:cfRule>
  </x:conditionalFormatting>
  <x:conditionalFormatting sqref="AB3:AB50">
    <x:cfRule type="expression" dxfId="10" priority="7">
      <x:formula>AB3=TRUE</x:formula>
    </x:cfRule>
  </x:conditionalFormatting>
  <x:dataValidations count="10">
    <x:dataValidation type="list" errorStyle="stop" operator="between" allowBlank="0" showDropDown="0" showInputMessage="0" showErrorMessage="0" sqref="G3:G49">
      <x:formula1>"planned,in-progress,completed,incomplete,skipped,cancelled"</x:formula1>
      <x:formula2>0</x:formula2>
    </x:dataValidation>
    <x:dataValidation type="list" errorStyle="stop" operator="between" allowBlank="0" showDropDown="0" showInputMessage="0" showErrorMessage="0" sqref="B3:B133">
      <x:formula1>"A,B,Technique,Core,Empty"</x:formula1>
      <x:formula2>0</x:formula2>
    </x:dataValidation>
    <x:dataValidation type="list" sqref="H3:H50">
      <x:formula1>"TRUE,FALSE"</x:formula1>
    </x:dataValidation>
    <x:dataValidation type="list" sqref="N3:N50">
      <x:formula1>"TRUE,FALSE"</x:formula1>
    </x:dataValidation>
    <x:dataValidation type="list" sqref="T3:T50">
      <x:formula1>"TRUE,FALSE"</x:formula1>
    </x:dataValidation>
    <x:dataValidation type="list" sqref="Z3:Z50">
      <x:formula1>"TRUE,FALSE"</x:formula1>
    </x:dataValidation>
    <x:dataValidation type="whole" operator="between" sqref="AA3:AA50">
      <x:formula1>0</x:formula1>
      <x:formula2>100</x:formula2>
    </x:dataValidation>
    <x:dataValidation type="whole" operator="between" sqref="AH3:AH50">
      <x:formula1>1</x:formula1>
      <x:formula2>5</x:formula2>
    </x:dataValidation>
    <x:dataValidation type="whole" operator="between" sqref="AG3:AG50">
      <x:formula1>0</x:formula1>
      <x:formula2>10</x:formula2>
    </x:dataValidation>
    <x:dataValidation type="list" sqref="AB3:AB50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96E6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2" max="12" width="95" hidden="0" customWidth="1"/>
    <x:col min="1" max="1" width="14" hidden="0" customWidth="1"/>
    <x:col min="2" max="2" width="31" hidden="0" customWidth="1"/>
    <x:col min="3" max="3" width="47" hidden="0" customWidth="1"/>
    <x:col min="4" max="4" width="14" hidden="0" customWidth="1"/>
    <x:col min="5" max="5" width="10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3" hidden="0" customWidth="1"/>
    <x:col min="14" max="14" width="13" hidden="0" customWidth="1"/>
    <x:col min="15" max="15" width="26" hidden="0" customWidth="1"/>
    <x:col min="16" max="16" width="42" hidden="0" customWidth="1"/>
    <x:col min="17" max="17" width="13" hidden="0" customWidth="1"/>
    <x:col min="18" max="18" width="12" hidden="0" customWidth="1"/>
    <x:col min="19" max="19" width="14" hidden="0" customWidth="1"/>
    <x:col min="20" max="20" width="13" hidden="0" customWidth="1"/>
    <x:col min="21" max="21" width="13" hidden="0" customWidth="1"/>
    <x:col min="22" max="22" width="15" hidden="0" customWidth="1"/>
    <x:col min="23" max="23" width="14" hidden="0" customWidth="1"/>
    <x:col min="24" max="24" width="14" hidden="0" customWidth="1"/>
    <x:col min="25" max="25" width="66" hidden="0" customWidth="1"/>
  </x:cols>
  <x:sheetData>
    <x:row r="2">
      <x:c r="A2" s="308" t="str">
        <x:v>Daily performance scoring</x:v>
      </x:c>
      <x:c r="B2" s="308"/>
      <x:c r="C2" s="308"/>
      <x:c r="D2" s="308"/>
      <x:c r="E2" s="308"/>
      <x:c r="F2" s="308"/>
      <x:c r="G2" s="308"/>
      <x:c r="H2" s="308"/>
      <x:c r="I2" s="308"/>
      <x:c r="J2" s="308"/>
      <x:c r="N2" s="353" t="str">
        <x:v>Planned intensity (0–10)</x:v>
      </x:c>
      <x:c r="O2" s="353"/>
      <x:c r="P2" s="353"/>
      <x:c r="Q2" s="353"/>
      <x:c r="R2" s="353"/>
      <x:c r="S2" s="353"/>
      <x:c r="T2" s="353"/>
      <x:c r="U2" s="353"/>
      <x:c r="V2" s="353"/>
      <x:c r="W2" s="353"/>
      <x:c r="X2" s="353"/>
    </x:row>
    <x:row r="3">
      <x:c r="N3" t="str">
        <x:v>Edit green exercise, unit, sets and amount cells when the written plan changes. Reference assumptions are in Strategy.</x:v>
      </x:c>
    </x:row>
    <x:row r="4" ht="40" customHeight="1">
      <x:c r="A4" s="317" t="str">
        <x:v>Date</x:v>
      </x:c>
      <x:c r="B4" s="317" t="str">
        <x:v>Session</x:v>
      </x:c>
      <x:c r="C4" s="317" t="str">
        <x:v>Exercise</x:v>
      </x:c>
      <x:c r="D4" s="317" t="str">
        <x:v>Unit</x:v>
      </x:c>
      <x:c r="E4" s="317" t="str">
        <x:v>Include</x:v>
      </x:c>
      <x:c r="F4" s="317" t="str">
        <x:v>Target</x:v>
      </x:c>
      <x:c r="G4" s="317" t="str">
        <x:v>Actual</x:v>
      </x:c>
      <x:c r="H4" s="317" t="str">
        <x:v>Expected score</x:v>
      </x:c>
      <x:c r="I4" s="317" t="str">
        <x:v>Actual score</x:v>
      </x:c>
      <x:c r="J4" s="317" t="str">
        <x:v>Direction</x:v>
      </x:c>
      <x:c r="L4" s="310" t="str">
        <x:v>How scoring works</x:v>
      </x:c>
      <x:c r="N4" s="356" t="str">
        <x:v>Date</x:v>
      </x:c>
      <x:c r="O4" s="356" t="str">
        <x:v>Session</x:v>
      </x:c>
      <x:c r="P4" s="356" t="str">
        <x:v>Exercise</x:v>
      </x:c>
      <x:c r="Q4" s="356" t="str">
        <x:v>Unit</x:v>
      </x:c>
      <x:c r="R4" s="356" t="str">
        <x:v>Planned sets</x:v>
      </x:c>
      <x:c r="S4" s="356" t="str">
        <x:v>Amount per set</x:v>
      </x:c>
      <x:c r="T4" s="356" t="str">
        <x:v>Base intensity</x:v>
      </x:c>
      <x:c r="U4" s="356" t="str">
        <x:v>Reference sets</x:v>
      </x:c>
      <x:c r="V4" s="356" t="str">
        <x:v>Reference amount</x:v>
      </x:c>
      <x:c r="W4" s="356" t="str">
        <x:v>Reference unit</x:v>
      </x:c>
      <x:c r="X4" s="356" t="str">
        <x:v>Contribution</x:v>
      </x:c>
      <x:c r="Y4" s="356" t="str">
        <x:v>Prescription note</x:v>
      </x:c>
    </x:row>
    <x:row r="5" ht="15" hidden="0" customHeight="1">
      <x:c r="A5" s="326" t="n">
        <x:f>Daily!A3</x:f>
        <x:v>46321.5</x:v>
      </x:c>
      <x:c r="B5" s="318" t="str">
        <x:f>Daily!D3</x:f>
        <x:v>Skill A + interval circuit</x:v>
      </x:c>
      <x:c r="C5" s="318" t="str">
        <x:v>A · Scapular pull-up</x:v>
      </x:c>
      <x:c r="D5" s="318" t="str">
        <x:v>reps</x:v>
      </x:c>
      <x:c r="E5" s="320" t="b">
        <x:v>1</x:v>
      </x:c>
      <x:c r="F5" s="328" t="n">
        <x:v>15</x:v>
      </x:c>
      <x:c r="G5" s="329" t="str">
        <x:f>IF(AND(OR(Daily!H3=TRUE,Daily!AB3=TRUE),COUNT(Daily!I3,Daily!J3,Daily!K3)&gt;0),SUM(Daily!I3,Daily!J3,Daily!K3),"")</x:f>
      </x:c>
      <x:c r="H5" s="329" t="n">
        <x:f>IF(AND(E5=TRUE,ISNUMBER(F5),F5&gt;0),100,"")</x:f>
        <x:v>100</x:v>
      </x:c>
      <x:c r="I5" s="329" t="str">
        <x:f>IF(AND(ISNUMBER(H5),ISNUMBER(G5)),IF(J5="lower",IF(G5&gt;0,100*F5/G5,""),100*G5/F5),"")</x:f>
      </x:c>
      <x:c r="J5" s="321" t="str">
        <x:v>higher</x:v>
      </x:c>
      <x:c r="L5" s="309" t="str">
        <x:v>Daily performance = median of included metric scores; 100 meets target.</x:v>
      </x:c>
      <x:c r="N5" s="363" t="n">
        <x:f>Daily!A3</x:f>
        <x:v>46321.5</x:v>
      </x:c>
      <x:c r="O5" s="359" t="str">
        <x:f>Daily!D3</x:f>
        <x:v>Skill A + interval circuit</x:v>
      </x:c>
      <x:c r="P5" s="371" t="str">
        <x:v>Scapular pull-up</x:v>
      </x:c>
      <x:c r="Q5" s="360" t="str">
        <x:v>reps</x:v>
      </x:c>
      <x:c r="R5" s="365" t="n">
        <x:v>3</x:v>
      </x:c>
      <x:c r="S5" s="365" t="n">
        <x:v>5</x:v>
      </x:c>
      <x:c r="T5" s="366" t="n">
        <x:f>IF(OR(COUNTIFS(Strategy!$B$36:$B$90,P5)&lt;&gt;1,COUNTIFS(Strategy!$B$36:$B$90,P5,Strategy!$C$36:$C$90,"&lt;&gt;")&lt;&gt;1),"",INDEX(Strategy!$C$36:$C$90,MATCH(P5,Strategy!$B$36:$B$90,0)))</x:f>
        <x:v>2</x:v>
      </x:c>
      <x:c r="U5" s="366" t="n">
        <x:f>IF(OR(COUNTIFS(Strategy!$B$36:$B$90,P5)&lt;&gt;1,COUNTIFS(Strategy!$B$36:$B$90,P5,Strategy!$D$36:$D$90,"&lt;&gt;")&lt;&gt;1),"",INDEX(Strategy!$D$36:$D$90,MATCH(P5,Strategy!$B$36:$B$90,0)))</x:f>
        <x:v>3</x:v>
      </x:c>
      <x:c r="V5" s="366" t="n">
        <x:f>IF(OR(COUNTIFS(Strategy!$B$36:$B$90,P5)&lt;&gt;1,COUNTIFS(Strategy!$B$36:$B$90,P5,Strategy!$E$36:$E$90,"&lt;&gt;")&lt;&gt;1),"",INDEX(Strategy!$E$36:$E$90,MATCH(P5,Strategy!$B$36:$B$90,0)))</x:f>
        <x:v>10</x:v>
      </x:c>
      <x:c r="W5" s="359" t="str">
        <x:f>IF(OR(COUNTIFS(Strategy!$B$36:$B$90,P5)&lt;&gt;1,COUNTIFS(Strategy!$B$36:$B$90,P5,Strategy!$F$36:$F$90,"&lt;&gt;")&lt;&gt;1),"",INDEX(Strategy!$F$36:$F$90,MATCH(P5,Strategy!$B$36:$B$90,0)))</x:f>
        <x:v>reps</x:v>
      </x:c>
      <x:c r="X5" s="369" t="n">
        <x:f>IF(OR(COUNT(R5:V5)&lt;&gt;5,Q5&lt;&gt;W5,T5&lt;0,T5&gt;10,U5&lt;=0,V5&lt;=0,R5&lt;0,R5&lt;&gt;INT(R5),S5&lt;=0),"",T5*R5*S5/(U5*V5))</x:f>
        <x:v>1</x:v>
      </x:c>
      <x:c r="Y5" s="373" t="str"/>
    </x:row>
    <x:row r="6" ht="15" hidden="0" customHeight="1">
      <x:c r="A6" s="327" t="n">
        <x:f>Daily!A3</x:f>
        <x:v>46321.5</x:v>
      </x:c>
      <x:c r="B6" s="322" t="str">
        <x:f>Daily!D3</x:f>
        <x:v>Skill A + interval circuit</x:v>
      </x:c>
      <x:c r="C6" s="322" t="str">
        <x:v>B · High pull (chest-to-bar intent)</x:v>
      </x:c>
      <x:c r="D6" s="322" t="str">
        <x:v>reps</x:v>
      </x:c>
      <x:c r="E6" s="324" t="b">
        <x:v>1</x:v>
      </x:c>
      <x:c r="F6" s="330" t="n">
        <x:v>9</x:v>
      </x:c>
      <x:c r="G6" s="331" t="str">
        <x:f>IF(AND(OR(Daily!N3=TRUE,Daily!AB3=TRUE),COUNT(Daily!O3,Daily!P3,Daily!Q3)&gt;0),SUM(Daily!O3,Daily!P3,Daily!Q3),"")</x:f>
      </x:c>
      <x:c r="H6" s="331" t="n">
        <x:f>IF(AND(E6=TRUE,ISNUMBER(F6),F6&gt;0),100,"")</x:f>
        <x:v>100</x:v>
      </x:c>
      <x:c r="I6" s="331" t="str">
        <x:f>IF(AND(ISNUMBER(H6),ISNUMBER(G6)),IF(J6="lower",IF(G6&gt;0,100*F6/G6,""),100*G6/F6),"")</x:f>
      </x:c>
      <x:c r="J6" s="325" t="str">
        <x:v>higher</x:v>
      </x:c>
      <x:c r="L6" s="309" t="str">
        <x:v>Targets here are explicit score inputs. Update them when changing the plan.</x:v>
      </x:c>
      <x:c r="N6" s="364" t="n">
        <x:f>Daily!A3</x:f>
        <x:v>46321.5</x:v>
      </x:c>
      <x:c r="O6" s="361" t="str">
        <x:f>Daily!D3</x:f>
        <x:v>Skill A + interval circuit</x:v>
      </x:c>
      <x:c r="P6" s="372" t="str">
        <x:v>High pull (chest-to-bar intent)</x:v>
      </x:c>
      <x:c r="Q6" s="362" t="str">
        <x:v>reps</x:v>
      </x:c>
      <x:c r="R6" s="367" t="n">
        <x:v>3</x:v>
      </x:c>
      <x:c r="S6" s="367" t="n">
        <x:v>3</x:v>
      </x:c>
      <x:c r="T6" s="368" t="n">
        <x:f>IF(OR(COUNTIFS(Strategy!$B$36:$B$90,P6)&lt;&gt;1,COUNTIFS(Strategy!$B$36:$B$90,P6,Strategy!$C$36:$C$90,"&lt;&gt;")&lt;&gt;1),"",INDEX(Strategy!$C$36:$C$90,MATCH(P6,Strategy!$B$36:$B$90,0)))</x:f>
        <x:v>6</x:v>
      </x:c>
      <x:c r="U6" s="368" t="n">
        <x:f>IF(OR(COUNTIFS(Strategy!$B$36:$B$90,P6)&lt;&gt;1,COUNTIFS(Strategy!$B$36:$B$90,P6,Strategy!$D$36:$D$90,"&lt;&gt;")&lt;&gt;1),"",INDEX(Strategy!$D$36:$D$90,MATCH(P6,Strategy!$B$36:$B$90,0)))</x:f>
        <x:v>3</x:v>
      </x:c>
      <x:c r="V6" s="368" t="n">
        <x:f>IF(OR(COUNTIFS(Strategy!$B$36:$B$90,P6)&lt;&gt;1,COUNTIFS(Strategy!$B$36:$B$90,P6,Strategy!$E$36:$E$90,"&lt;&gt;")&lt;&gt;1),"",INDEX(Strategy!$E$36:$E$90,MATCH(P6,Strategy!$B$36:$B$90,0)))</x:f>
        <x:v>10</x:v>
      </x:c>
      <x:c r="W6" s="361" t="str">
        <x:f>IF(OR(COUNTIFS(Strategy!$B$36:$B$90,P6)&lt;&gt;1,COUNTIFS(Strategy!$B$36:$B$90,P6,Strategy!$F$36:$F$90,"&lt;&gt;")&lt;&gt;1),"",INDEX(Strategy!$F$36:$F$90,MATCH(P6,Strategy!$B$36:$B$90,0)))</x:f>
        <x:v>reps</x:v>
      </x:c>
      <x:c r="X6" s="370" t="n">
        <x:f>IF(OR(COUNT(R6:V6)&lt;&gt;5,Q6&lt;&gt;W6,T6&lt;0,T6&gt;10,U6&lt;=0,V6&lt;=0,R6&lt;0,R6&lt;&gt;INT(R6),S6&lt;=0),"",T6*R6*S6/(U6*V6))</x:f>
        <x:v>1.8</x:v>
      </x:c>
      <x:c r="Y6" s="374" t="str"/>
    </x:row>
    <x:row r="7" ht="15" hidden="0" customHeight="1">
      <x:c r="A7" s="326" t="n">
        <x:f>Daily!A3</x:f>
        <x:v>46321.5</x:v>
      </x:c>
      <x:c r="B7" s="318" t="str">
        <x:f>Daily!D3</x:f>
        <x:v>Skill A + interval circuit</x:v>
      </x:c>
      <x:c r="C7" s="318" t="str">
        <x:v>C · Box pistol</x:v>
      </x:c>
      <x:c r="D7" s="318" t="str">
        <x:v>reps/leg</x:v>
      </x:c>
      <x:c r="E7" s="320" t="b">
        <x:v>1</x:v>
      </x:c>
      <x:c r="F7" s="328" t="n">
        <x:v>15</x:v>
      </x:c>
      <x:c r="G7" s="329" t="str">
        <x:f>IF(AND(OR(Daily!T3=TRUE,Daily!AB3=TRUE),COUNT(Daily!U3,Daily!V3,Daily!W3)&gt;0),SUM(Daily!U3,Daily!V3,Daily!W3),"")</x:f>
      </x:c>
      <x:c r="H7" s="329" t="n">
        <x:f>IF(AND(E7=TRUE,ISNUMBER(F7),F7&gt;0),100,"")</x:f>
        <x:v>100</x:v>
      </x:c>
      <x:c r="I7" s="329" t="str">
        <x:f>IF(AND(ISNUMBER(H7),ISNUMBER(G7)),IF(J7="lower",IF(G7&gt;0,100*F7/G7,""),100*G7/F7),"")</x:f>
      </x:c>
      <x:c r="J7" s="321" t="str">
        <x:v>higher</x:v>
      </x:c>
      <x:c r="L7" s="309" t="str">
        <x:v>Higher: actual / target × 100. Lower: target / actual × 100.</x:v>
      </x:c>
      <x:c r="N7" s="363" t="n">
        <x:f>Daily!A3</x:f>
        <x:v>46321.5</x:v>
      </x:c>
      <x:c r="O7" s="359" t="str">
        <x:f>Daily!D3</x:f>
        <x:v>Skill A + interval circuit</x:v>
      </x:c>
      <x:c r="P7" s="371" t="str">
        <x:v>Box pistol</x:v>
      </x:c>
      <x:c r="Q7" s="360" t="str">
        <x:v>reps/leg</x:v>
      </x:c>
      <x:c r="R7" s="365" t="n">
        <x:v>3</x:v>
      </x:c>
      <x:c r="S7" s="365" t="n">
        <x:v>5</x:v>
      </x:c>
      <x:c r="T7" s="366" t="n">
        <x:f>IF(OR(COUNTIFS(Strategy!$B$36:$B$90,P7)&lt;&gt;1,COUNTIFS(Strategy!$B$36:$B$90,P7,Strategy!$C$36:$C$90,"&lt;&gt;")&lt;&gt;1),"",INDEX(Strategy!$C$36:$C$90,MATCH(P7,Strategy!$B$36:$B$90,0)))</x:f>
        <x:v>2</x:v>
      </x:c>
      <x:c r="U7" s="366" t="n">
        <x:f>IF(OR(COUNTIFS(Strategy!$B$36:$B$90,P7)&lt;&gt;1,COUNTIFS(Strategy!$B$36:$B$90,P7,Strategy!$D$36:$D$90,"&lt;&gt;")&lt;&gt;1),"",INDEX(Strategy!$D$36:$D$90,MATCH(P7,Strategy!$B$36:$B$90,0)))</x:f>
        <x:v>3</x:v>
      </x:c>
      <x:c r="V7" s="366" t="n">
        <x:f>IF(OR(COUNTIFS(Strategy!$B$36:$B$90,P7)&lt;&gt;1,COUNTIFS(Strategy!$B$36:$B$90,P7,Strategy!$E$36:$E$90,"&lt;&gt;")&lt;&gt;1),"",INDEX(Strategy!$E$36:$E$90,MATCH(P7,Strategy!$B$36:$B$90,0)))</x:f>
        <x:v>10</x:v>
      </x:c>
      <x:c r="W7" s="359" t="str">
        <x:f>IF(OR(COUNTIFS(Strategy!$B$36:$B$90,P7)&lt;&gt;1,COUNTIFS(Strategy!$B$36:$B$90,P7,Strategy!$F$36:$F$90,"&lt;&gt;")&lt;&gt;1),"",INDEX(Strategy!$F$36:$F$90,MATCH(P7,Strategy!$B$36:$B$90,0)))</x:f>
        <x:v>reps/leg</x:v>
      </x:c>
      <x:c r="X7" s="369" t="n">
        <x:f>IF(OR(COUNT(R7:V7)&lt;&gt;5,Q7&lt;&gt;W7,T7&lt;0,T7&gt;10,U7&lt;=0,V7&lt;=0,R7&lt;0,R7&lt;&gt;INT(R7),S7&lt;=0),"",T7*R7*S7/(U7*V7))</x:f>
        <x:v>1</x:v>
      </x:c>
      <x:c r="Y7" s="373" t="str"/>
    </x:row>
    <x:row r="8" ht="15" hidden="0" customHeight="1">
      <x:c r="A8" s="327" t="n">
        <x:f>Daily!A3</x:f>
        <x:v>46321.5</x:v>
      </x:c>
      <x:c r="B8" s="322" t="str">
        <x:f>Daily!D3</x:f>
        <x:v>Skill A + interval circuit</x:v>
      </x:c>
      <x:c r="C8" s="322" t="str">
        <x:v>Core</x:v>
      </x:c>
      <x:c r="D8" s="322" t="str">
        <x:v>rounds</x:v>
      </x:c>
      <x:c r="E8" s="324" t="b">
        <x:v>1</x:v>
      </x:c>
      <x:c r="F8" s="330" t="n">
        <x:v>5</x:v>
      </x:c>
      <x:c r="G8" s="331" t="str">
        <x:f>IF(AND(OR(Daily!Z3=TRUE,Daily!AB3=TRUE),COUNT(Daily!AA3)&gt;0),SUM(Daily!AA3),"")</x:f>
      </x:c>
      <x:c r="H8" s="331" t="n">
        <x:f>IF(AND(E8=TRUE,ISNUMBER(F8),F8&gt;0),100,"")</x:f>
        <x:v>100</x:v>
      </x:c>
      <x:c r="I8" s="331" t="str">
        <x:f>IF(AND(ISNUMBER(H8),ISNUMBER(G8)),IF(J8="lower",IF(G8&gt;0,100*F8/G8,""),100*G8/F8),"")</x:f>
      </x:c>
      <x:c r="J8" s="325" t="str">
        <x:v>higher</x:v>
      </x:c>
      <x:c r="L8" s="309" t="str">
        <x:v>Unchecked exercises and blank results stay unrecorded. Partial metrics can score.</x:v>
      </x:c>
      <x:c r="N8" s="364" t="n">
        <x:f>Daily!A3</x:f>
        <x:v>46321.5</x:v>
      </x:c>
      <x:c r="O8" s="361" t="str">
        <x:f>Daily!D3</x:f>
        <x:v>Skill A + interval circuit</x:v>
      </x:c>
      <x:c r="P8" s="372" t="str">
        <x:v>Pull-up</x:v>
      </x:c>
      <x:c r="Q8" s="362" t="str">
        <x:v>seconds</x:v>
      </x:c>
      <x:c r="R8" s="367" t="n">
        <x:v>5</x:v>
      </x:c>
      <x:c r="S8" s="367" t="n">
        <x:v>30</x:v>
      </x:c>
      <x:c r="T8" s="368" t="n">
        <x:f>IF(OR(COUNTIFS(Strategy!$B$36:$B$90,P8)&lt;&gt;1,COUNTIFS(Strategy!$B$36:$B$90,P8,Strategy!$C$36:$C$90,"&lt;&gt;")&lt;&gt;1),"",INDEX(Strategy!$C$36:$C$90,MATCH(P8,Strategy!$B$36:$B$90,0)))</x:f>
        <x:v>1</x:v>
      </x:c>
      <x:c r="U8" s="368" t="n">
        <x:f>IF(OR(COUNTIFS(Strategy!$B$36:$B$90,P8)&lt;&gt;1,COUNTIFS(Strategy!$B$36:$B$90,P8,Strategy!$D$36:$D$90,"&lt;&gt;")&lt;&gt;1),"",INDEX(Strategy!$D$36:$D$90,MATCH(P8,Strategy!$B$36:$B$90,0)))</x:f>
        <x:v>5</x:v>
      </x:c>
      <x:c r="V8" s="368" t="n">
        <x:f>IF(OR(COUNTIFS(Strategy!$B$36:$B$90,P8)&lt;&gt;1,COUNTIFS(Strategy!$B$36:$B$90,P8,Strategy!$E$36:$E$90,"&lt;&gt;")&lt;&gt;1),"",INDEX(Strategy!$E$36:$E$90,MATCH(P8,Strategy!$B$36:$B$90,0)))</x:f>
        <x:v>120</x:v>
      </x:c>
      <x:c r="W8" s="361" t="str">
        <x:f>IF(OR(COUNTIFS(Strategy!$B$36:$B$90,P8)&lt;&gt;1,COUNTIFS(Strategy!$B$36:$B$90,P8,Strategy!$F$36:$F$90,"&lt;&gt;")&lt;&gt;1),"",INDEX(Strategy!$F$36:$F$90,MATCH(P8,Strategy!$B$36:$B$90,0)))</x:f>
        <x:v>seconds</x:v>
      </x:c>
      <x:c r="X8" s="370" t="n">
        <x:f>IF(OR(COUNT(R8:V8)&lt;&gt;5,Q8&lt;&gt;W8,T8&lt;0,T8&gt;10,U8&lt;=0,V8&lt;=0,R8&lt;0,R8&lt;&gt;INT(R8),S8&lt;=0),"",T8*R8*S8/(U8*V8))</x:f>
        <x:v>0.25</x:v>
      </x:c>
      <x:c r="Y8" s="374" t="str">
        <x:v>Core: one 30-second work interval per round; rest excluded.</x:v>
      </x:c>
    </x:row>
    <x:row r="9" ht="15" hidden="0" customHeight="1">
      <x:c r="A9" s="326" t="n">
        <x:f>Daily!A4</x:f>
        <x:v>46322.5</x:v>
      </x:c>
      <x:c r="B9" s="318" t="str">
        <x:f>Daily!D4</x:f>
        <x:v>Handstand technique</x:v>
      </x:c>
      <x:c r="C9" s="318" t="str">
        <x:v>A · Wrist/shoulder mobility</x:v>
      </x:c>
      <x:c r="D9" s="318" t="str">
        <x:v>seconds</x:v>
      </x:c>
      <x:c r="E9" s="320" t="b">
        <x:v>1</x:v>
      </x:c>
      <x:c r="F9" s="328" t="n">
        <x:v>120</x:v>
      </x:c>
      <x:c r="G9" s="329" t="str">
        <x:f>IF(AND(OR(Daily!H4=TRUE,Daily!AB4=TRUE),COUNT(Daily!I4)&gt;0),SUM(Daily!I4)*86400,"")</x:f>
      </x:c>
      <x:c r="H9" s="329" t="n">
        <x:f>IF(AND(E9=TRUE,ISNUMBER(F9),F9&gt;0),100,"")</x:f>
        <x:v>100</x:v>
      </x:c>
      <x:c r="I9" s="329" t="str">
        <x:f>IF(AND(ISNUMBER(H9),ISNUMBER(G9)),IF(J9="lower",IF(G9&gt;0,100*F9/G9,""),100*G9/F9),"")</x:f>
      </x:c>
      <x:c r="J9" s="321" t="str">
        <x:v>higher</x:v>
      </x:c>
      <x:c r="L9" s="309" t="str">
        <x:v>Daily intensity is calculated 0–10. Felt effort remains optional 1–5.</x:v>
      </x:c>
      <x:c r="N9" s="363" t="n">
        <x:f>Daily!A3</x:f>
        <x:v>46321.5</x:v>
      </x:c>
      <x:c r="O9" s="359" t="str">
        <x:f>Daily!D3</x:f>
        <x:v>Skill A + interval circuit</x:v>
      </x:c>
      <x:c r="P9" s="371" t="str">
        <x:v>Push-up</x:v>
      </x:c>
      <x:c r="Q9" s="360" t="str">
        <x:v>seconds</x:v>
      </x:c>
      <x:c r="R9" s="365" t="n">
        <x:v>5</x:v>
      </x:c>
      <x:c r="S9" s="365" t="n">
        <x:v>30</x:v>
      </x:c>
      <x:c r="T9" s="366" t="n">
        <x:f>IF(OR(COUNTIFS(Strategy!$B$36:$B$90,P9)&lt;&gt;1,COUNTIFS(Strategy!$B$36:$B$90,P9,Strategy!$C$36:$C$90,"&lt;&gt;")&lt;&gt;1),"",INDEX(Strategy!$C$36:$C$90,MATCH(P9,Strategy!$B$36:$B$90,0)))</x:f>
        <x:v>1</x:v>
      </x:c>
      <x:c r="U9" s="366" t="n">
        <x:f>IF(OR(COUNTIFS(Strategy!$B$36:$B$90,P9)&lt;&gt;1,COUNTIFS(Strategy!$B$36:$B$90,P9,Strategy!$D$36:$D$90,"&lt;&gt;")&lt;&gt;1),"",INDEX(Strategy!$D$36:$D$90,MATCH(P9,Strategy!$B$36:$B$90,0)))</x:f>
        <x:v>5</x:v>
      </x:c>
      <x:c r="V9" s="366" t="n">
        <x:f>IF(OR(COUNTIFS(Strategy!$B$36:$B$90,P9)&lt;&gt;1,COUNTIFS(Strategy!$B$36:$B$90,P9,Strategy!$E$36:$E$90,"&lt;&gt;")&lt;&gt;1),"",INDEX(Strategy!$E$36:$E$90,MATCH(P9,Strategy!$B$36:$B$90,0)))</x:f>
        <x:v>120</x:v>
      </x:c>
      <x:c r="W9" s="359" t="str">
        <x:f>IF(OR(COUNTIFS(Strategy!$B$36:$B$90,P9)&lt;&gt;1,COUNTIFS(Strategy!$B$36:$B$90,P9,Strategy!$F$36:$F$90,"&lt;&gt;")&lt;&gt;1),"",INDEX(Strategy!$F$36:$F$90,MATCH(P9,Strategy!$B$36:$B$90,0)))</x:f>
        <x:v>seconds</x:v>
      </x:c>
      <x:c r="X9" s="369" t="n">
        <x:f>IF(OR(COUNT(R9:V9)&lt;&gt;5,Q9&lt;&gt;W9,T9&lt;0,T9&gt;10,U9&lt;=0,V9&lt;=0,R9&lt;0,R9&lt;&gt;INT(R9),S9&lt;=0),"",T9*R9*S9/(U9*V9))</x:f>
        <x:v>0.25</x:v>
      </x:c>
      <x:c r="Y9" s="373" t="str">
        <x:v>Core: one 30-second work interval per round; rest excluded.</x:v>
      </x:c>
    </x:row>
    <x:row r="10" ht="15" hidden="0" customHeight="1">
      <x:c r="A10" s="327" t="n">
        <x:f>Daily!A4</x:f>
        <x:v>46322.5</x:v>
      </x:c>
      <x:c r="B10" s="322" t="str">
        <x:f>Daily!D4</x:f>
        <x:v>Handstand technique</x:v>
      </x:c>
      <x:c r="C10" s="322" t="str">
        <x:v>B · Easy chest-to-wall hold</x:v>
      </x:c>
      <x:c r="D10" s="322" t="str">
        <x:v>seconds</x:v>
      </x:c>
      <x:c r="E10" s="324" t="b">
        <x:v>1</x:v>
      </x:c>
      <x:c r="F10" s="330" t="n">
        <x:v>45</x:v>
      </x:c>
      <x:c r="G10" s="331" t="str">
        <x:f>IF(AND(OR(Daily!N4=TRUE,Daily!AB4=TRUE),COUNT(Daily!O4,Daily!P4,Daily!Q4)&gt;0),SUM(Daily!O4,Daily!P4,Daily!Q4)*86400,"")</x:f>
      </x:c>
      <x:c r="H10" s="331" t="n">
        <x:f>IF(AND(E10=TRUE,ISNUMBER(F10),F10&gt;0),100,"")</x:f>
        <x:v>100</x:v>
      </x:c>
      <x:c r="I10" s="331" t="str">
        <x:f>IF(AND(ISNUMBER(H10),ISNUMBER(G10)),IF(J10="lower",IF(G10&gt;0,100*F10/G10,""),100*G10/F10),"")</x:f>
      </x:c>
      <x:c r="J10" s="325" t="str">
        <x:v>higher</x:v>
      </x:c>
      <x:c r="L10" s="309" t="str">
        <x:v>Green = editable. Neutral = formulas. Nothing here proves session completion.</x:v>
      </x:c>
      <x:c r="N10" s="364" t="n">
        <x:f>Daily!A3</x:f>
        <x:v>46321.5</x:v>
      </x:c>
      <x:c r="O10" s="361" t="str">
        <x:f>Daily!D3</x:f>
        <x:v>Skill A + interval circuit</x:v>
      </x:c>
      <x:c r="P10" s="372" t="str">
        <x:v>Weighted squat</x:v>
      </x:c>
      <x:c r="Q10" s="362" t="str">
        <x:v>seconds</x:v>
      </x:c>
      <x:c r="R10" s="367" t="n">
        <x:v>5</x:v>
      </x:c>
      <x:c r="S10" s="367" t="n">
        <x:v>30</x:v>
      </x:c>
      <x:c r="T10" s="368" t="n">
        <x:f>IF(OR(COUNTIFS(Strategy!$B$36:$B$90,P10)&lt;&gt;1,COUNTIFS(Strategy!$B$36:$B$90,P10,Strategy!$C$36:$C$90,"&lt;&gt;")&lt;&gt;1),"",INDEX(Strategy!$C$36:$C$90,MATCH(P10,Strategy!$B$36:$B$90,0)))</x:f>
        <x:v>1</x:v>
      </x:c>
      <x:c r="U10" s="368" t="n">
        <x:f>IF(OR(COUNTIFS(Strategy!$B$36:$B$90,P10)&lt;&gt;1,COUNTIFS(Strategy!$B$36:$B$90,P10,Strategy!$D$36:$D$90,"&lt;&gt;")&lt;&gt;1),"",INDEX(Strategy!$D$36:$D$90,MATCH(P10,Strategy!$B$36:$B$90,0)))</x:f>
        <x:v>5</x:v>
      </x:c>
      <x:c r="V10" s="368" t="n">
        <x:f>IF(OR(COUNTIFS(Strategy!$B$36:$B$90,P10)&lt;&gt;1,COUNTIFS(Strategy!$B$36:$B$90,P10,Strategy!$E$36:$E$90,"&lt;&gt;")&lt;&gt;1),"",INDEX(Strategy!$E$36:$E$90,MATCH(P10,Strategy!$B$36:$B$90,0)))</x:f>
        <x:v>120</x:v>
      </x:c>
      <x:c r="W10" s="361" t="str">
        <x:f>IF(OR(COUNTIFS(Strategy!$B$36:$B$90,P10)&lt;&gt;1,COUNTIFS(Strategy!$B$36:$B$90,P10,Strategy!$F$36:$F$90,"&lt;&gt;")&lt;&gt;1),"",INDEX(Strategy!$F$36:$F$90,MATCH(P10,Strategy!$B$36:$B$90,0)))</x:f>
        <x:v>seconds</x:v>
      </x:c>
      <x:c r="X10" s="370" t="n">
        <x:f>IF(OR(COUNT(R10:V10)&lt;&gt;5,Q10&lt;&gt;W10,T10&lt;0,T10&gt;10,U10&lt;=0,V10&lt;=0,R10&lt;0,R10&lt;&gt;INT(R10),S10&lt;=0),"",T10*R10*S10/(U10*V10))</x:f>
        <x:v>0.25</x:v>
      </x:c>
      <x:c r="Y10" s="374" t="str">
        <x:v>Core: one 30-second work interval per round; rest excluded.</x:v>
      </x:c>
    </x:row>
    <x:row r="11" ht="15" hidden="0" customHeight="1">
      <x:c r="A11" s="326" t="n">
        <x:f>Daily!A4</x:f>
        <x:v>46322.5</x:v>
      </x:c>
      <x:c r="B11" s="318" t="str">
        <x:f>Daily!D4</x:f>
        <x:v>Handstand technique</x:v>
      </x:c>
      <x:c r="C11" s="318" t="str">
        <x:v>C · Wall handstand line drill</x:v>
      </x:c>
      <x:c r="D11" s="318" t="str">
        <x:v>seconds</x:v>
      </x:c>
      <x:c r="E11" s="320" t="b">
        <x:v>1</x:v>
      </x:c>
      <x:c r="F11" s="328" t="n">
        <x:v>30</x:v>
      </x:c>
      <x:c r="G11" s="329" t="str">
        <x:f>IF(AND(OR(Daily!T4=TRUE,Daily!AB4=TRUE),COUNT(Daily!U4,Daily!V4)&gt;0),SUM(Daily!U4,Daily!V4)*86400,"")</x:f>
      </x:c>
      <x:c r="H11" s="329" t="n">
        <x:f>IF(AND(E11=TRUE,ISNUMBER(F11),F11&gt;0),100,"")</x:f>
        <x:v>100</x:v>
      </x:c>
      <x:c r="I11" s="329" t="str">
        <x:f>IF(AND(ISNUMBER(H11),ISNUMBER(G11)),IF(J11="lower",IF(G11&gt;0,100*F11/G11,""),100*G11/F11),"")</x:f>
      </x:c>
      <x:c r="J11" s="321" t="str">
        <x:v>higher</x:v>
      </x:c>
      <x:c r="L11" s="309" t="str">
        <x:v>Lower-direction metrics with an actual zero cannot have a finite ratio.</x:v>
      </x:c>
      <x:c r="N11" s="363" t="n">
        <x:f>Daily!A3</x:f>
        <x:v>46321.5</x:v>
      </x:c>
      <x:c r="O11" s="359" t="str">
        <x:f>Daily!D3</x:f>
        <x:v>Skill A + interval circuit</x:v>
      </x:c>
      <x:c r="P11" s="371" t="str">
        <x:v>Upside-down hanging shoulder/ab work</x:v>
      </x:c>
      <x:c r="Q11" s="360" t="str">
        <x:v>seconds</x:v>
      </x:c>
      <x:c r="R11" s="365" t="n">
        <x:v>5</x:v>
      </x:c>
      <x:c r="S11" s="365" t="n">
        <x:v>30</x:v>
      </x:c>
      <x:c r="T11" s="366" t="n">
        <x:f>IF(OR(COUNTIFS(Strategy!$B$36:$B$90,P11)&lt;&gt;1,COUNTIFS(Strategy!$B$36:$B$90,P11,Strategy!$C$36:$C$90,"&lt;&gt;")&lt;&gt;1),"",INDEX(Strategy!$C$36:$C$90,MATCH(P11,Strategy!$B$36:$B$90,0)))</x:f>
        <x:v>1</x:v>
      </x:c>
      <x:c r="U11" s="366" t="n">
        <x:f>IF(OR(COUNTIFS(Strategy!$B$36:$B$90,P11)&lt;&gt;1,COUNTIFS(Strategy!$B$36:$B$90,P11,Strategy!$D$36:$D$90,"&lt;&gt;")&lt;&gt;1),"",INDEX(Strategy!$D$36:$D$90,MATCH(P11,Strategy!$B$36:$B$90,0)))</x:f>
        <x:v>5</x:v>
      </x:c>
      <x:c r="V11" s="366" t="n">
        <x:f>IF(OR(COUNTIFS(Strategy!$B$36:$B$90,P11)&lt;&gt;1,COUNTIFS(Strategy!$B$36:$B$90,P11,Strategy!$E$36:$E$90,"&lt;&gt;")&lt;&gt;1),"",INDEX(Strategy!$E$36:$E$90,MATCH(P11,Strategy!$B$36:$B$90,0)))</x:f>
        <x:v>120</x:v>
      </x:c>
      <x:c r="W11" s="359" t="str">
        <x:f>IF(OR(COUNTIFS(Strategy!$B$36:$B$90,P11)&lt;&gt;1,COUNTIFS(Strategy!$B$36:$B$90,P11,Strategy!$F$36:$F$90,"&lt;&gt;")&lt;&gt;1),"",INDEX(Strategy!$F$36:$F$90,MATCH(P11,Strategy!$B$36:$B$90,0)))</x:f>
        <x:v>seconds</x:v>
      </x:c>
      <x:c r="X11" s="369" t="n">
        <x:f>IF(OR(COUNT(R11:V11)&lt;&gt;5,Q11&lt;&gt;W11,T11&lt;0,T11&gt;10,U11&lt;=0,V11&lt;=0,R11&lt;0,R11&lt;&gt;INT(R11),S11&lt;=0),"",T11*R11*S11/(U11*V11))</x:f>
        <x:v>0.25</x:v>
      </x:c>
      <x:c r="Y11" s="373" t="str">
        <x:v>Core: one 30-second work interval per round; rest excluded.</x:v>
      </x:c>
    </x:row>
    <x:row r="12" ht="15" hidden="0" customHeight="1">
      <x:c r="A12" s="327" t="n">
        <x:f>Daily!A5</x:f>
        <x:v>46324.5</x:v>
      </x:c>
      <x:c r="B12" s="322" t="str">
        <x:f>Daily!D5</x:f>
        <x:v>Skill B + circuit</x:v>
      </x:c>
      <x:c r="C12" s="322" t="str">
        <x:v>A · Chest-to-wall handstand</x:v>
      </x:c>
      <x:c r="D12" s="322" t="str">
        <x:v>seconds</x:v>
      </x:c>
      <x:c r="E12" s="324" t="b">
        <x:v>1</x:v>
      </x:c>
      <x:c r="F12" s="330" t="n">
        <x:v>60</x:v>
      </x:c>
      <x:c r="G12" s="331" t="str">
        <x:f>IF(AND(OR(Daily!H5=TRUE,Daily!AB5=TRUE),COUNT(Daily!I5,Daily!J5,Daily!K5)&gt;0),SUM(Daily!I5,Daily!J5,Daily!K5)*86400,"")</x:f>
      </x:c>
      <x:c r="H12" s="331" t="n">
        <x:f>IF(AND(E12=TRUE,ISNUMBER(F12),F12&gt;0),100,"")</x:f>
        <x:v>100</x:v>
      </x:c>
      <x:c r="I12" s="331" t="str">
        <x:f>IF(AND(ISNUMBER(H12),ISNUMBER(G12)),IF(J12="lower",IF(G12&gt;0,100*F12/G12,""),100*G12/F12),"")</x:f>
      </x:c>
      <x:c r="J12" s="325" t="str">
        <x:v>higher</x:v>
      </x:c>
      <x:c r="N12" s="364" t="n">
        <x:f>Daily!A4</x:f>
        <x:v>46322.5</x:v>
      </x:c>
      <x:c r="O12" s="361" t="str">
        <x:f>Daily!D4</x:f>
        <x:v>Handstand technique</x:v>
      </x:c>
      <x:c r="P12" s="372" t="str">
        <x:v>Wrist/shoulder mobility</x:v>
      </x:c>
      <x:c r="Q12" s="362" t="str">
        <x:v>seconds</x:v>
      </x:c>
      <x:c r="R12" s="367" t="n">
        <x:v>1</x:v>
      </x:c>
      <x:c r="S12" s="367" t="n">
        <x:v>120</x:v>
      </x:c>
      <x:c r="T12" s="368" t="n">
        <x:f>IF(OR(COUNTIFS(Strategy!$B$36:$B$90,P12)&lt;&gt;1,COUNTIFS(Strategy!$B$36:$B$90,P12,Strategy!$C$36:$C$90,"&lt;&gt;")&lt;&gt;1),"",INDEX(Strategy!$C$36:$C$90,MATCH(P12,Strategy!$B$36:$B$90,0)))</x:f>
        <x:v>1</x:v>
      </x:c>
      <x:c r="U12" s="368" t="n">
        <x:f>IF(OR(COUNTIFS(Strategy!$B$36:$B$90,P12)&lt;&gt;1,COUNTIFS(Strategy!$B$36:$B$90,P12,Strategy!$D$36:$D$90,"&lt;&gt;")&lt;&gt;1),"",INDEX(Strategy!$D$36:$D$90,MATCH(P12,Strategy!$B$36:$B$90,0)))</x:f>
        <x:v>3</x:v>
      </x:c>
      <x:c r="V12" s="368" t="n">
        <x:f>IF(OR(COUNTIFS(Strategy!$B$36:$B$90,P12)&lt;&gt;1,COUNTIFS(Strategy!$B$36:$B$90,P12,Strategy!$E$36:$E$90,"&lt;&gt;")&lt;&gt;1),"",INDEX(Strategy!$E$36:$E$90,MATCH(P12,Strategy!$B$36:$B$90,0)))</x:f>
        <x:v>60</x:v>
      </x:c>
      <x:c r="W12" s="361" t="str">
        <x:f>IF(OR(COUNTIFS(Strategy!$B$36:$B$90,P12)&lt;&gt;1,COUNTIFS(Strategy!$B$36:$B$90,P12,Strategy!$F$36:$F$90,"&lt;&gt;")&lt;&gt;1),"",INDEX(Strategy!$F$36:$F$90,MATCH(P12,Strategy!$B$36:$B$90,0)))</x:f>
        <x:v>seconds</x:v>
      </x:c>
      <x:c r="X12" s="370" t="n">
        <x:f>IF(OR(COUNT(R12:V12)&lt;&gt;5,Q12&lt;&gt;W12,T12&lt;0,T12&gt;10,U12&lt;=0,V12&lt;=0,R12&lt;0,R12&lt;&gt;INT(R12),S12&lt;=0),"",T12*R12*S12/(U12*V12))</x:f>
        <x:v>0.6666666666666666</x:v>
      </x:c>
      <x:c r="Y12" s="374" t="str"/>
    </x:row>
    <x:row r="13" ht="15" hidden="0" customHeight="1">
      <x:c r="A13" s="326" t="n">
        <x:f>Daily!A5</x:f>
        <x:v>46324.5</x:v>
      </x:c>
      <x:c r="B13" s="318" t="str">
        <x:f>Daily!D5</x:f>
        <x:v>Skill B + circuit</x:v>
      </x:c>
      <x:c r="C13" s="318" t="str">
        <x:v>B · Pike push-up</x:v>
      </x:c>
      <x:c r="D13" s="318" t="str">
        <x:v>reps</x:v>
      </x:c>
      <x:c r="E13" s="320" t="b">
        <x:v>1</x:v>
      </x:c>
      <x:c r="F13" s="328" t="n">
        <x:v>15</x:v>
      </x:c>
      <x:c r="G13" s="329" t="str">
        <x:f>IF(AND(OR(Daily!N5=TRUE,Daily!AB5=TRUE),COUNT(Daily!O5,Daily!P5,Daily!Q5)&gt;0),SUM(Daily!O5,Daily!P5,Daily!Q5),"")</x:f>
      </x:c>
      <x:c r="H13" s="329" t="n">
        <x:f>IF(AND(E13=TRUE,ISNUMBER(F13),F13&gt;0),100,"")</x:f>
        <x:v>100</x:v>
      </x:c>
      <x:c r="I13" s="329" t="str">
        <x:f>IF(AND(ISNUMBER(H13),ISNUMBER(G13)),IF(J13="lower",IF(G13&gt;0,100*F13/G13,""),100*G13/F13),"")</x:f>
      </x:c>
      <x:c r="J13" s="321" t="str">
        <x:v>higher</x:v>
      </x:c>
      <x:c r="N13" s="363" t="n">
        <x:f>Daily!A4</x:f>
        <x:v>46322.5</x:v>
      </x:c>
      <x:c r="O13" s="359" t="str">
        <x:f>Daily!D4</x:f>
        <x:v>Handstand technique</x:v>
      </x:c>
      <x:c r="P13" s="371" t="str">
        <x:v>Easy chest-to-wall hold</x:v>
      </x:c>
      <x:c r="Q13" s="360" t="str">
        <x:v>seconds</x:v>
      </x:c>
      <x:c r="R13" s="365" t="n">
        <x:v>3</x:v>
      </x:c>
      <x:c r="S13" s="365" t="n">
        <x:v>15</x:v>
      </x:c>
      <x:c r="T13" s="366" t="n">
        <x:f>IF(OR(COUNTIFS(Strategy!$B$36:$B$90,P13)&lt;&gt;1,COUNTIFS(Strategy!$B$36:$B$90,P13,Strategy!$C$36:$C$90,"&lt;&gt;")&lt;&gt;1),"",INDEX(Strategy!$C$36:$C$90,MATCH(P13,Strategy!$B$36:$B$90,0)))</x:f>
        <x:v>1</x:v>
      </x:c>
      <x:c r="U13" s="366" t="n">
        <x:f>IF(OR(COUNTIFS(Strategy!$B$36:$B$90,P13)&lt;&gt;1,COUNTIFS(Strategy!$B$36:$B$90,P13,Strategy!$D$36:$D$90,"&lt;&gt;")&lt;&gt;1),"",INDEX(Strategy!$D$36:$D$90,MATCH(P13,Strategy!$B$36:$B$90,0)))</x:f>
        <x:v>3</x:v>
      </x:c>
      <x:c r="V13" s="366" t="n">
        <x:f>IF(OR(COUNTIFS(Strategy!$B$36:$B$90,P13)&lt;&gt;1,COUNTIFS(Strategy!$B$36:$B$90,P13,Strategy!$E$36:$E$90,"&lt;&gt;")&lt;&gt;1),"",INDEX(Strategy!$E$36:$E$90,MATCH(P13,Strategy!$B$36:$B$90,0)))</x:f>
        <x:v>60</x:v>
      </x:c>
      <x:c r="W13" s="359" t="str">
        <x:f>IF(OR(COUNTIFS(Strategy!$B$36:$B$90,P13)&lt;&gt;1,COUNTIFS(Strategy!$B$36:$B$90,P13,Strategy!$F$36:$F$90,"&lt;&gt;")&lt;&gt;1),"",INDEX(Strategy!$F$36:$F$90,MATCH(P13,Strategy!$B$36:$B$90,0)))</x:f>
        <x:v>seconds</x:v>
      </x:c>
      <x:c r="X13" s="369" t="n">
        <x:f>IF(OR(COUNT(R13:V13)&lt;&gt;5,Q13&lt;&gt;W13,T13&lt;0,T13&gt;10,U13&lt;=0,V13&lt;=0,R13&lt;0,R13&lt;&gt;INT(R13),S13&lt;=0),"",T13*R13*S13/(U13*V13))</x:f>
        <x:v>0.25</x:v>
      </x:c>
      <x:c r="Y13" s="373" t="str"/>
    </x:row>
    <x:row r="14" ht="15" hidden="0" customHeight="1">
      <x:c r="A14" s="327" t="n">
        <x:f>Daily!A5</x:f>
        <x:v>46324.5</x:v>
      </x:c>
      <x:c r="B14" s="322" t="str">
        <x:f>Daily!D5</x:f>
        <x:v>Skill B + circuit</x:v>
      </x:c>
      <x:c r="C14" s="322" t="str">
        <x:v>C · Box pistol</x:v>
      </x:c>
      <x:c r="D14" s="322" t="str">
        <x:v>reps/leg</x:v>
      </x:c>
      <x:c r="E14" s="324" t="b">
        <x:v>1</x:v>
      </x:c>
      <x:c r="F14" s="330" t="n">
        <x:v>15</x:v>
      </x:c>
      <x:c r="G14" s="331" t="str">
        <x:f>IF(AND(OR(Daily!T5=TRUE,Daily!AB5=TRUE),COUNT(Daily!U5,Daily!V5,Daily!W5)&gt;0),SUM(Daily!U5,Daily!V5,Daily!W5),"")</x:f>
      </x:c>
      <x:c r="H14" s="331" t="n">
        <x:f>IF(AND(E14=TRUE,ISNUMBER(F14),F14&gt;0),100,"")</x:f>
        <x:v>100</x:v>
      </x:c>
      <x:c r="I14" s="331" t="str">
        <x:f>IF(AND(ISNUMBER(H14),ISNUMBER(G14)),IF(J14="lower",IF(G14&gt;0,100*F14/G14,""),100*G14/F14),"")</x:f>
      </x:c>
      <x:c r="J14" s="325" t="str">
        <x:v>higher</x:v>
      </x:c>
      <x:c r="N14" s="364" t="n">
        <x:f>Daily!A4</x:f>
        <x:v>46322.5</x:v>
      </x:c>
      <x:c r="O14" s="361" t="str">
        <x:f>Daily!D4</x:f>
        <x:v>Handstand technique</x:v>
      </x:c>
      <x:c r="P14" s="372" t="str">
        <x:v>Wall handstand line drill</x:v>
      </x:c>
      <x:c r="Q14" s="362" t="str">
        <x:v>seconds</x:v>
      </x:c>
      <x:c r="R14" s="367" t="n">
        <x:v>2</x:v>
      </x:c>
      <x:c r="S14" s="367" t="n">
        <x:v>15</x:v>
      </x:c>
      <x:c r="T14" s="368" t="n">
        <x:f>IF(OR(COUNTIFS(Strategy!$B$36:$B$90,P14)&lt;&gt;1,COUNTIFS(Strategy!$B$36:$B$90,P14,Strategy!$C$36:$C$90,"&lt;&gt;")&lt;&gt;1),"",INDEX(Strategy!$C$36:$C$90,MATCH(P14,Strategy!$B$36:$B$90,0)))</x:f>
        <x:v>1</x:v>
      </x:c>
      <x:c r="U14" s="368" t="n">
        <x:f>IF(OR(COUNTIFS(Strategy!$B$36:$B$90,P14)&lt;&gt;1,COUNTIFS(Strategy!$B$36:$B$90,P14,Strategy!$D$36:$D$90,"&lt;&gt;")&lt;&gt;1),"",INDEX(Strategy!$D$36:$D$90,MATCH(P14,Strategy!$B$36:$B$90,0)))</x:f>
        <x:v>3</x:v>
      </x:c>
      <x:c r="V14" s="368" t="n">
        <x:f>IF(OR(COUNTIFS(Strategy!$B$36:$B$90,P14)&lt;&gt;1,COUNTIFS(Strategy!$B$36:$B$90,P14,Strategy!$E$36:$E$90,"&lt;&gt;")&lt;&gt;1),"",INDEX(Strategy!$E$36:$E$90,MATCH(P14,Strategy!$B$36:$B$90,0)))</x:f>
        <x:v>60</x:v>
      </x:c>
      <x:c r="W14" s="361" t="str">
        <x:f>IF(OR(COUNTIFS(Strategy!$B$36:$B$90,P14)&lt;&gt;1,COUNTIFS(Strategy!$B$36:$B$90,P14,Strategy!$F$36:$F$90,"&lt;&gt;")&lt;&gt;1),"",INDEX(Strategy!$F$36:$F$90,MATCH(P14,Strategy!$B$36:$B$90,0)))</x:f>
        <x:v>seconds</x:v>
      </x:c>
      <x:c r="X14" s="370" t="n">
        <x:f>IF(OR(COUNT(R14:V14)&lt;&gt;5,Q14&lt;&gt;W14,T14&lt;0,T14&gt;10,U14&lt;=0,V14&lt;=0,R14&lt;0,R14&lt;&gt;INT(R14),S14&lt;=0),"",T14*R14*S14/(U14*V14))</x:f>
        <x:v>0.16666666666666666</x:v>
      </x:c>
      <x:c r="Y14" s="374" t="str"/>
    </x:row>
    <x:row r="15" ht="15" hidden="0" customHeight="1">
      <x:c r="A15" s="326" t="n">
        <x:f>Daily!A5</x:f>
        <x:v>46324.5</x:v>
      </x:c>
      <x:c r="B15" s="318" t="str">
        <x:f>Daily!D5</x:f>
        <x:v>Skill B + circuit</x:v>
      </x:c>
      <x:c r="C15" s="318" t="str">
        <x:v>Core</x:v>
      </x:c>
      <x:c r="D15" s="318" t="str">
        <x:v>rounds</x:v>
      </x:c>
      <x:c r="E15" s="320" t="b">
        <x:v>1</x:v>
      </x:c>
      <x:c r="F15" s="328" t="n">
        <x:v>5</x:v>
      </x:c>
      <x:c r="G15" s="329" t="str">
        <x:f>IF(AND(OR(Daily!Z5=TRUE,Daily!AB5=TRUE),COUNT(Daily!AA5)&gt;0),SUM(Daily!AA5),"")</x:f>
      </x:c>
      <x:c r="H15" s="329" t="n">
        <x:f>IF(AND(E15=TRUE,ISNUMBER(F15),F15&gt;0),100,"")</x:f>
        <x:v>100</x:v>
      </x:c>
      <x:c r="I15" s="329" t="str">
        <x:f>IF(AND(ISNUMBER(H15),ISNUMBER(G15)),IF(J15="lower",IF(G15&gt;0,100*F15/G15,""),100*G15/F15),"")</x:f>
      </x:c>
      <x:c r="J15" s="321" t="str">
        <x:v>higher</x:v>
      </x:c>
      <x:c r="N15" s="363" t="n">
        <x:f>Daily!A5</x:f>
        <x:v>46324.5</x:v>
      </x:c>
      <x:c r="O15" s="359" t="str">
        <x:f>Daily!D5</x:f>
        <x:v>Skill B + circuit</x:v>
      </x:c>
      <x:c r="P15" s="371" t="str">
        <x:v>Chest-to-wall handstand</x:v>
      </x:c>
      <x:c r="Q15" s="360" t="str">
        <x:v>seconds</x:v>
      </x:c>
      <x:c r="R15" s="365" t="n">
        <x:v>3</x:v>
      </x:c>
      <x:c r="S15" s="365" t="n">
        <x:v>20</x:v>
      </x:c>
      <x:c r="T15" s="366" t="n">
        <x:f>IF(OR(COUNTIFS(Strategy!$B$36:$B$90,P15)&lt;&gt;1,COUNTIFS(Strategy!$B$36:$B$90,P15,Strategy!$C$36:$C$90,"&lt;&gt;")&lt;&gt;1),"",INDEX(Strategy!$C$36:$C$90,MATCH(P15,Strategy!$B$36:$B$90,0)))</x:f>
        <x:v>4</x:v>
      </x:c>
      <x:c r="U15" s="366" t="n">
        <x:f>IF(OR(COUNTIFS(Strategy!$B$36:$B$90,P15)&lt;&gt;1,COUNTIFS(Strategy!$B$36:$B$90,P15,Strategy!$D$36:$D$90,"&lt;&gt;")&lt;&gt;1),"",INDEX(Strategy!$D$36:$D$90,MATCH(P15,Strategy!$B$36:$B$90,0)))</x:f>
        <x:v>3</x:v>
      </x:c>
      <x:c r="V15" s="366" t="n">
        <x:f>IF(OR(COUNTIFS(Strategy!$B$36:$B$90,P15)&lt;&gt;1,COUNTIFS(Strategy!$B$36:$B$90,P15,Strategy!$E$36:$E$90,"&lt;&gt;")&lt;&gt;1),"",INDEX(Strategy!$E$36:$E$90,MATCH(P15,Strategy!$B$36:$B$90,0)))</x:f>
        <x:v>60</x:v>
      </x:c>
      <x:c r="W15" s="359" t="str">
        <x:f>IF(OR(COUNTIFS(Strategy!$B$36:$B$90,P15)&lt;&gt;1,COUNTIFS(Strategy!$B$36:$B$90,P15,Strategy!$F$36:$F$90,"&lt;&gt;")&lt;&gt;1),"",INDEX(Strategy!$F$36:$F$90,MATCH(P15,Strategy!$B$36:$B$90,0)))</x:f>
        <x:v>seconds</x:v>
      </x:c>
      <x:c r="X15" s="369" t="n">
        <x:f>IF(OR(COUNT(R15:V15)&lt;&gt;5,Q15&lt;&gt;W15,T15&lt;0,T15&gt;10,U15&lt;=0,V15&lt;=0,R15&lt;0,R15&lt;&gt;INT(R15),S15&lt;=0),"",T15*R15*S15/(U15*V15))</x:f>
        <x:v>1.3333333333333333</x:v>
      </x:c>
      <x:c r="Y15" s="373" t="str"/>
    </x:row>
    <x:row r="16" ht="15" hidden="0" customHeight="1">
      <x:c r="A16" s="327" t="n">
        <x:f>Daily!A6</x:f>
        <x:v>46326.5</x:v>
      </x:c>
      <x:c r="B16" s="322" t="str">
        <x:f>Daily!D6</x:f>
        <x:v>Skill micro-session</x:v>
      </x:c>
      <x:c r="C16" s="322" t="str">
        <x:v>A · Wrist/shoulder mobility</x:v>
      </x:c>
      <x:c r="D16" s="322" t="str">
        <x:v>seconds</x:v>
      </x:c>
      <x:c r="E16" s="324" t="b">
        <x:v>1</x:v>
      </x:c>
      <x:c r="F16" s="330" t="n">
        <x:v>120</x:v>
      </x:c>
      <x:c r="G16" s="331" t="str">
        <x:f>IF(AND(OR(Daily!H6=TRUE,Daily!AB6=TRUE),COUNT(Daily!I6)&gt;0),SUM(Daily!I6)*86400,"")</x:f>
      </x:c>
      <x:c r="H16" s="331" t="n">
        <x:f>IF(AND(E16=TRUE,ISNUMBER(F16),F16&gt;0),100,"")</x:f>
        <x:v>100</x:v>
      </x:c>
      <x:c r="I16" s="331" t="str">
        <x:f>IF(AND(ISNUMBER(H16),ISNUMBER(G16)),IF(J16="lower",IF(G16&gt;0,100*F16/G16,""),100*G16/F16),"")</x:f>
      </x:c>
      <x:c r="J16" s="325" t="str">
        <x:v>higher</x:v>
      </x:c>
      <x:c r="N16" s="364" t="n">
        <x:f>Daily!A5</x:f>
        <x:v>46324.5</x:v>
      </x:c>
      <x:c r="O16" s="361" t="str">
        <x:f>Daily!D5</x:f>
        <x:v>Skill B + circuit</x:v>
      </x:c>
      <x:c r="P16" s="372" t="str">
        <x:v>Pike push-up</x:v>
      </x:c>
      <x:c r="Q16" s="362" t="str">
        <x:v>reps</x:v>
      </x:c>
      <x:c r="R16" s="367" t="n">
        <x:v>3</x:v>
      </x:c>
      <x:c r="S16" s="367" t="n">
        <x:v>5</x:v>
      </x:c>
      <x:c r="T16" s="368" t="n">
        <x:f>IF(OR(COUNTIFS(Strategy!$B$36:$B$90,P16)&lt;&gt;1,COUNTIFS(Strategy!$B$36:$B$90,P16,Strategy!$C$36:$C$90,"&lt;&gt;")&lt;&gt;1),"",INDEX(Strategy!$C$36:$C$90,MATCH(P16,Strategy!$B$36:$B$90,0)))</x:f>
        <x:v>4</x:v>
      </x:c>
      <x:c r="U16" s="368" t="n">
        <x:f>IF(OR(COUNTIFS(Strategy!$B$36:$B$90,P16)&lt;&gt;1,COUNTIFS(Strategy!$B$36:$B$90,P16,Strategy!$D$36:$D$90,"&lt;&gt;")&lt;&gt;1),"",INDEX(Strategy!$D$36:$D$90,MATCH(P16,Strategy!$B$36:$B$90,0)))</x:f>
        <x:v>3</x:v>
      </x:c>
      <x:c r="V16" s="368" t="n">
        <x:f>IF(OR(COUNTIFS(Strategy!$B$36:$B$90,P16)&lt;&gt;1,COUNTIFS(Strategy!$B$36:$B$90,P16,Strategy!$E$36:$E$90,"&lt;&gt;")&lt;&gt;1),"",INDEX(Strategy!$E$36:$E$90,MATCH(P16,Strategy!$B$36:$B$90,0)))</x:f>
        <x:v>10</x:v>
      </x:c>
      <x:c r="W16" s="361" t="str">
        <x:f>IF(OR(COUNTIFS(Strategy!$B$36:$B$90,P16)&lt;&gt;1,COUNTIFS(Strategy!$B$36:$B$90,P16,Strategy!$F$36:$F$90,"&lt;&gt;")&lt;&gt;1),"",INDEX(Strategy!$F$36:$F$90,MATCH(P16,Strategy!$B$36:$B$90,0)))</x:f>
        <x:v>reps</x:v>
      </x:c>
      <x:c r="X16" s="370" t="n">
        <x:f>IF(OR(COUNT(R16:V16)&lt;&gt;5,Q16&lt;&gt;W16,T16&lt;0,T16&gt;10,U16&lt;=0,V16&lt;=0,R16&lt;0,R16&lt;&gt;INT(R16),S16&lt;=0),"",T16*R16*S16/(U16*V16))</x:f>
        <x:v>2</x:v>
      </x:c>
      <x:c r="Y16" s="374" t="str"/>
    </x:row>
    <x:row r="17" ht="15" hidden="0" customHeight="1">
      <x:c r="A17" s="326" t="n">
        <x:f>Daily!A6</x:f>
        <x:v>46326.5</x:v>
      </x:c>
      <x:c r="B17" s="318" t="str">
        <x:f>Daily!D6</x:f>
        <x:v>Skill micro-session</x:v>
      </x:c>
      <x:c r="C17" s="318" t="str">
        <x:v>B · Easy chest-to-wall hold</x:v>
      </x:c>
      <x:c r="D17" s="318" t="str">
        <x:v>seconds</x:v>
      </x:c>
      <x:c r="E17" s="320" t="b">
        <x:v>1</x:v>
      </x:c>
      <x:c r="F17" s="328" t="n">
        <x:v>45</x:v>
      </x:c>
      <x:c r="G17" s="329" t="str">
        <x:f>IF(AND(OR(Daily!N6=TRUE,Daily!AB6=TRUE),COUNT(Daily!O6,Daily!P6,Daily!Q6)&gt;0),SUM(Daily!O6,Daily!P6,Daily!Q6)*86400,"")</x:f>
      </x:c>
      <x:c r="H17" s="329" t="n">
        <x:f>IF(AND(E17=TRUE,ISNUMBER(F17),F17&gt;0),100,"")</x:f>
        <x:v>100</x:v>
      </x:c>
      <x:c r="I17" s="329" t="str">
        <x:f>IF(AND(ISNUMBER(H17),ISNUMBER(G17)),IF(J17="lower",IF(G17&gt;0,100*F17/G17,""),100*G17/F17),"")</x:f>
      </x:c>
      <x:c r="J17" s="321" t="str">
        <x:v>higher</x:v>
      </x:c>
      <x:c r="N17" s="363" t="n">
        <x:f>Daily!A5</x:f>
        <x:v>46324.5</x:v>
      </x:c>
      <x:c r="O17" s="359" t="str">
        <x:f>Daily!D5</x:f>
        <x:v>Skill B + circuit</x:v>
      </x:c>
      <x:c r="P17" s="371" t="str">
        <x:v>Box pistol</x:v>
      </x:c>
      <x:c r="Q17" s="360" t="str">
        <x:v>reps/leg</x:v>
      </x:c>
      <x:c r="R17" s="365" t="n">
        <x:v>3</x:v>
      </x:c>
      <x:c r="S17" s="365" t="n">
        <x:v>5</x:v>
      </x:c>
      <x:c r="T17" s="366" t="n">
        <x:f>IF(OR(COUNTIFS(Strategy!$B$36:$B$90,P17)&lt;&gt;1,COUNTIFS(Strategy!$B$36:$B$90,P17,Strategy!$C$36:$C$90,"&lt;&gt;")&lt;&gt;1),"",INDEX(Strategy!$C$36:$C$90,MATCH(P17,Strategy!$B$36:$B$90,0)))</x:f>
        <x:v>2</x:v>
      </x:c>
      <x:c r="U17" s="366" t="n">
        <x:f>IF(OR(COUNTIFS(Strategy!$B$36:$B$90,P17)&lt;&gt;1,COUNTIFS(Strategy!$B$36:$B$90,P17,Strategy!$D$36:$D$90,"&lt;&gt;")&lt;&gt;1),"",INDEX(Strategy!$D$36:$D$90,MATCH(P17,Strategy!$B$36:$B$90,0)))</x:f>
        <x:v>3</x:v>
      </x:c>
      <x:c r="V17" s="366" t="n">
        <x:f>IF(OR(COUNTIFS(Strategy!$B$36:$B$90,P17)&lt;&gt;1,COUNTIFS(Strategy!$B$36:$B$90,P17,Strategy!$E$36:$E$90,"&lt;&gt;")&lt;&gt;1),"",INDEX(Strategy!$E$36:$E$90,MATCH(P17,Strategy!$B$36:$B$90,0)))</x:f>
        <x:v>10</x:v>
      </x:c>
      <x:c r="W17" s="359" t="str">
        <x:f>IF(OR(COUNTIFS(Strategy!$B$36:$B$90,P17)&lt;&gt;1,COUNTIFS(Strategy!$B$36:$B$90,P17,Strategy!$F$36:$F$90,"&lt;&gt;")&lt;&gt;1),"",INDEX(Strategy!$F$36:$F$90,MATCH(P17,Strategy!$B$36:$B$90,0)))</x:f>
        <x:v>reps/leg</x:v>
      </x:c>
      <x:c r="X17" s="369" t="n">
        <x:f>IF(OR(COUNT(R17:V17)&lt;&gt;5,Q17&lt;&gt;W17,T17&lt;0,T17&gt;10,U17&lt;=0,V17&lt;=0,R17&lt;0,R17&lt;&gt;INT(R17),S17&lt;=0),"",T17*R17*S17/(U17*V17))</x:f>
        <x:v>1</x:v>
      </x:c>
      <x:c r="Y17" s="373" t="str"/>
    </x:row>
    <x:row r="18" ht="15" hidden="0" customHeight="1">
      <x:c r="A18" s="327" t="n">
        <x:f>Daily!A6</x:f>
        <x:v>46326.5</x:v>
      </x:c>
      <x:c r="B18" s="322" t="str">
        <x:f>Daily!D6</x:f>
        <x:v>Skill micro-session</x:v>
      </x:c>
      <x:c r="C18" s="322" t="str">
        <x:v>C · Wall handstand line drill</x:v>
      </x:c>
      <x:c r="D18" s="322" t="str">
        <x:v>seconds</x:v>
      </x:c>
      <x:c r="E18" s="324" t="b">
        <x:v>1</x:v>
      </x:c>
      <x:c r="F18" s="330" t="n">
        <x:v>45</x:v>
      </x:c>
      <x:c r="G18" s="331" t="str">
        <x:f>IF(AND(OR(Daily!T6=TRUE,Daily!AB6=TRUE),COUNT(Daily!U6,Daily!V6,Daily!W6)&gt;0),SUM(Daily!U6,Daily!V6,Daily!W6)*86400,"")</x:f>
      </x:c>
      <x:c r="H18" s="331" t="n">
        <x:f>IF(AND(E18=TRUE,ISNUMBER(F18),F18&gt;0),100,"")</x:f>
        <x:v>100</x:v>
      </x:c>
      <x:c r="I18" s="331" t="str">
        <x:f>IF(AND(ISNUMBER(H18),ISNUMBER(G18)),IF(J18="lower",IF(G18&gt;0,100*F18/G18,""),100*G18/F18),"")</x:f>
      </x:c>
      <x:c r="J18" s="325" t="str">
        <x:v>higher</x:v>
      </x:c>
      <x:c r="N18" s="364" t="n">
        <x:f>Daily!A5</x:f>
        <x:v>46324.5</x:v>
      </x:c>
      <x:c r="O18" s="361" t="str">
        <x:f>Daily!D5</x:f>
        <x:v>Skill B + circuit</x:v>
      </x:c>
      <x:c r="P18" s="372" t="str">
        <x:v>Pull-up</x:v>
      </x:c>
      <x:c r="Q18" s="362" t="str">
        <x:v>seconds</x:v>
      </x:c>
      <x:c r="R18" s="367" t="n">
        <x:v>5</x:v>
      </x:c>
      <x:c r="S18" s="367" t="n">
        <x:v>30</x:v>
      </x:c>
      <x:c r="T18" s="368" t="n">
        <x:f>IF(OR(COUNTIFS(Strategy!$B$36:$B$90,P18)&lt;&gt;1,COUNTIFS(Strategy!$B$36:$B$90,P18,Strategy!$C$36:$C$90,"&lt;&gt;")&lt;&gt;1),"",INDEX(Strategy!$C$36:$C$90,MATCH(P18,Strategy!$B$36:$B$90,0)))</x:f>
        <x:v>1</x:v>
      </x:c>
      <x:c r="U18" s="368" t="n">
        <x:f>IF(OR(COUNTIFS(Strategy!$B$36:$B$90,P18)&lt;&gt;1,COUNTIFS(Strategy!$B$36:$B$90,P18,Strategy!$D$36:$D$90,"&lt;&gt;")&lt;&gt;1),"",INDEX(Strategy!$D$36:$D$90,MATCH(P18,Strategy!$B$36:$B$90,0)))</x:f>
        <x:v>5</x:v>
      </x:c>
      <x:c r="V18" s="368" t="n">
        <x:f>IF(OR(COUNTIFS(Strategy!$B$36:$B$90,P18)&lt;&gt;1,COUNTIFS(Strategy!$B$36:$B$90,P18,Strategy!$E$36:$E$90,"&lt;&gt;")&lt;&gt;1),"",INDEX(Strategy!$E$36:$E$90,MATCH(P18,Strategy!$B$36:$B$90,0)))</x:f>
        <x:v>120</x:v>
      </x:c>
      <x:c r="W18" s="361" t="str">
        <x:f>IF(OR(COUNTIFS(Strategy!$B$36:$B$90,P18)&lt;&gt;1,COUNTIFS(Strategy!$B$36:$B$90,P18,Strategy!$F$36:$F$90,"&lt;&gt;")&lt;&gt;1),"",INDEX(Strategy!$F$36:$F$90,MATCH(P18,Strategy!$B$36:$B$90,0)))</x:f>
        <x:v>seconds</x:v>
      </x:c>
      <x:c r="X18" s="370" t="n">
        <x:f>IF(OR(COUNT(R18:V18)&lt;&gt;5,Q18&lt;&gt;W18,T18&lt;0,T18&gt;10,U18&lt;=0,V18&lt;=0,R18&lt;0,R18&lt;&gt;INT(R18),S18&lt;=0),"",T18*R18*S18/(U18*V18))</x:f>
        <x:v>0.25</x:v>
      </x:c>
      <x:c r="Y18" s="374" t="str">
        <x:v>Core: one 30-second work interval per round; rest excluded.</x:v>
      </x:c>
    </x:row>
    <x:row r="19" ht="15" hidden="0" customHeight="1">
      <x:c r="A19" s="326" t="n">
        <x:f>Daily!A7</x:f>
        <x:v>46328.5</x:v>
      </x:c>
      <x:c r="B19" s="318" t="str">
        <x:f>Daily!D7</x:f>
        <x:v>Skill A + interval circuit</x:v>
      </x:c>
      <x:c r="C19" s="318" t="str">
        <x:v>A · Band transition drill</x:v>
      </x:c>
      <x:c r="D19" s="318" t="str">
        <x:v>reps</x:v>
      </x:c>
      <x:c r="E19" s="320" t="b">
        <x:v>1</x:v>
      </x:c>
      <x:c r="F19" s="328" t="n">
        <x:v>9</x:v>
      </x:c>
      <x:c r="G19" s="329" t="str">
        <x:f>IF(AND(OR(Daily!H7=TRUE,Daily!AB7=TRUE),COUNT(Daily!I7,Daily!J7,Daily!K7)&gt;0),SUM(Daily!I7,Daily!J7,Daily!K7),"")</x:f>
      </x:c>
      <x:c r="H19" s="329" t="n">
        <x:f>IF(AND(E19=TRUE,ISNUMBER(F19),F19&gt;0),100,"")</x:f>
        <x:v>100</x:v>
      </x:c>
      <x:c r="I19" s="329" t="str">
        <x:f>IF(AND(ISNUMBER(H19),ISNUMBER(G19)),IF(J19="lower",IF(G19&gt;0,100*F19/G19,""),100*G19/F19),"")</x:f>
      </x:c>
      <x:c r="J19" s="321" t="str">
        <x:v>higher</x:v>
      </x:c>
      <x:c r="N19" s="363" t="n">
        <x:f>Daily!A5</x:f>
        <x:v>46324.5</x:v>
      </x:c>
      <x:c r="O19" s="359" t="str">
        <x:f>Daily!D5</x:f>
        <x:v>Skill B + circuit</x:v>
      </x:c>
      <x:c r="P19" s="371" t="str">
        <x:v>Push-up</x:v>
      </x:c>
      <x:c r="Q19" s="360" t="str">
        <x:v>seconds</x:v>
      </x:c>
      <x:c r="R19" s="365" t="n">
        <x:v>5</x:v>
      </x:c>
      <x:c r="S19" s="365" t="n">
        <x:v>30</x:v>
      </x:c>
      <x:c r="T19" s="366" t="n">
        <x:f>IF(OR(COUNTIFS(Strategy!$B$36:$B$90,P19)&lt;&gt;1,COUNTIFS(Strategy!$B$36:$B$90,P19,Strategy!$C$36:$C$90,"&lt;&gt;")&lt;&gt;1),"",INDEX(Strategy!$C$36:$C$90,MATCH(P19,Strategy!$B$36:$B$90,0)))</x:f>
        <x:v>1</x:v>
      </x:c>
      <x:c r="U19" s="366" t="n">
        <x:f>IF(OR(COUNTIFS(Strategy!$B$36:$B$90,P19)&lt;&gt;1,COUNTIFS(Strategy!$B$36:$B$90,P19,Strategy!$D$36:$D$90,"&lt;&gt;")&lt;&gt;1),"",INDEX(Strategy!$D$36:$D$90,MATCH(P19,Strategy!$B$36:$B$90,0)))</x:f>
        <x:v>5</x:v>
      </x:c>
      <x:c r="V19" s="366" t="n">
        <x:f>IF(OR(COUNTIFS(Strategy!$B$36:$B$90,P19)&lt;&gt;1,COUNTIFS(Strategy!$B$36:$B$90,P19,Strategy!$E$36:$E$90,"&lt;&gt;")&lt;&gt;1),"",INDEX(Strategy!$E$36:$E$90,MATCH(P19,Strategy!$B$36:$B$90,0)))</x:f>
        <x:v>120</x:v>
      </x:c>
      <x:c r="W19" s="359" t="str">
        <x:f>IF(OR(COUNTIFS(Strategy!$B$36:$B$90,P19)&lt;&gt;1,COUNTIFS(Strategy!$B$36:$B$90,P19,Strategy!$F$36:$F$90,"&lt;&gt;")&lt;&gt;1),"",INDEX(Strategy!$F$36:$F$90,MATCH(P19,Strategy!$B$36:$B$90,0)))</x:f>
        <x:v>seconds</x:v>
      </x:c>
      <x:c r="X19" s="369" t="n">
        <x:f>IF(OR(COUNT(R19:V19)&lt;&gt;5,Q19&lt;&gt;W19,T19&lt;0,T19&gt;10,U19&lt;=0,V19&lt;=0,R19&lt;0,R19&lt;&gt;INT(R19),S19&lt;=0),"",T19*R19*S19/(U19*V19))</x:f>
        <x:v>0.25</x:v>
      </x:c>
      <x:c r="Y19" s="373" t="str">
        <x:v>Core: one 30-second work interval per round; rest excluded.</x:v>
      </x:c>
    </x:row>
    <x:row r="20" ht="15" hidden="0" customHeight="1">
      <x:c r="A20" s="327" t="n">
        <x:f>Daily!A7</x:f>
        <x:v>46328.5</x:v>
      </x:c>
      <x:c r="B20" s="322" t="str">
        <x:f>Daily!D7</x:f>
        <x:v>Skill A + interval circuit</x:v>
      </x:c>
      <x:c r="C20" s="322" t="str">
        <x:v>B · High pull</x:v>
      </x:c>
      <x:c r="D20" s="322" t="str">
        <x:v>reps</x:v>
      </x:c>
      <x:c r="E20" s="324" t="b">
        <x:v>1</x:v>
      </x:c>
      <x:c r="F20" s="330" t="n">
        <x:v>9</x:v>
      </x:c>
      <x:c r="G20" s="331" t="str">
        <x:f>IF(AND(OR(Daily!N7=TRUE,Daily!AB7=TRUE),COUNT(Daily!O7,Daily!P7,Daily!Q7)&gt;0),SUM(Daily!O7,Daily!P7,Daily!Q7),"")</x:f>
      </x:c>
      <x:c r="H20" s="331" t="n">
        <x:f>IF(AND(E20=TRUE,ISNUMBER(F20),F20&gt;0),100,"")</x:f>
        <x:v>100</x:v>
      </x:c>
      <x:c r="I20" s="331" t="str">
        <x:f>IF(AND(ISNUMBER(H20),ISNUMBER(G20)),IF(J20="lower",IF(G20&gt;0,100*F20/G20,""),100*G20/F20),"")</x:f>
      </x:c>
      <x:c r="J20" s="325" t="str">
        <x:v>higher</x:v>
      </x:c>
      <x:c r="N20" s="364" t="n">
        <x:f>Daily!A5</x:f>
        <x:v>46324.5</x:v>
      </x:c>
      <x:c r="O20" s="361" t="str">
        <x:f>Daily!D5</x:f>
        <x:v>Skill B + circuit</x:v>
      </x:c>
      <x:c r="P20" s="372" t="str">
        <x:v>Weighted squat</x:v>
      </x:c>
      <x:c r="Q20" s="362" t="str">
        <x:v>seconds</x:v>
      </x:c>
      <x:c r="R20" s="367" t="n">
        <x:v>5</x:v>
      </x:c>
      <x:c r="S20" s="367" t="n">
        <x:v>30</x:v>
      </x:c>
      <x:c r="T20" s="368" t="n">
        <x:f>IF(OR(COUNTIFS(Strategy!$B$36:$B$90,P20)&lt;&gt;1,COUNTIFS(Strategy!$B$36:$B$90,P20,Strategy!$C$36:$C$90,"&lt;&gt;")&lt;&gt;1),"",INDEX(Strategy!$C$36:$C$90,MATCH(P20,Strategy!$B$36:$B$90,0)))</x:f>
        <x:v>1</x:v>
      </x:c>
      <x:c r="U20" s="368" t="n">
        <x:f>IF(OR(COUNTIFS(Strategy!$B$36:$B$90,P20)&lt;&gt;1,COUNTIFS(Strategy!$B$36:$B$90,P20,Strategy!$D$36:$D$90,"&lt;&gt;")&lt;&gt;1),"",INDEX(Strategy!$D$36:$D$90,MATCH(P20,Strategy!$B$36:$B$90,0)))</x:f>
        <x:v>5</x:v>
      </x:c>
      <x:c r="V20" s="368" t="n">
        <x:f>IF(OR(COUNTIFS(Strategy!$B$36:$B$90,P20)&lt;&gt;1,COUNTIFS(Strategy!$B$36:$B$90,P20,Strategy!$E$36:$E$90,"&lt;&gt;")&lt;&gt;1),"",INDEX(Strategy!$E$36:$E$90,MATCH(P20,Strategy!$B$36:$B$90,0)))</x:f>
        <x:v>120</x:v>
      </x:c>
      <x:c r="W20" s="361" t="str">
        <x:f>IF(OR(COUNTIFS(Strategy!$B$36:$B$90,P20)&lt;&gt;1,COUNTIFS(Strategy!$B$36:$B$90,P20,Strategy!$F$36:$F$90,"&lt;&gt;")&lt;&gt;1),"",INDEX(Strategy!$F$36:$F$90,MATCH(P20,Strategy!$B$36:$B$90,0)))</x:f>
        <x:v>seconds</x:v>
      </x:c>
      <x:c r="X20" s="370" t="n">
        <x:f>IF(OR(COUNT(R20:V20)&lt;&gt;5,Q20&lt;&gt;W20,T20&lt;0,T20&gt;10,U20&lt;=0,V20&lt;=0,R20&lt;0,R20&lt;&gt;INT(R20),S20&lt;=0),"",T20*R20*S20/(U20*V20))</x:f>
        <x:v>0.25</x:v>
      </x:c>
      <x:c r="Y20" s="374" t="str">
        <x:v>Core: one 30-second work interval per round; rest excluded.</x:v>
      </x:c>
    </x:row>
    <x:row r="21" ht="15" hidden="0" customHeight="1">
      <x:c r="A21" s="326" t="n">
        <x:f>Daily!A7</x:f>
        <x:v>46328.5</x:v>
      </x:c>
      <x:c r="B21" s="318" t="str">
        <x:f>Daily!D7</x:f>
        <x:v>Skill A + interval circuit</x:v>
      </x:c>
      <x:c r="C21" s="318" t="str">
        <x:v>C · Lower-box pistol with counterweight</x:v>
      </x:c>
      <x:c r="D21" s="318" t="str">
        <x:v>reps/leg</x:v>
      </x:c>
      <x:c r="E21" s="320" t="b">
        <x:v>1</x:v>
      </x:c>
      <x:c r="F21" s="328" t="n">
        <x:v>12</x:v>
      </x:c>
      <x:c r="G21" s="329" t="str">
        <x:f>IF(AND(OR(Daily!T7=TRUE,Daily!AB7=TRUE),COUNT(Daily!U7,Daily!V7,Daily!W7)&gt;0),SUM(Daily!U7,Daily!V7,Daily!W7),"")</x:f>
      </x:c>
      <x:c r="H21" s="329" t="n">
        <x:f>IF(AND(E21=TRUE,ISNUMBER(F21),F21&gt;0),100,"")</x:f>
        <x:v>100</x:v>
      </x:c>
      <x:c r="I21" s="329" t="str">
        <x:f>IF(AND(ISNUMBER(H21),ISNUMBER(G21)),IF(J21="lower",IF(G21&gt;0,100*F21/G21,""),100*G21/F21),"")</x:f>
      </x:c>
      <x:c r="J21" s="321" t="str">
        <x:v>higher</x:v>
      </x:c>
      <x:c r="N21" s="363" t="n">
        <x:f>Daily!A5</x:f>
        <x:v>46324.5</x:v>
      </x:c>
      <x:c r="O21" s="359" t="str">
        <x:f>Daily!D5</x:f>
        <x:v>Skill B + circuit</x:v>
      </x:c>
      <x:c r="P21" s="371" t="str">
        <x:v>Upside-down hanging shoulder/ab work</x:v>
      </x:c>
      <x:c r="Q21" s="360" t="str">
        <x:v>seconds</x:v>
      </x:c>
      <x:c r="R21" s="365" t="n">
        <x:v>5</x:v>
      </x:c>
      <x:c r="S21" s="365" t="n">
        <x:v>30</x:v>
      </x:c>
      <x:c r="T21" s="366" t="n">
        <x:f>IF(OR(COUNTIFS(Strategy!$B$36:$B$90,P21)&lt;&gt;1,COUNTIFS(Strategy!$B$36:$B$90,P21,Strategy!$C$36:$C$90,"&lt;&gt;")&lt;&gt;1),"",INDEX(Strategy!$C$36:$C$90,MATCH(P21,Strategy!$B$36:$B$90,0)))</x:f>
        <x:v>1</x:v>
      </x:c>
      <x:c r="U21" s="366" t="n">
        <x:f>IF(OR(COUNTIFS(Strategy!$B$36:$B$90,P21)&lt;&gt;1,COUNTIFS(Strategy!$B$36:$B$90,P21,Strategy!$D$36:$D$90,"&lt;&gt;")&lt;&gt;1),"",INDEX(Strategy!$D$36:$D$90,MATCH(P21,Strategy!$B$36:$B$90,0)))</x:f>
        <x:v>5</x:v>
      </x:c>
      <x:c r="V21" s="366" t="n">
        <x:f>IF(OR(COUNTIFS(Strategy!$B$36:$B$90,P21)&lt;&gt;1,COUNTIFS(Strategy!$B$36:$B$90,P21,Strategy!$E$36:$E$90,"&lt;&gt;")&lt;&gt;1),"",INDEX(Strategy!$E$36:$E$90,MATCH(P21,Strategy!$B$36:$B$90,0)))</x:f>
        <x:v>120</x:v>
      </x:c>
      <x:c r="W21" s="359" t="str">
        <x:f>IF(OR(COUNTIFS(Strategy!$B$36:$B$90,P21)&lt;&gt;1,COUNTIFS(Strategy!$B$36:$B$90,P21,Strategy!$F$36:$F$90,"&lt;&gt;")&lt;&gt;1),"",INDEX(Strategy!$F$36:$F$90,MATCH(P21,Strategy!$B$36:$B$90,0)))</x:f>
        <x:v>seconds</x:v>
      </x:c>
      <x:c r="X21" s="369" t="n">
        <x:f>IF(OR(COUNT(R21:V21)&lt;&gt;5,Q21&lt;&gt;W21,T21&lt;0,T21&gt;10,U21&lt;=0,V21&lt;=0,R21&lt;0,R21&lt;&gt;INT(R21),S21&lt;=0),"",T21*R21*S21/(U21*V21))</x:f>
        <x:v>0.25</x:v>
      </x:c>
      <x:c r="Y21" s="373" t="str">
        <x:v>Core: one 30-second work interval per round; rest excluded.</x:v>
      </x:c>
    </x:row>
    <x:row r="22" ht="15" hidden="0" customHeight="1">
      <x:c r="A22" s="327" t="n">
        <x:f>Daily!A7</x:f>
        <x:v>46328.5</x:v>
      </x:c>
      <x:c r="B22" s="322" t="str">
        <x:f>Daily!D7</x:f>
        <x:v>Skill A + interval circuit</x:v>
      </x:c>
      <x:c r="C22" s="322" t="str">
        <x:v>Core</x:v>
      </x:c>
      <x:c r="D22" s="322" t="str">
        <x:v>rounds</x:v>
      </x:c>
      <x:c r="E22" s="324" t="b">
        <x:v>1</x:v>
      </x:c>
      <x:c r="F22" s="330" t="n">
        <x:v>5</x:v>
      </x:c>
      <x:c r="G22" s="331" t="str">
        <x:f>IF(AND(OR(Daily!Z7=TRUE,Daily!AB7=TRUE),COUNT(Daily!AA7)&gt;0),SUM(Daily!AA7),"")</x:f>
      </x:c>
      <x:c r="H22" s="331" t="n">
        <x:f>IF(AND(E22=TRUE,ISNUMBER(F22),F22&gt;0),100,"")</x:f>
        <x:v>100</x:v>
      </x:c>
      <x:c r="I22" s="331" t="str">
        <x:f>IF(AND(ISNUMBER(H22),ISNUMBER(G22)),IF(J22="lower",IF(G22&gt;0,100*F22/G22,""),100*G22/F22),"")</x:f>
      </x:c>
      <x:c r="J22" s="325" t="str">
        <x:v>higher</x:v>
      </x:c>
      <x:c r="N22" s="364" t="n">
        <x:f>Daily!A6</x:f>
        <x:v>46326.5</x:v>
      </x:c>
      <x:c r="O22" s="361" t="str">
        <x:f>Daily!D6</x:f>
        <x:v>Skill micro-session</x:v>
      </x:c>
      <x:c r="P22" s="372" t="str">
        <x:v>Wrist/shoulder mobility</x:v>
      </x:c>
      <x:c r="Q22" s="362" t="str">
        <x:v>seconds</x:v>
      </x:c>
      <x:c r="R22" s="367" t="n">
        <x:v>1</x:v>
      </x:c>
      <x:c r="S22" s="367" t="n">
        <x:v>120</x:v>
      </x:c>
      <x:c r="T22" s="368" t="n">
        <x:f>IF(OR(COUNTIFS(Strategy!$B$36:$B$90,P22)&lt;&gt;1,COUNTIFS(Strategy!$B$36:$B$90,P22,Strategy!$C$36:$C$90,"&lt;&gt;")&lt;&gt;1),"",INDEX(Strategy!$C$36:$C$90,MATCH(P22,Strategy!$B$36:$B$90,0)))</x:f>
        <x:v>1</x:v>
      </x:c>
      <x:c r="U22" s="368" t="n">
        <x:f>IF(OR(COUNTIFS(Strategy!$B$36:$B$90,P22)&lt;&gt;1,COUNTIFS(Strategy!$B$36:$B$90,P22,Strategy!$D$36:$D$90,"&lt;&gt;")&lt;&gt;1),"",INDEX(Strategy!$D$36:$D$90,MATCH(P22,Strategy!$B$36:$B$90,0)))</x:f>
        <x:v>3</x:v>
      </x:c>
      <x:c r="V22" s="368" t="n">
        <x:f>IF(OR(COUNTIFS(Strategy!$B$36:$B$90,P22)&lt;&gt;1,COUNTIFS(Strategy!$B$36:$B$90,P22,Strategy!$E$36:$E$90,"&lt;&gt;")&lt;&gt;1),"",INDEX(Strategy!$E$36:$E$90,MATCH(P22,Strategy!$B$36:$B$90,0)))</x:f>
        <x:v>60</x:v>
      </x:c>
      <x:c r="W22" s="361" t="str">
        <x:f>IF(OR(COUNTIFS(Strategy!$B$36:$B$90,P22)&lt;&gt;1,COUNTIFS(Strategy!$B$36:$B$90,P22,Strategy!$F$36:$F$90,"&lt;&gt;")&lt;&gt;1),"",INDEX(Strategy!$F$36:$F$90,MATCH(P22,Strategy!$B$36:$B$90,0)))</x:f>
        <x:v>seconds</x:v>
      </x:c>
      <x:c r="X22" s="370" t="n">
        <x:f>IF(OR(COUNT(R22:V22)&lt;&gt;5,Q22&lt;&gt;W22,T22&lt;0,T22&gt;10,U22&lt;=0,V22&lt;=0,R22&lt;0,R22&lt;&gt;INT(R22),S22&lt;=0),"",T22*R22*S22/(U22*V22))</x:f>
        <x:v>0.6666666666666666</x:v>
      </x:c>
      <x:c r="Y22" s="374" t="str"/>
    </x:row>
    <x:row r="23" ht="15" hidden="0" customHeight="1">
      <x:c r="A23" s="326" t="n">
        <x:f>Daily!A8</x:f>
        <x:v>46329.5</x:v>
      </x:c>
      <x:c r="B23" s="318" t="str">
        <x:f>Daily!D8</x:f>
        <x:v>Handstand technique</x:v>
      </x:c>
      <x:c r="C23" s="318" t="str">
        <x:v>A · Wrist/shoulder mobility</x:v>
      </x:c>
      <x:c r="D23" s="318" t="str">
        <x:v>seconds</x:v>
      </x:c>
      <x:c r="E23" s="320" t="b">
        <x:v>1</x:v>
      </x:c>
      <x:c r="F23" s="328" t="n">
        <x:v>120</x:v>
      </x:c>
      <x:c r="G23" s="329" t="str">
        <x:f>IF(AND(OR(Daily!H8=TRUE,Daily!AB8=TRUE),COUNT(Daily!I8)&gt;0),SUM(Daily!I8)*86400,"")</x:f>
      </x:c>
      <x:c r="H23" s="329" t="n">
        <x:f>IF(AND(E23=TRUE,ISNUMBER(F23),F23&gt;0),100,"")</x:f>
        <x:v>100</x:v>
      </x:c>
      <x:c r="I23" s="329" t="str">
        <x:f>IF(AND(ISNUMBER(H23),ISNUMBER(G23)),IF(J23="lower",IF(G23&gt;0,100*F23/G23,""),100*G23/F23),"")</x:f>
      </x:c>
      <x:c r="J23" s="321" t="str">
        <x:v>higher</x:v>
      </x:c>
      <x:c r="N23" s="363" t="n">
        <x:f>Daily!A6</x:f>
        <x:v>46326.5</x:v>
      </x:c>
      <x:c r="O23" s="359" t="str">
        <x:f>Daily!D6</x:f>
        <x:v>Skill micro-session</x:v>
      </x:c>
      <x:c r="P23" s="371" t="str">
        <x:v>Easy chest-to-wall hold</x:v>
      </x:c>
      <x:c r="Q23" s="360" t="str">
        <x:v>seconds</x:v>
      </x:c>
      <x:c r="R23" s="365" t="n">
        <x:v>3</x:v>
      </x:c>
      <x:c r="S23" s="365" t="n">
        <x:v>15</x:v>
      </x:c>
      <x:c r="T23" s="366" t="n">
        <x:f>IF(OR(COUNTIFS(Strategy!$B$36:$B$90,P23)&lt;&gt;1,COUNTIFS(Strategy!$B$36:$B$90,P23,Strategy!$C$36:$C$90,"&lt;&gt;")&lt;&gt;1),"",INDEX(Strategy!$C$36:$C$90,MATCH(P23,Strategy!$B$36:$B$90,0)))</x:f>
        <x:v>1</x:v>
      </x:c>
      <x:c r="U23" s="366" t="n">
        <x:f>IF(OR(COUNTIFS(Strategy!$B$36:$B$90,P23)&lt;&gt;1,COUNTIFS(Strategy!$B$36:$B$90,P23,Strategy!$D$36:$D$90,"&lt;&gt;")&lt;&gt;1),"",INDEX(Strategy!$D$36:$D$90,MATCH(P23,Strategy!$B$36:$B$90,0)))</x:f>
        <x:v>3</x:v>
      </x:c>
      <x:c r="V23" s="366" t="n">
        <x:f>IF(OR(COUNTIFS(Strategy!$B$36:$B$90,P23)&lt;&gt;1,COUNTIFS(Strategy!$B$36:$B$90,P23,Strategy!$E$36:$E$90,"&lt;&gt;")&lt;&gt;1),"",INDEX(Strategy!$E$36:$E$90,MATCH(P23,Strategy!$B$36:$B$90,0)))</x:f>
        <x:v>60</x:v>
      </x:c>
      <x:c r="W23" s="359" t="str">
        <x:f>IF(OR(COUNTIFS(Strategy!$B$36:$B$90,P23)&lt;&gt;1,COUNTIFS(Strategy!$B$36:$B$90,P23,Strategy!$F$36:$F$90,"&lt;&gt;")&lt;&gt;1),"",INDEX(Strategy!$F$36:$F$90,MATCH(P23,Strategy!$B$36:$B$90,0)))</x:f>
        <x:v>seconds</x:v>
      </x:c>
      <x:c r="X23" s="369" t="n">
        <x:f>IF(OR(COUNT(R23:V23)&lt;&gt;5,Q23&lt;&gt;W23,T23&lt;0,T23&gt;10,U23&lt;=0,V23&lt;=0,R23&lt;0,R23&lt;&gt;INT(R23),S23&lt;=0),"",T23*R23*S23/(U23*V23))</x:f>
        <x:v>0.25</x:v>
      </x:c>
      <x:c r="Y23" s="373" t="str"/>
    </x:row>
    <x:row r="24" ht="15" hidden="0" customHeight="1">
      <x:c r="A24" s="327" t="n">
        <x:f>Daily!A8</x:f>
        <x:v>46329.5</x:v>
      </x:c>
      <x:c r="B24" s="322" t="str">
        <x:f>Daily!D8</x:f>
        <x:v>Handstand technique</x:v>
      </x:c>
      <x:c r="C24" s="322" t="str">
        <x:v>B · Easy chest-to-wall hold</x:v>
      </x:c>
      <x:c r="D24" s="322" t="str">
        <x:v>seconds</x:v>
      </x:c>
      <x:c r="E24" s="324" t="b">
        <x:v>1</x:v>
      </x:c>
      <x:c r="F24" s="330" t="n">
        <x:v>45</x:v>
      </x:c>
      <x:c r="G24" s="331" t="str">
        <x:f>IF(AND(OR(Daily!N8=TRUE,Daily!AB8=TRUE),COUNT(Daily!O8,Daily!P8,Daily!Q8)&gt;0),SUM(Daily!O8,Daily!P8,Daily!Q8)*86400,"")</x:f>
      </x:c>
      <x:c r="H24" s="331" t="n">
        <x:f>IF(AND(E24=TRUE,ISNUMBER(F24),F24&gt;0),100,"")</x:f>
        <x:v>100</x:v>
      </x:c>
      <x:c r="I24" s="331" t="str">
        <x:f>IF(AND(ISNUMBER(H24),ISNUMBER(G24)),IF(J24="lower",IF(G24&gt;0,100*F24/G24,""),100*G24/F24),"")</x:f>
      </x:c>
      <x:c r="J24" s="325" t="str">
        <x:v>higher</x:v>
      </x:c>
      <x:c r="N24" s="364" t="n">
        <x:f>Daily!A6</x:f>
        <x:v>46326.5</x:v>
      </x:c>
      <x:c r="O24" s="361" t="str">
        <x:f>Daily!D6</x:f>
        <x:v>Skill micro-session</x:v>
      </x:c>
      <x:c r="P24" s="372" t="str">
        <x:v>Wall handstand line drill</x:v>
      </x:c>
      <x:c r="Q24" s="362" t="str">
        <x:v>seconds</x:v>
      </x:c>
      <x:c r="R24" s="367" t="n">
        <x:v>3</x:v>
      </x:c>
      <x:c r="S24" s="367" t="n">
        <x:v>15</x:v>
      </x:c>
      <x:c r="T24" s="368" t="n">
        <x:f>IF(OR(COUNTIFS(Strategy!$B$36:$B$90,P24)&lt;&gt;1,COUNTIFS(Strategy!$B$36:$B$90,P24,Strategy!$C$36:$C$90,"&lt;&gt;")&lt;&gt;1),"",INDEX(Strategy!$C$36:$C$90,MATCH(P24,Strategy!$B$36:$B$90,0)))</x:f>
        <x:v>1</x:v>
      </x:c>
      <x:c r="U24" s="368" t="n">
        <x:f>IF(OR(COUNTIFS(Strategy!$B$36:$B$90,P24)&lt;&gt;1,COUNTIFS(Strategy!$B$36:$B$90,P24,Strategy!$D$36:$D$90,"&lt;&gt;")&lt;&gt;1),"",INDEX(Strategy!$D$36:$D$90,MATCH(P24,Strategy!$B$36:$B$90,0)))</x:f>
        <x:v>3</x:v>
      </x:c>
      <x:c r="V24" s="368" t="n">
        <x:f>IF(OR(COUNTIFS(Strategy!$B$36:$B$90,P24)&lt;&gt;1,COUNTIFS(Strategy!$B$36:$B$90,P24,Strategy!$E$36:$E$90,"&lt;&gt;")&lt;&gt;1),"",INDEX(Strategy!$E$36:$E$90,MATCH(P24,Strategy!$B$36:$B$90,0)))</x:f>
        <x:v>60</x:v>
      </x:c>
      <x:c r="W24" s="361" t="str">
        <x:f>IF(OR(COUNTIFS(Strategy!$B$36:$B$90,P24)&lt;&gt;1,COUNTIFS(Strategy!$B$36:$B$90,P24,Strategy!$F$36:$F$90,"&lt;&gt;")&lt;&gt;1),"",INDEX(Strategy!$F$36:$F$90,MATCH(P24,Strategy!$B$36:$B$90,0)))</x:f>
        <x:v>seconds</x:v>
      </x:c>
      <x:c r="X24" s="370" t="n">
        <x:f>IF(OR(COUNT(R24:V24)&lt;&gt;5,Q24&lt;&gt;W24,T24&lt;0,T24&gt;10,U24&lt;=0,V24&lt;=0,R24&lt;0,R24&lt;&gt;INT(R24),S24&lt;=0),"",T24*R24*S24/(U24*V24))</x:f>
        <x:v>0.25</x:v>
      </x:c>
      <x:c r="Y24" s="374" t="str"/>
    </x:row>
    <x:row r="25" ht="15" hidden="0" customHeight="1">
      <x:c r="A25" s="326" t="n">
        <x:f>Daily!A8</x:f>
        <x:v>46329.5</x:v>
      </x:c>
      <x:c r="B25" s="318" t="str">
        <x:f>Daily!D8</x:f>
        <x:v>Handstand technique</x:v>
      </x:c>
      <x:c r="C25" s="318" t="str">
        <x:v>C · Wall handstand line drill</x:v>
      </x:c>
      <x:c r="D25" s="318" t="str">
        <x:v>seconds</x:v>
      </x:c>
      <x:c r="E25" s="320" t="b">
        <x:v>1</x:v>
      </x:c>
      <x:c r="F25" s="328" t="n">
        <x:v>30</x:v>
      </x:c>
      <x:c r="G25" s="329" t="str">
        <x:f>IF(AND(OR(Daily!T8=TRUE,Daily!AB8=TRUE),COUNT(Daily!U8,Daily!V8)&gt;0),SUM(Daily!U8,Daily!V8)*86400,"")</x:f>
      </x:c>
      <x:c r="H25" s="329" t="n">
        <x:f>IF(AND(E25=TRUE,ISNUMBER(F25),F25&gt;0),100,"")</x:f>
        <x:v>100</x:v>
      </x:c>
      <x:c r="I25" s="329" t="str">
        <x:f>IF(AND(ISNUMBER(H25),ISNUMBER(G25)),IF(J25="lower",IF(G25&gt;0,100*F25/G25,""),100*G25/F25),"")</x:f>
      </x:c>
      <x:c r="J25" s="321" t="str">
        <x:v>higher</x:v>
      </x:c>
      <x:c r="N25" s="363" t="n">
        <x:f>Daily!A7</x:f>
        <x:v>46328.5</x:v>
      </x:c>
      <x:c r="O25" s="359" t="str">
        <x:f>Daily!D7</x:f>
        <x:v>Skill A + interval circuit</x:v>
      </x:c>
      <x:c r="P25" s="371" t="str">
        <x:v>Band transition drill</x:v>
      </x:c>
      <x:c r="Q25" s="360" t="str">
        <x:v>reps</x:v>
      </x:c>
      <x:c r="R25" s="365" t="n">
        <x:v>3</x:v>
      </x:c>
      <x:c r="S25" s="365" t="n">
        <x:v>3</x:v>
      </x:c>
      <x:c r="T25" s="366" t="n">
        <x:f>IF(OR(COUNTIFS(Strategy!$B$36:$B$90,P25)&lt;&gt;1,COUNTIFS(Strategy!$B$36:$B$90,P25,Strategy!$C$36:$C$90,"&lt;&gt;")&lt;&gt;1),"",INDEX(Strategy!$C$36:$C$90,MATCH(P25,Strategy!$B$36:$B$90,0)))</x:f>
        <x:v>4</x:v>
      </x:c>
      <x:c r="U25" s="366" t="n">
        <x:f>IF(OR(COUNTIFS(Strategy!$B$36:$B$90,P25)&lt;&gt;1,COUNTIFS(Strategy!$B$36:$B$90,P25,Strategy!$D$36:$D$90,"&lt;&gt;")&lt;&gt;1),"",INDEX(Strategy!$D$36:$D$90,MATCH(P25,Strategy!$B$36:$B$90,0)))</x:f>
        <x:v>3</x:v>
      </x:c>
      <x:c r="V25" s="366" t="n">
        <x:f>IF(OR(COUNTIFS(Strategy!$B$36:$B$90,P25)&lt;&gt;1,COUNTIFS(Strategy!$B$36:$B$90,P25,Strategy!$E$36:$E$90,"&lt;&gt;")&lt;&gt;1),"",INDEX(Strategy!$E$36:$E$90,MATCH(P25,Strategy!$B$36:$B$90,0)))</x:f>
        <x:v>10</x:v>
      </x:c>
      <x:c r="W25" s="359" t="str">
        <x:f>IF(OR(COUNTIFS(Strategy!$B$36:$B$90,P25)&lt;&gt;1,COUNTIFS(Strategy!$B$36:$B$90,P25,Strategy!$F$36:$F$90,"&lt;&gt;")&lt;&gt;1),"",INDEX(Strategy!$F$36:$F$90,MATCH(P25,Strategy!$B$36:$B$90,0)))</x:f>
        <x:v>reps</x:v>
      </x:c>
      <x:c r="X25" s="369" t="n">
        <x:f>IF(OR(COUNT(R25:V25)&lt;&gt;5,Q25&lt;&gt;W25,T25&lt;0,T25&gt;10,U25&lt;=0,V25&lt;=0,R25&lt;0,R25&lt;&gt;INT(R25),S25&lt;=0),"",T25*R25*S25/(U25*V25))</x:f>
        <x:v>1.2</x:v>
      </x:c>
      <x:c r="Y25" s="373" t="str"/>
    </x:row>
    <x:row r="26" ht="15" hidden="0" customHeight="1">
      <x:c r="A26" s="327" t="n">
        <x:f>Daily!A9</x:f>
        <x:v>46331.5</x:v>
      </x:c>
      <x:c r="B26" s="322" t="str">
        <x:f>Daily!D9</x:f>
        <x:v>Skill B + circuit</x:v>
      </x:c>
      <x:c r="C26" s="322" t="str">
        <x:v>A · Wall handstand</x:v>
      </x:c>
      <x:c r="D26" s="322" t="str">
        <x:v>seconds</x:v>
      </x:c>
      <x:c r="E26" s="324" t="b">
        <x:v>1</x:v>
      </x:c>
      <x:c r="F26" s="330" t="n">
        <x:v>75</x:v>
      </x:c>
      <x:c r="G26" s="331" t="str">
        <x:f>IF(AND(OR(Daily!H9=TRUE,Daily!AB9=TRUE),COUNT(Daily!I9,Daily!J9,Daily!K9)&gt;0),SUM(Daily!I9,Daily!J9,Daily!K9)*86400,"")</x:f>
      </x:c>
      <x:c r="H26" s="331" t="n">
        <x:f>IF(AND(E26=TRUE,ISNUMBER(F26),F26&gt;0),100,"")</x:f>
        <x:v>100</x:v>
      </x:c>
      <x:c r="I26" s="331" t="str">
        <x:f>IF(AND(ISNUMBER(H26),ISNUMBER(G26)),IF(J26="lower",IF(G26&gt;0,100*F26/G26,""),100*G26/F26),"")</x:f>
      </x:c>
      <x:c r="J26" s="325" t="str">
        <x:v>higher</x:v>
      </x:c>
      <x:c r="N26" s="364" t="n">
        <x:f>Daily!A7</x:f>
        <x:v>46328.5</x:v>
      </x:c>
      <x:c r="O26" s="361" t="str">
        <x:f>Daily!D7</x:f>
        <x:v>Skill A + interval circuit</x:v>
      </x:c>
      <x:c r="P26" s="372" t="str">
        <x:v>High pull</x:v>
      </x:c>
      <x:c r="Q26" s="362" t="str">
        <x:v>reps</x:v>
      </x:c>
      <x:c r="R26" s="367" t="n">
        <x:v>3</x:v>
      </x:c>
      <x:c r="S26" s="367" t="n">
        <x:v>3</x:v>
      </x:c>
      <x:c r="T26" s="368" t="n">
        <x:f>IF(OR(COUNTIFS(Strategy!$B$36:$B$90,P26)&lt;&gt;1,COUNTIFS(Strategy!$B$36:$B$90,P26,Strategy!$C$36:$C$90,"&lt;&gt;")&lt;&gt;1),"",INDEX(Strategy!$C$36:$C$90,MATCH(P26,Strategy!$B$36:$B$90,0)))</x:f>
        <x:v>4</x:v>
      </x:c>
      <x:c r="U26" s="368" t="n">
        <x:f>IF(OR(COUNTIFS(Strategy!$B$36:$B$90,P26)&lt;&gt;1,COUNTIFS(Strategy!$B$36:$B$90,P26,Strategy!$D$36:$D$90,"&lt;&gt;")&lt;&gt;1),"",INDEX(Strategy!$D$36:$D$90,MATCH(P26,Strategy!$B$36:$B$90,0)))</x:f>
        <x:v>3</x:v>
      </x:c>
      <x:c r="V26" s="368" t="n">
        <x:f>IF(OR(COUNTIFS(Strategy!$B$36:$B$90,P26)&lt;&gt;1,COUNTIFS(Strategy!$B$36:$B$90,P26,Strategy!$E$36:$E$90,"&lt;&gt;")&lt;&gt;1),"",INDEX(Strategy!$E$36:$E$90,MATCH(P26,Strategy!$B$36:$B$90,0)))</x:f>
        <x:v>10</x:v>
      </x:c>
      <x:c r="W26" s="361" t="str">
        <x:f>IF(OR(COUNTIFS(Strategy!$B$36:$B$90,P26)&lt;&gt;1,COUNTIFS(Strategy!$B$36:$B$90,P26,Strategy!$F$36:$F$90,"&lt;&gt;")&lt;&gt;1),"",INDEX(Strategy!$F$36:$F$90,MATCH(P26,Strategy!$B$36:$B$90,0)))</x:f>
        <x:v>reps</x:v>
      </x:c>
      <x:c r="X26" s="370" t="n">
        <x:f>IF(OR(COUNT(R26:V26)&lt;&gt;5,Q26&lt;&gt;W26,T26&lt;0,T26&gt;10,U26&lt;=0,V26&lt;=0,R26&lt;0,R26&lt;&gt;INT(R26),S26&lt;=0),"",T26*R26*S26/(U26*V26))</x:f>
        <x:v>1.2</x:v>
      </x:c>
      <x:c r="Y26" s="374" t="str"/>
    </x:row>
    <x:row r="27" ht="15" hidden="0" customHeight="1">
      <x:c r="A27" s="326" t="n">
        <x:f>Daily!A9</x:f>
        <x:v>46331.5</x:v>
      </x:c>
      <x:c r="B27" s="318" t="str">
        <x:f>Daily!D9</x:f>
        <x:v>Skill B + circuit</x:v>
      </x:c>
      <x:c r="C27" s="318" t="str">
        <x:v>B · Elevated pike push-up</x:v>
      </x:c>
      <x:c r="D27" s="318" t="str">
        <x:v>reps</x:v>
      </x:c>
      <x:c r="E27" s="320" t="b">
        <x:v>1</x:v>
      </x:c>
      <x:c r="F27" s="328" t="n">
        <x:v>12</x:v>
      </x:c>
      <x:c r="G27" s="329" t="str">
        <x:f>IF(AND(OR(Daily!N9=TRUE,Daily!AB9=TRUE),COUNT(Daily!O9,Daily!P9,Daily!Q9)&gt;0),SUM(Daily!O9,Daily!P9,Daily!Q9),"")</x:f>
      </x:c>
      <x:c r="H27" s="329" t="n">
        <x:f>IF(AND(E27=TRUE,ISNUMBER(F27),F27&gt;0),100,"")</x:f>
        <x:v>100</x:v>
      </x:c>
      <x:c r="I27" s="329" t="str">
        <x:f>IF(AND(ISNUMBER(H27),ISNUMBER(G27)),IF(J27="lower",IF(G27&gt;0,100*F27/G27,""),100*G27/F27),"")</x:f>
      </x:c>
      <x:c r="J27" s="321" t="str">
        <x:v>higher</x:v>
      </x:c>
      <x:c r="N27" s="363" t="n">
        <x:f>Daily!A7</x:f>
        <x:v>46328.5</x:v>
      </x:c>
      <x:c r="O27" s="359" t="str">
        <x:f>Daily!D7</x:f>
        <x:v>Skill A + interval circuit</x:v>
      </x:c>
      <x:c r="P27" s="371" t="str">
        <x:v>Lower-box pistol with counterweight</x:v>
      </x:c>
      <x:c r="Q27" s="360" t="str">
        <x:v>reps/leg</x:v>
      </x:c>
      <x:c r="R27" s="365" t="n">
        <x:v>3</x:v>
      </x:c>
      <x:c r="S27" s="365" t="n">
        <x:v>4</x:v>
      </x:c>
      <x:c r="T27" s="366" t="n">
        <x:f>IF(OR(COUNTIFS(Strategy!$B$36:$B$90,P27)&lt;&gt;1,COUNTIFS(Strategy!$B$36:$B$90,P27,Strategy!$C$36:$C$90,"&lt;&gt;")&lt;&gt;1),"",INDEX(Strategy!$C$36:$C$90,MATCH(P27,Strategy!$B$36:$B$90,0)))</x:f>
        <x:v>2</x:v>
      </x:c>
      <x:c r="U27" s="366" t="n">
        <x:f>IF(OR(COUNTIFS(Strategy!$B$36:$B$90,P27)&lt;&gt;1,COUNTIFS(Strategy!$B$36:$B$90,P27,Strategy!$D$36:$D$90,"&lt;&gt;")&lt;&gt;1),"",INDEX(Strategy!$D$36:$D$90,MATCH(P27,Strategy!$B$36:$B$90,0)))</x:f>
        <x:v>3</x:v>
      </x:c>
      <x:c r="V27" s="366" t="n">
        <x:f>IF(OR(COUNTIFS(Strategy!$B$36:$B$90,P27)&lt;&gt;1,COUNTIFS(Strategy!$B$36:$B$90,P27,Strategy!$E$36:$E$90,"&lt;&gt;")&lt;&gt;1),"",INDEX(Strategy!$E$36:$E$90,MATCH(P27,Strategy!$B$36:$B$90,0)))</x:f>
        <x:v>10</x:v>
      </x:c>
      <x:c r="W27" s="359" t="str">
        <x:f>IF(OR(COUNTIFS(Strategy!$B$36:$B$90,P27)&lt;&gt;1,COUNTIFS(Strategy!$B$36:$B$90,P27,Strategy!$F$36:$F$90,"&lt;&gt;")&lt;&gt;1),"",INDEX(Strategy!$F$36:$F$90,MATCH(P27,Strategy!$B$36:$B$90,0)))</x:f>
        <x:v>reps/leg</x:v>
      </x:c>
      <x:c r="X27" s="369" t="n">
        <x:f>IF(OR(COUNT(R27:V27)&lt;&gt;5,Q27&lt;&gt;W27,T27&lt;0,T27&gt;10,U27&lt;=0,V27&lt;=0,R27&lt;0,R27&lt;&gt;INT(R27),S27&lt;=0),"",T27*R27*S27/(U27*V27))</x:f>
        <x:v>0.8</x:v>
      </x:c>
      <x:c r="Y27" s="373" t="str"/>
    </x:row>
    <x:row r="28" ht="15" hidden="0" customHeight="1">
      <x:c r="A28" s="327" t="n">
        <x:f>Daily!A9</x:f>
        <x:v>46331.5</x:v>
      </x:c>
      <x:c r="B28" s="322" t="str">
        <x:f>Daily!D9</x:f>
        <x:v>Skill B + circuit</x:v>
      </x:c>
      <x:c r="C28" s="322" t="str">
        <x:v>C · Lower-box pistol with counterweight</x:v>
      </x:c>
      <x:c r="D28" s="322" t="str">
        <x:v>reps/leg</x:v>
      </x:c>
      <x:c r="E28" s="324" t="b">
        <x:v>1</x:v>
      </x:c>
      <x:c r="F28" s="330" t="n">
        <x:v>12</x:v>
      </x:c>
      <x:c r="G28" s="331" t="str">
        <x:f>IF(AND(OR(Daily!T9=TRUE,Daily!AB9=TRUE),COUNT(Daily!U9,Daily!V9,Daily!W9)&gt;0),SUM(Daily!U9,Daily!V9,Daily!W9),"")</x:f>
      </x:c>
      <x:c r="H28" s="331" t="n">
        <x:f>IF(AND(E28=TRUE,ISNUMBER(F28),F28&gt;0),100,"")</x:f>
        <x:v>100</x:v>
      </x:c>
      <x:c r="I28" s="331" t="str">
        <x:f>IF(AND(ISNUMBER(H28),ISNUMBER(G28)),IF(J28="lower",IF(G28&gt;0,100*F28/G28,""),100*G28/F28),"")</x:f>
      </x:c>
      <x:c r="J28" s="325" t="str">
        <x:v>higher</x:v>
      </x:c>
      <x:c r="N28" s="364" t="n">
        <x:f>Daily!A7</x:f>
        <x:v>46328.5</x:v>
      </x:c>
      <x:c r="O28" s="361" t="str">
        <x:f>Daily!D7</x:f>
        <x:v>Skill A + interval circuit</x:v>
      </x:c>
      <x:c r="P28" s="372" t="str">
        <x:v>Pull-up</x:v>
      </x:c>
      <x:c r="Q28" s="362" t="str">
        <x:v>seconds</x:v>
      </x:c>
      <x:c r="R28" s="367" t="n">
        <x:v>5</x:v>
      </x:c>
      <x:c r="S28" s="367" t="n">
        <x:v>30</x:v>
      </x:c>
      <x:c r="T28" s="368" t="n">
        <x:f>IF(OR(COUNTIFS(Strategy!$B$36:$B$90,P28)&lt;&gt;1,COUNTIFS(Strategy!$B$36:$B$90,P28,Strategy!$C$36:$C$90,"&lt;&gt;")&lt;&gt;1),"",INDEX(Strategy!$C$36:$C$90,MATCH(P28,Strategy!$B$36:$B$90,0)))</x:f>
        <x:v>1</x:v>
      </x:c>
      <x:c r="U28" s="368" t="n">
        <x:f>IF(OR(COUNTIFS(Strategy!$B$36:$B$90,P28)&lt;&gt;1,COUNTIFS(Strategy!$B$36:$B$90,P28,Strategy!$D$36:$D$90,"&lt;&gt;")&lt;&gt;1),"",INDEX(Strategy!$D$36:$D$90,MATCH(P28,Strategy!$B$36:$B$90,0)))</x:f>
        <x:v>5</x:v>
      </x:c>
      <x:c r="V28" s="368" t="n">
        <x:f>IF(OR(COUNTIFS(Strategy!$B$36:$B$90,P28)&lt;&gt;1,COUNTIFS(Strategy!$B$36:$B$90,P28,Strategy!$E$36:$E$90,"&lt;&gt;")&lt;&gt;1),"",INDEX(Strategy!$E$36:$E$90,MATCH(P28,Strategy!$B$36:$B$90,0)))</x:f>
        <x:v>120</x:v>
      </x:c>
      <x:c r="W28" s="361" t="str">
        <x:f>IF(OR(COUNTIFS(Strategy!$B$36:$B$90,P28)&lt;&gt;1,COUNTIFS(Strategy!$B$36:$B$90,P28,Strategy!$F$36:$F$90,"&lt;&gt;")&lt;&gt;1),"",INDEX(Strategy!$F$36:$F$90,MATCH(P28,Strategy!$B$36:$B$90,0)))</x:f>
        <x:v>seconds</x:v>
      </x:c>
      <x:c r="X28" s="370" t="n">
        <x:f>IF(OR(COUNT(R28:V28)&lt;&gt;5,Q28&lt;&gt;W28,T28&lt;0,T28&gt;10,U28&lt;=0,V28&lt;=0,R28&lt;0,R28&lt;&gt;INT(R28),S28&lt;=0),"",T28*R28*S28/(U28*V28))</x:f>
        <x:v>0.25</x:v>
      </x:c>
      <x:c r="Y28" s="374" t="str">
        <x:v>Core: one 30-second work interval per round; rest excluded.</x:v>
      </x:c>
    </x:row>
    <x:row r="29" ht="15" hidden="0" customHeight="1">
      <x:c r="A29" s="326" t="n">
        <x:f>Daily!A9</x:f>
        <x:v>46331.5</x:v>
      </x:c>
      <x:c r="B29" s="318" t="str">
        <x:f>Daily!D9</x:f>
        <x:v>Skill B + circuit</x:v>
      </x:c>
      <x:c r="C29" s="318" t="str">
        <x:v>Core</x:v>
      </x:c>
      <x:c r="D29" s="318" t="str">
        <x:v>rounds</x:v>
      </x:c>
      <x:c r="E29" s="320" t="b">
        <x:v>1</x:v>
      </x:c>
      <x:c r="F29" s="328" t="n">
        <x:v>5</x:v>
      </x:c>
      <x:c r="G29" s="329" t="str">
        <x:f>IF(AND(OR(Daily!Z9=TRUE,Daily!AB9=TRUE),COUNT(Daily!AA9)&gt;0),SUM(Daily!AA9),"")</x:f>
      </x:c>
      <x:c r="H29" s="329" t="n">
        <x:f>IF(AND(E29=TRUE,ISNUMBER(F29),F29&gt;0),100,"")</x:f>
        <x:v>100</x:v>
      </x:c>
      <x:c r="I29" s="329" t="str">
        <x:f>IF(AND(ISNUMBER(H29),ISNUMBER(G29)),IF(J29="lower",IF(G29&gt;0,100*F29/G29,""),100*G29/F29),"")</x:f>
      </x:c>
      <x:c r="J29" s="321" t="str">
        <x:v>higher</x:v>
      </x:c>
      <x:c r="N29" s="363" t="n">
        <x:f>Daily!A7</x:f>
        <x:v>46328.5</x:v>
      </x:c>
      <x:c r="O29" s="359" t="str">
        <x:f>Daily!D7</x:f>
        <x:v>Skill A + interval circuit</x:v>
      </x:c>
      <x:c r="P29" s="371" t="str">
        <x:v>Push-up</x:v>
      </x:c>
      <x:c r="Q29" s="360" t="str">
        <x:v>seconds</x:v>
      </x:c>
      <x:c r="R29" s="365" t="n">
        <x:v>5</x:v>
      </x:c>
      <x:c r="S29" s="365" t="n">
        <x:v>30</x:v>
      </x:c>
      <x:c r="T29" s="366" t="n">
        <x:f>IF(OR(COUNTIFS(Strategy!$B$36:$B$90,P29)&lt;&gt;1,COUNTIFS(Strategy!$B$36:$B$90,P29,Strategy!$C$36:$C$90,"&lt;&gt;")&lt;&gt;1),"",INDEX(Strategy!$C$36:$C$90,MATCH(P29,Strategy!$B$36:$B$90,0)))</x:f>
        <x:v>1</x:v>
      </x:c>
      <x:c r="U29" s="366" t="n">
        <x:f>IF(OR(COUNTIFS(Strategy!$B$36:$B$90,P29)&lt;&gt;1,COUNTIFS(Strategy!$B$36:$B$90,P29,Strategy!$D$36:$D$90,"&lt;&gt;")&lt;&gt;1),"",INDEX(Strategy!$D$36:$D$90,MATCH(P29,Strategy!$B$36:$B$90,0)))</x:f>
        <x:v>5</x:v>
      </x:c>
      <x:c r="V29" s="366" t="n">
        <x:f>IF(OR(COUNTIFS(Strategy!$B$36:$B$90,P29)&lt;&gt;1,COUNTIFS(Strategy!$B$36:$B$90,P29,Strategy!$E$36:$E$90,"&lt;&gt;")&lt;&gt;1),"",INDEX(Strategy!$E$36:$E$90,MATCH(P29,Strategy!$B$36:$B$90,0)))</x:f>
        <x:v>120</x:v>
      </x:c>
      <x:c r="W29" s="359" t="str">
        <x:f>IF(OR(COUNTIFS(Strategy!$B$36:$B$90,P29)&lt;&gt;1,COUNTIFS(Strategy!$B$36:$B$90,P29,Strategy!$F$36:$F$90,"&lt;&gt;")&lt;&gt;1),"",INDEX(Strategy!$F$36:$F$90,MATCH(P29,Strategy!$B$36:$B$90,0)))</x:f>
        <x:v>seconds</x:v>
      </x:c>
      <x:c r="X29" s="369" t="n">
        <x:f>IF(OR(COUNT(R29:V29)&lt;&gt;5,Q29&lt;&gt;W29,T29&lt;0,T29&gt;10,U29&lt;=0,V29&lt;=0,R29&lt;0,R29&lt;&gt;INT(R29),S29&lt;=0),"",T29*R29*S29/(U29*V29))</x:f>
        <x:v>0.25</x:v>
      </x:c>
      <x:c r="Y29" s="373" t="str">
        <x:v>Core: one 30-second work interval per round; rest excluded.</x:v>
      </x:c>
    </x:row>
    <x:row r="30" ht="15" hidden="0" customHeight="1">
      <x:c r="A30" s="327" t="n">
        <x:f>Daily!A10</x:f>
        <x:v>46333.5</x:v>
      </x:c>
      <x:c r="B30" s="322" t="str">
        <x:f>Daily!D10</x:f>
        <x:v>Skill micro-session</x:v>
      </x:c>
      <x:c r="C30" s="322" t="str">
        <x:v>A · Wrist/shoulder mobility</x:v>
      </x:c>
      <x:c r="D30" s="322" t="str">
        <x:v>seconds</x:v>
      </x:c>
      <x:c r="E30" s="324" t="b">
        <x:v>1</x:v>
      </x:c>
      <x:c r="F30" s="330" t="n">
        <x:v>120</x:v>
      </x:c>
      <x:c r="G30" s="331" t="str">
        <x:f>IF(AND(OR(Daily!H10=TRUE,Daily!AB10=TRUE),COUNT(Daily!I10)&gt;0),SUM(Daily!I10)*86400,"")</x:f>
      </x:c>
      <x:c r="H30" s="331" t="n">
        <x:f>IF(AND(E30=TRUE,ISNUMBER(F30),F30&gt;0),100,"")</x:f>
        <x:v>100</x:v>
      </x:c>
      <x:c r="I30" s="331" t="str">
        <x:f>IF(AND(ISNUMBER(H30),ISNUMBER(G30)),IF(J30="lower",IF(G30&gt;0,100*F30/G30,""),100*G30/F30),"")</x:f>
      </x:c>
      <x:c r="J30" s="325" t="str">
        <x:v>higher</x:v>
      </x:c>
      <x:c r="N30" s="364" t="n">
        <x:f>Daily!A7</x:f>
        <x:v>46328.5</x:v>
      </x:c>
      <x:c r="O30" s="361" t="str">
        <x:f>Daily!D7</x:f>
        <x:v>Skill A + interval circuit</x:v>
      </x:c>
      <x:c r="P30" s="372" t="str">
        <x:v>Weighted squat</x:v>
      </x:c>
      <x:c r="Q30" s="362" t="str">
        <x:v>seconds</x:v>
      </x:c>
      <x:c r="R30" s="367" t="n">
        <x:v>5</x:v>
      </x:c>
      <x:c r="S30" s="367" t="n">
        <x:v>30</x:v>
      </x:c>
      <x:c r="T30" s="368" t="n">
        <x:f>IF(OR(COUNTIFS(Strategy!$B$36:$B$90,P30)&lt;&gt;1,COUNTIFS(Strategy!$B$36:$B$90,P30,Strategy!$C$36:$C$90,"&lt;&gt;")&lt;&gt;1),"",INDEX(Strategy!$C$36:$C$90,MATCH(P30,Strategy!$B$36:$B$90,0)))</x:f>
        <x:v>1</x:v>
      </x:c>
      <x:c r="U30" s="368" t="n">
        <x:f>IF(OR(COUNTIFS(Strategy!$B$36:$B$90,P30)&lt;&gt;1,COUNTIFS(Strategy!$B$36:$B$90,P30,Strategy!$D$36:$D$90,"&lt;&gt;")&lt;&gt;1),"",INDEX(Strategy!$D$36:$D$90,MATCH(P30,Strategy!$B$36:$B$90,0)))</x:f>
        <x:v>5</x:v>
      </x:c>
      <x:c r="V30" s="368" t="n">
        <x:f>IF(OR(COUNTIFS(Strategy!$B$36:$B$90,P30)&lt;&gt;1,COUNTIFS(Strategy!$B$36:$B$90,P30,Strategy!$E$36:$E$90,"&lt;&gt;")&lt;&gt;1),"",INDEX(Strategy!$E$36:$E$90,MATCH(P30,Strategy!$B$36:$B$90,0)))</x:f>
        <x:v>120</x:v>
      </x:c>
      <x:c r="W30" s="361" t="str">
        <x:f>IF(OR(COUNTIFS(Strategy!$B$36:$B$90,P30)&lt;&gt;1,COUNTIFS(Strategy!$B$36:$B$90,P30,Strategy!$F$36:$F$90,"&lt;&gt;")&lt;&gt;1),"",INDEX(Strategy!$F$36:$F$90,MATCH(P30,Strategy!$B$36:$B$90,0)))</x:f>
        <x:v>seconds</x:v>
      </x:c>
      <x:c r="X30" s="370" t="n">
        <x:f>IF(OR(COUNT(R30:V30)&lt;&gt;5,Q30&lt;&gt;W30,T30&lt;0,T30&gt;10,U30&lt;=0,V30&lt;=0,R30&lt;0,R30&lt;&gt;INT(R30),S30&lt;=0),"",T30*R30*S30/(U30*V30))</x:f>
        <x:v>0.25</x:v>
      </x:c>
      <x:c r="Y30" s="374" t="str">
        <x:v>Core: one 30-second work interval per round; rest excluded.</x:v>
      </x:c>
    </x:row>
    <x:row r="31" ht="15" hidden="0" customHeight="1">
      <x:c r="A31" s="326" t="n">
        <x:f>Daily!A10</x:f>
        <x:v>46333.5</x:v>
      </x:c>
      <x:c r="B31" s="318" t="str">
        <x:f>Daily!D10</x:f>
        <x:v>Skill micro-session</x:v>
      </x:c>
      <x:c r="C31" s="318" t="str">
        <x:v>B · Easy chest-to-wall hold</x:v>
      </x:c>
      <x:c r="D31" s="318" t="str">
        <x:v>seconds</x:v>
      </x:c>
      <x:c r="E31" s="320" t="b">
        <x:v>1</x:v>
      </x:c>
      <x:c r="F31" s="328" t="n">
        <x:v>45</x:v>
      </x:c>
      <x:c r="G31" s="329" t="str">
        <x:f>IF(AND(OR(Daily!N10=TRUE,Daily!AB10=TRUE),COUNT(Daily!O10,Daily!P10,Daily!Q10)&gt;0),SUM(Daily!O10,Daily!P10,Daily!Q10)*86400,"")</x:f>
      </x:c>
      <x:c r="H31" s="329" t="n">
        <x:f>IF(AND(E31=TRUE,ISNUMBER(F31),F31&gt;0),100,"")</x:f>
        <x:v>100</x:v>
      </x:c>
      <x:c r="I31" s="329" t="str">
        <x:f>IF(AND(ISNUMBER(H31),ISNUMBER(G31)),IF(J31="lower",IF(G31&gt;0,100*F31/G31,""),100*G31/F31),"")</x:f>
      </x:c>
      <x:c r="J31" s="321" t="str">
        <x:v>higher</x:v>
      </x:c>
      <x:c r="N31" s="363" t="n">
        <x:f>Daily!A7</x:f>
        <x:v>46328.5</x:v>
      </x:c>
      <x:c r="O31" s="359" t="str">
        <x:f>Daily!D7</x:f>
        <x:v>Skill A + interval circuit</x:v>
      </x:c>
      <x:c r="P31" s="371" t="str">
        <x:v>Upside-down hanging shoulder/ab work</x:v>
      </x:c>
      <x:c r="Q31" s="360" t="str">
        <x:v>seconds</x:v>
      </x:c>
      <x:c r="R31" s="365" t="n">
        <x:v>5</x:v>
      </x:c>
      <x:c r="S31" s="365" t="n">
        <x:v>30</x:v>
      </x:c>
      <x:c r="T31" s="366" t="n">
        <x:f>IF(OR(COUNTIFS(Strategy!$B$36:$B$90,P31)&lt;&gt;1,COUNTIFS(Strategy!$B$36:$B$90,P31,Strategy!$C$36:$C$90,"&lt;&gt;")&lt;&gt;1),"",INDEX(Strategy!$C$36:$C$90,MATCH(P31,Strategy!$B$36:$B$90,0)))</x:f>
        <x:v>1</x:v>
      </x:c>
      <x:c r="U31" s="366" t="n">
        <x:f>IF(OR(COUNTIFS(Strategy!$B$36:$B$90,P31)&lt;&gt;1,COUNTIFS(Strategy!$B$36:$B$90,P31,Strategy!$D$36:$D$90,"&lt;&gt;")&lt;&gt;1),"",INDEX(Strategy!$D$36:$D$90,MATCH(P31,Strategy!$B$36:$B$90,0)))</x:f>
        <x:v>5</x:v>
      </x:c>
      <x:c r="V31" s="366" t="n">
        <x:f>IF(OR(COUNTIFS(Strategy!$B$36:$B$90,P31)&lt;&gt;1,COUNTIFS(Strategy!$B$36:$B$90,P31,Strategy!$E$36:$E$90,"&lt;&gt;")&lt;&gt;1),"",INDEX(Strategy!$E$36:$E$90,MATCH(P31,Strategy!$B$36:$B$90,0)))</x:f>
        <x:v>120</x:v>
      </x:c>
      <x:c r="W31" s="359" t="str">
        <x:f>IF(OR(COUNTIFS(Strategy!$B$36:$B$90,P31)&lt;&gt;1,COUNTIFS(Strategy!$B$36:$B$90,P31,Strategy!$F$36:$F$90,"&lt;&gt;")&lt;&gt;1),"",INDEX(Strategy!$F$36:$F$90,MATCH(P31,Strategy!$B$36:$B$90,0)))</x:f>
        <x:v>seconds</x:v>
      </x:c>
      <x:c r="X31" s="369" t="n">
        <x:f>IF(OR(COUNT(R31:V31)&lt;&gt;5,Q31&lt;&gt;W31,T31&lt;0,T31&gt;10,U31&lt;=0,V31&lt;=0,R31&lt;0,R31&lt;&gt;INT(R31),S31&lt;=0),"",T31*R31*S31/(U31*V31))</x:f>
        <x:v>0.25</x:v>
      </x:c>
      <x:c r="Y31" s="373" t="str">
        <x:v>Core: one 30-second work interval per round; rest excluded.</x:v>
      </x:c>
    </x:row>
    <x:row r="32" ht="15" hidden="0" customHeight="1">
      <x:c r="A32" s="327" t="n">
        <x:f>Daily!A10</x:f>
        <x:v>46333.5</x:v>
      </x:c>
      <x:c r="B32" s="322" t="str">
        <x:f>Daily!D10</x:f>
        <x:v>Skill micro-session</x:v>
      </x:c>
      <x:c r="C32" s="322" t="str">
        <x:v>C · Wall handstand line drill</x:v>
      </x:c>
      <x:c r="D32" s="322" t="str">
        <x:v>seconds</x:v>
      </x:c>
      <x:c r="E32" s="324" t="b">
        <x:v>1</x:v>
      </x:c>
      <x:c r="F32" s="330" t="n">
        <x:v>45</x:v>
      </x:c>
      <x:c r="G32" s="331" t="str">
        <x:f>IF(AND(OR(Daily!T10=TRUE,Daily!AB10=TRUE),COUNT(Daily!U10,Daily!V10,Daily!W10)&gt;0),SUM(Daily!U10,Daily!V10,Daily!W10)*86400,"")</x:f>
      </x:c>
      <x:c r="H32" s="331" t="n">
        <x:f>IF(AND(E32=TRUE,ISNUMBER(F32),F32&gt;0),100,"")</x:f>
        <x:v>100</x:v>
      </x:c>
      <x:c r="I32" s="331" t="str">
        <x:f>IF(AND(ISNUMBER(H32),ISNUMBER(G32)),IF(J32="lower",IF(G32&gt;0,100*F32/G32,""),100*G32/F32),"")</x:f>
      </x:c>
      <x:c r="J32" s="325" t="str">
        <x:v>higher</x:v>
      </x:c>
      <x:c r="N32" s="364" t="n">
        <x:f>Daily!A8</x:f>
        <x:v>46329.5</x:v>
      </x:c>
      <x:c r="O32" s="361" t="str">
        <x:f>Daily!D8</x:f>
        <x:v>Handstand technique</x:v>
      </x:c>
      <x:c r="P32" s="372" t="str">
        <x:v>Wrist/shoulder mobility</x:v>
      </x:c>
      <x:c r="Q32" s="362" t="str">
        <x:v>seconds</x:v>
      </x:c>
      <x:c r="R32" s="367" t="n">
        <x:v>1</x:v>
      </x:c>
      <x:c r="S32" s="367" t="n">
        <x:v>120</x:v>
      </x:c>
      <x:c r="T32" s="368" t="n">
        <x:f>IF(OR(COUNTIFS(Strategy!$B$36:$B$90,P32)&lt;&gt;1,COUNTIFS(Strategy!$B$36:$B$90,P32,Strategy!$C$36:$C$90,"&lt;&gt;")&lt;&gt;1),"",INDEX(Strategy!$C$36:$C$90,MATCH(P32,Strategy!$B$36:$B$90,0)))</x:f>
        <x:v>1</x:v>
      </x:c>
      <x:c r="U32" s="368" t="n">
        <x:f>IF(OR(COUNTIFS(Strategy!$B$36:$B$90,P32)&lt;&gt;1,COUNTIFS(Strategy!$B$36:$B$90,P32,Strategy!$D$36:$D$90,"&lt;&gt;")&lt;&gt;1),"",INDEX(Strategy!$D$36:$D$90,MATCH(P32,Strategy!$B$36:$B$90,0)))</x:f>
        <x:v>3</x:v>
      </x:c>
      <x:c r="V32" s="368" t="n">
        <x:f>IF(OR(COUNTIFS(Strategy!$B$36:$B$90,P32)&lt;&gt;1,COUNTIFS(Strategy!$B$36:$B$90,P32,Strategy!$E$36:$E$90,"&lt;&gt;")&lt;&gt;1),"",INDEX(Strategy!$E$36:$E$90,MATCH(P32,Strategy!$B$36:$B$90,0)))</x:f>
        <x:v>60</x:v>
      </x:c>
      <x:c r="W32" s="361" t="str">
        <x:f>IF(OR(COUNTIFS(Strategy!$B$36:$B$90,P32)&lt;&gt;1,COUNTIFS(Strategy!$B$36:$B$90,P32,Strategy!$F$36:$F$90,"&lt;&gt;")&lt;&gt;1),"",INDEX(Strategy!$F$36:$F$90,MATCH(P32,Strategy!$B$36:$B$90,0)))</x:f>
        <x:v>seconds</x:v>
      </x:c>
      <x:c r="X32" s="370" t="n">
        <x:f>IF(OR(COUNT(R32:V32)&lt;&gt;5,Q32&lt;&gt;W32,T32&lt;0,T32&gt;10,U32&lt;=0,V32&lt;=0,R32&lt;0,R32&lt;&gt;INT(R32),S32&lt;=0),"",T32*R32*S32/(U32*V32))</x:f>
        <x:v>0.6666666666666666</x:v>
      </x:c>
      <x:c r="Y32" s="374" t="str"/>
    </x:row>
    <x:row r="33" ht="15" hidden="0" customHeight="1">
      <x:c r="A33" s="326" t="n">
        <x:f>Daily!A11</x:f>
        <x:v>46335.5</x:v>
      </x:c>
      <x:c r="B33" s="318" t="str">
        <x:f>Daily!D11</x:f>
        <x:v>Skill A + interval circuit</x:v>
      </x:c>
      <x:c r="C33" s="318" t="str">
        <x:v>A · Explosive pull-up</x:v>
      </x:c>
      <x:c r="D33" s="318" t="str">
        <x:v>reps</x:v>
      </x:c>
      <x:c r="E33" s="320" t="b">
        <x:v>1</x:v>
      </x:c>
      <x:c r="F33" s="328" t="n">
        <x:v>8</x:v>
      </x:c>
      <x:c r="G33" s="329" t="str">
        <x:f>IF(AND(OR(Daily!H11=TRUE,Daily!AB11=TRUE),COUNT(Daily!I11,Daily!J11,Daily!K11,Daily!L11)&gt;0),SUM(Daily!I11,Daily!J11,Daily!K11,Daily!L11),"")</x:f>
      </x:c>
      <x:c r="H33" s="329" t="n">
        <x:f>IF(AND(E33=TRUE,ISNUMBER(F33),F33&gt;0),100,"")</x:f>
        <x:v>100</x:v>
      </x:c>
      <x:c r="I33" s="329" t="str">
        <x:f>IF(AND(ISNUMBER(H33),ISNUMBER(G33)),IF(J33="lower",IF(G33&gt;0,100*F33/G33,""),100*G33/F33),"")</x:f>
      </x:c>
      <x:c r="J33" s="321" t="str">
        <x:v>higher</x:v>
      </x:c>
      <x:c r="N33" s="363" t="n">
        <x:f>Daily!A8</x:f>
        <x:v>46329.5</x:v>
      </x:c>
      <x:c r="O33" s="359" t="str">
        <x:f>Daily!D8</x:f>
        <x:v>Handstand technique</x:v>
      </x:c>
      <x:c r="P33" s="371" t="str">
        <x:v>Easy chest-to-wall hold</x:v>
      </x:c>
      <x:c r="Q33" s="360" t="str">
        <x:v>seconds</x:v>
      </x:c>
      <x:c r="R33" s="365" t="n">
        <x:v>3</x:v>
      </x:c>
      <x:c r="S33" s="365" t="n">
        <x:v>15</x:v>
      </x:c>
      <x:c r="T33" s="366" t="n">
        <x:f>IF(OR(COUNTIFS(Strategy!$B$36:$B$90,P33)&lt;&gt;1,COUNTIFS(Strategy!$B$36:$B$90,P33,Strategy!$C$36:$C$90,"&lt;&gt;")&lt;&gt;1),"",INDEX(Strategy!$C$36:$C$90,MATCH(P33,Strategy!$B$36:$B$90,0)))</x:f>
        <x:v>1</x:v>
      </x:c>
      <x:c r="U33" s="366" t="n">
        <x:f>IF(OR(COUNTIFS(Strategy!$B$36:$B$90,P33)&lt;&gt;1,COUNTIFS(Strategy!$B$36:$B$90,P33,Strategy!$D$36:$D$90,"&lt;&gt;")&lt;&gt;1),"",INDEX(Strategy!$D$36:$D$90,MATCH(P33,Strategy!$B$36:$B$90,0)))</x:f>
        <x:v>3</x:v>
      </x:c>
      <x:c r="V33" s="366" t="n">
        <x:f>IF(OR(COUNTIFS(Strategy!$B$36:$B$90,P33)&lt;&gt;1,COUNTIFS(Strategy!$B$36:$B$90,P33,Strategy!$E$36:$E$90,"&lt;&gt;")&lt;&gt;1),"",INDEX(Strategy!$E$36:$E$90,MATCH(P33,Strategy!$B$36:$B$90,0)))</x:f>
        <x:v>60</x:v>
      </x:c>
      <x:c r="W33" s="359" t="str">
        <x:f>IF(OR(COUNTIFS(Strategy!$B$36:$B$90,P33)&lt;&gt;1,COUNTIFS(Strategy!$B$36:$B$90,P33,Strategy!$F$36:$F$90,"&lt;&gt;")&lt;&gt;1),"",INDEX(Strategy!$F$36:$F$90,MATCH(P33,Strategy!$B$36:$B$90,0)))</x:f>
        <x:v>seconds</x:v>
      </x:c>
      <x:c r="X33" s="369" t="n">
        <x:f>IF(OR(COUNT(R33:V33)&lt;&gt;5,Q33&lt;&gt;W33,T33&lt;0,T33&gt;10,U33&lt;=0,V33&lt;=0,R33&lt;0,R33&lt;&gt;INT(R33),S33&lt;=0),"",T33*R33*S33/(U33*V33))</x:f>
        <x:v>0.25</x:v>
      </x:c>
      <x:c r="Y33" s="373" t="str"/>
    </x:row>
    <x:row r="34" ht="15" hidden="0" customHeight="1">
      <x:c r="A34" s="327" t="n">
        <x:f>Daily!A11</x:f>
        <x:v>46335.5</x:v>
      </x:c>
      <x:c r="B34" s="322" t="str">
        <x:f>Daily!D11</x:f>
        <x:v>Skill A + interval circuit</x:v>
      </x:c>
      <x:c r="C34" s="322" t="str">
        <x:v>B · Low-bar transition</x:v>
      </x:c>
      <x:c r="D34" s="322" t="str">
        <x:v>reps</x:v>
      </x:c>
      <x:c r="E34" s="324" t="b">
        <x:v>1</x:v>
      </x:c>
      <x:c r="F34" s="330" t="n">
        <x:v>9</x:v>
      </x:c>
      <x:c r="G34" s="331" t="str">
        <x:f>IF(AND(OR(Daily!N11=TRUE,Daily!AB11=TRUE),COUNT(Daily!O11,Daily!P11,Daily!Q11)&gt;0),SUM(Daily!O11,Daily!P11,Daily!Q11),"")</x:f>
      </x:c>
      <x:c r="H34" s="331" t="n">
        <x:f>IF(AND(E34=TRUE,ISNUMBER(F34),F34&gt;0),100,"")</x:f>
        <x:v>100</x:v>
      </x:c>
      <x:c r="I34" s="331" t="str">
        <x:f>IF(AND(ISNUMBER(H34),ISNUMBER(G34)),IF(J34="lower",IF(G34&gt;0,100*F34/G34,""),100*G34/F34),"")</x:f>
      </x:c>
      <x:c r="J34" s="325" t="str">
        <x:v>higher</x:v>
      </x:c>
      <x:c r="N34" s="364" t="n">
        <x:f>Daily!A8</x:f>
        <x:v>46329.5</x:v>
      </x:c>
      <x:c r="O34" s="361" t="str">
        <x:f>Daily!D8</x:f>
        <x:v>Handstand technique</x:v>
      </x:c>
      <x:c r="P34" s="372" t="str">
        <x:v>Wall handstand line drill</x:v>
      </x:c>
      <x:c r="Q34" s="362" t="str">
        <x:v>seconds</x:v>
      </x:c>
      <x:c r="R34" s="367" t="n">
        <x:v>2</x:v>
      </x:c>
      <x:c r="S34" s="367" t="n">
        <x:v>15</x:v>
      </x:c>
      <x:c r="T34" s="368" t="n">
        <x:f>IF(OR(COUNTIFS(Strategy!$B$36:$B$90,P34)&lt;&gt;1,COUNTIFS(Strategy!$B$36:$B$90,P34,Strategy!$C$36:$C$90,"&lt;&gt;")&lt;&gt;1),"",INDEX(Strategy!$C$36:$C$90,MATCH(P34,Strategy!$B$36:$B$90,0)))</x:f>
        <x:v>1</x:v>
      </x:c>
      <x:c r="U34" s="368" t="n">
        <x:f>IF(OR(COUNTIFS(Strategy!$B$36:$B$90,P34)&lt;&gt;1,COUNTIFS(Strategy!$B$36:$B$90,P34,Strategy!$D$36:$D$90,"&lt;&gt;")&lt;&gt;1),"",INDEX(Strategy!$D$36:$D$90,MATCH(P34,Strategy!$B$36:$B$90,0)))</x:f>
        <x:v>3</x:v>
      </x:c>
      <x:c r="V34" s="368" t="n">
        <x:f>IF(OR(COUNTIFS(Strategy!$B$36:$B$90,P34)&lt;&gt;1,COUNTIFS(Strategy!$B$36:$B$90,P34,Strategy!$E$36:$E$90,"&lt;&gt;")&lt;&gt;1),"",INDEX(Strategy!$E$36:$E$90,MATCH(P34,Strategy!$B$36:$B$90,0)))</x:f>
        <x:v>60</x:v>
      </x:c>
      <x:c r="W34" s="361" t="str">
        <x:f>IF(OR(COUNTIFS(Strategy!$B$36:$B$90,P34)&lt;&gt;1,COUNTIFS(Strategy!$B$36:$B$90,P34,Strategy!$F$36:$F$90,"&lt;&gt;")&lt;&gt;1),"",INDEX(Strategy!$F$36:$F$90,MATCH(P34,Strategy!$B$36:$B$90,0)))</x:f>
        <x:v>seconds</x:v>
      </x:c>
      <x:c r="X34" s="370" t="n">
        <x:f>IF(OR(COUNT(R34:V34)&lt;&gt;5,Q34&lt;&gt;W34,T34&lt;0,T34&gt;10,U34&lt;=0,V34&lt;=0,R34&lt;0,R34&lt;&gt;INT(R34),S34&lt;=0),"",T34*R34*S34/(U34*V34))</x:f>
        <x:v>0.16666666666666666</x:v>
      </x:c>
      <x:c r="Y34" s="374" t="str"/>
    </x:row>
    <x:row r="35" ht="15" hidden="0" customHeight="1">
      <x:c r="A35" s="326" t="n">
        <x:f>Daily!A11</x:f>
        <x:v>46335.5</x:v>
      </x:c>
      <x:c r="B35" s="318" t="str">
        <x:f>Daily!D11</x:f>
        <x:v>Skill A + interval circuit</x:v>
      </x:c>
      <x:c r="C35" s="318" t="str">
        <x:v>C · Assisted full-depth pistol</x:v>
      </x:c>
      <x:c r="D35" s="318" t="str">
        <x:v>reps/leg</x:v>
      </x:c>
      <x:c r="E35" s="320" t="b">
        <x:v>1</x:v>
      </x:c>
      <x:c r="F35" s="328" t="n">
        <x:v>12</x:v>
      </x:c>
      <x:c r="G35" s="329" t="str">
        <x:f>IF(AND(OR(Daily!T11=TRUE,Daily!AB11=TRUE),COUNT(Daily!U11,Daily!V11,Daily!W11)&gt;0),SUM(Daily!U11,Daily!V11,Daily!W11),"")</x:f>
      </x:c>
      <x:c r="H35" s="329" t="n">
        <x:f>IF(AND(E35=TRUE,ISNUMBER(F35),F35&gt;0),100,"")</x:f>
        <x:v>100</x:v>
      </x:c>
      <x:c r="I35" s="329" t="str">
        <x:f>IF(AND(ISNUMBER(H35),ISNUMBER(G35)),IF(J35="lower",IF(G35&gt;0,100*F35/G35,""),100*G35/F35),"")</x:f>
      </x:c>
      <x:c r="J35" s="321" t="str">
        <x:v>higher</x:v>
      </x:c>
      <x:c r="N35" s="363" t="n">
        <x:f>Daily!A9</x:f>
        <x:v>46331.5</x:v>
      </x:c>
      <x:c r="O35" s="359" t="str">
        <x:f>Daily!D9</x:f>
        <x:v>Skill B + circuit</x:v>
      </x:c>
      <x:c r="P35" s="371" t="str">
        <x:v>Wall handstand</x:v>
      </x:c>
      <x:c r="Q35" s="360" t="str">
        <x:v>seconds</x:v>
      </x:c>
      <x:c r="R35" s="365" t="n">
        <x:v>3</x:v>
      </x:c>
      <x:c r="S35" s="365" t="n">
        <x:v>25</x:v>
      </x:c>
      <x:c r="T35" s="366" t="n">
        <x:f>IF(OR(COUNTIFS(Strategy!$B$36:$B$90,P35)&lt;&gt;1,COUNTIFS(Strategy!$B$36:$B$90,P35,Strategy!$C$36:$C$90,"&lt;&gt;")&lt;&gt;1),"",INDEX(Strategy!$C$36:$C$90,MATCH(P35,Strategy!$B$36:$B$90,0)))</x:f>
        <x:v>4</x:v>
      </x:c>
      <x:c r="U35" s="366" t="n">
        <x:f>IF(OR(COUNTIFS(Strategy!$B$36:$B$90,P35)&lt;&gt;1,COUNTIFS(Strategy!$B$36:$B$90,P35,Strategy!$D$36:$D$90,"&lt;&gt;")&lt;&gt;1),"",INDEX(Strategy!$D$36:$D$90,MATCH(P35,Strategy!$B$36:$B$90,0)))</x:f>
        <x:v>3</x:v>
      </x:c>
      <x:c r="V35" s="366" t="n">
        <x:f>IF(OR(COUNTIFS(Strategy!$B$36:$B$90,P35)&lt;&gt;1,COUNTIFS(Strategy!$B$36:$B$90,P35,Strategy!$E$36:$E$90,"&lt;&gt;")&lt;&gt;1),"",INDEX(Strategy!$E$36:$E$90,MATCH(P35,Strategy!$B$36:$B$90,0)))</x:f>
        <x:v>60</x:v>
      </x:c>
      <x:c r="W35" s="359" t="str">
        <x:f>IF(OR(COUNTIFS(Strategy!$B$36:$B$90,P35)&lt;&gt;1,COUNTIFS(Strategy!$B$36:$B$90,P35,Strategy!$F$36:$F$90,"&lt;&gt;")&lt;&gt;1),"",INDEX(Strategy!$F$36:$F$90,MATCH(P35,Strategy!$B$36:$B$90,0)))</x:f>
        <x:v>seconds</x:v>
      </x:c>
      <x:c r="X35" s="369" t="n">
        <x:f>IF(OR(COUNT(R35:V35)&lt;&gt;5,Q35&lt;&gt;W35,T35&lt;0,T35&gt;10,U35&lt;=0,V35&lt;=0,R35&lt;0,R35&lt;&gt;INT(R35),S35&lt;=0),"",T35*R35*S35/(U35*V35))</x:f>
        <x:v>1.6666666666666667</x:v>
      </x:c>
      <x:c r="Y35" s="373" t="str"/>
    </x:row>
    <x:row r="36" ht="15" hidden="0" customHeight="1">
      <x:c r="A36" s="327" t="n">
        <x:f>Daily!A11</x:f>
        <x:v>46335.5</x:v>
      </x:c>
      <x:c r="B36" s="322" t="str">
        <x:f>Daily!D11</x:f>
        <x:v>Skill A + interval circuit</x:v>
      </x:c>
      <x:c r="C36" s="322" t="str">
        <x:v>Core</x:v>
      </x:c>
      <x:c r="D36" s="322" t="str">
        <x:v>rounds</x:v>
      </x:c>
      <x:c r="E36" s="324" t="b">
        <x:v>1</x:v>
      </x:c>
      <x:c r="F36" s="330" t="n">
        <x:v>5</x:v>
      </x:c>
      <x:c r="G36" s="331" t="str">
        <x:f>IF(AND(OR(Daily!Z11=TRUE,Daily!AB11=TRUE),COUNT(Daily!AA11)&gt;0),SUM(Daily!AA11),"")</x:f>
      </x:c>
      <x:c r="H36" s="331" t="n">
        <x:f>IF(AND(E36=TRUE,ISNUMBER(F36),F36&gt;0),100,"")</x:f>
        <x:v>100</x:v>
      </x:c>
      <x:c r="I36" s="331" t="str">
        <x:f>IF(AND(ISNUMBER(H36),ISNUMBER(G36)),IF(J36="lower",IF(G36&gt;0,100*F36/G36,""),100*G36/F36),"")</x:f>
      </x:c>
      <x:c r="J36" s="325" t="str">
        <x:v>higher</x:v>
      </x:c>
      <x:c r="N36" s="364" t="n">
        <x:f>Daily!A9</x:f>
        <x:v>46331.5</x:v>
      </x:c>
      <x:c r="O36" s="361" t="str">
        <x:f>Daily!D9</x:f>
        <x:v>Skill B + circuit</x:v>
      </x:c>
      <x:c r="P36" s="372" t="str">
        <x:v>Elevated pike push-up</x:v>
      </x:c>
      <x:c r="Q36" s="362" t="str">
        <x:v>reps</x:v>
      </x:c>
      <x:c r="R36" s="367" t="n">
        <x:v>3</x:v>
      </x:c>
      <x:c r="S36" s="367" t="n">
        <x:v>4</x:v>
      </x:c>
      <x:c r="T36" s="368" t="n">
        <x:f>IF(OR(COUNTIFS(Strategy!$B$36:$B$90,P36)&lt;&gt;1,COUNTIFS(Strategy!$B$36:$B$90,P36,Strategy!$C$36:$C$90,"&lt;&gt;")&lt;&gt;1),"",INDEX(Strategy!$C$36:$C$90,MATCH(P36,Strategy!$B$36:$B$90,0)))</x:f>
        <x:v>4</x:v>
      </x:c>
      <x:c r="U36" s="368" t="n">
        <x:f>IF(OR(COUNTIFS(Strategy!$B$36:$B$90,P36)&lt;&gt;1,COUNTIFS(Strategy!$B$36:$B$90,P36,Strategy!$D$36:$D$90,"&lt;&gt;")&lt;&gt;1),"",INDEX(Strategy!$D$36:$D$90,MATCH(P36,Strategy!$B$36:$B$90,0)))</x:f>
        <x:v>3</x:v>
      </x:c>
      <x:c r="V36" s="368" t="n">
        <x:f>IF(OR(COUNTIFS(Strategy!$B$36:$B$90,P36)&lt;&gt;1,COUNTIFS(Strategy!$B$36:$B$90,P36,Strategy!$E$36:$E$90,"&lt;&gt;")&lt;&gt;1),"",INDEX(Strategy!$E$36:$E$90,MATCH(P36,Strategy!$B$36:$B$90,0)))</x:f>
        <x:v>10</x:v>
      </x:c>
      <x:c r="W36" s="361" t="str">
        <x:f>IF(OR(COUNTIFS(Strategy!$B$36:$B$90,P36)&lt;&gt;1,COUNTIFS(Strategy!$B$36:$B$90,P36,Strategy!$F$36:$F$90,"&lt;&gt;")&lt;&gt;1),"",INDEX(Strategy!$F$36:$F$90,MATCH(P36,Strategy!$B$36:$B$90,0)))</x:f>
        <x:v>reps</x:v>
      </x:c>
      <x:c r="X36" s="370" t="n">
        <x:f>IF(OR(COUNT(R36:V36)&lt;&gt;5,Q36&lt;&gt;W36,T36&lt;0,T36&gt;10,U36&lt;=0,V36&lt;=0,R36&lt;0,R36&lt;&gt;INT(R36),S36&lt;=0),"",T36*R36*S36/(U36*V36))</x:f>
        <x:v>1.6</x:v>
      </x:c>
      <x:c r="Y36" s="374" t="str"/>
    </x:row>
    <x:row r="37" ht="15" hidden="0" customHeight="1">
      <x:c r="A37" s="326" t="n">
        <x:f>Daily!A12</x:f>
        <x:v>46336.5</x:v>
      </x:c>
      <x:c r="B37" s="318" t="str">
        <x:f>Daily!D12</x:f>
        <x:v>Handstand technique</x:v>
      </x:c>
      <x:c r="C37" s="318" t="str">
        <x:v>A · Wrist/shoulder mobility</x:v>
      </x:c>
      <x:c r="D37" s="318" t="str">
        <x:v>seconds</x:v>
      </x:c>
      <x:c r="E37" s="320" t="b">
        <x:v>1</x:v>
      </x:c>
      <x:c r="F37" s="328" t="n">
        <x:v>120</x:v>
      </x:c>
      <x:c r="G37" s="329" t="str">
        <x:f>IF(AND(OR(Daily!H12=TRUE,Daily!AB12=TRUE),COUNT(Daily!I12)&gt;0),SUM(Daily!I12)*86400,"")</x:f>
      </x:c>
      <x:c r="H37" s="329" t="n">
        <x:f>IF(AND(E37=TRUE,ISNUMBER(F37),F37&gt;0),100,"")</x:f>
        <x:v>100</x:v>
      </x:c>
      <x:c r="I37" s="329" t="str">
        <x:f>IF(AND(ISNUMBER(H37),ISNUMBER(G37)),IF(J37="lower",IF(G37&gt;0,100*F37/G37,""),100*G37/F37),"")</x:f>
      </x:c>
      <x:c r="J37" s="321" t="str">
        <x:v>higher</x:v>
      </x:c>
      <x:c r="N37" s="363" t="n">
        <x:f>Daily!A9</x:f>
        <x:v>46331.5</x:v>
      </x:c>
      <x:c r="O37" s="359" t="str">
        <x:f>Daily!D9</x:f>
        <x:v>Skill B + circuit</x:v>
      </x:c>
      <x:c r="P37" s="371" t="str">
        <x:v>Lower-box pistol with counterweight</x:v>
      </x:c>
      <x:c r="Q37" s="360" t="str">
        <x:v>reps/leg</x:v>
      </x:c>
      <x:c r="R37" s="365" t="n">
        <x:v>3</x:v>
      </x:c>
      <x:c r="S37" s="365" t="n">
        <x:v>4</x:v>
      </x:c>
      <x:c r="T37" s="366" t="n">
        <x:f>IF(OR(COUNTIFS(Strategy!$B$36:$B$90,P37)&lt;&gt;1,COUNTIFS(Strategy!$B$36:$B$90,P37,Strategy!$C$36:$C$90,"&lt;&gt;")&lt;&gt;1),"",INDEX(Strategy!$C$36:$C$90,MATCH(P37,Strategy!$B$36:$B$90,0)))</x:f>
        <x:v>2</x:v>
      </x:c>
      <x:c r="U37" s="366" t="n">
        <x:f>IF(OR(COUNTIFS(Strategy!$B$36:$B$90,P37)&lt;&gt;1,COUNTIFS(Strategy!$B$36:$B$90,P37,Strategy!$D$36:$D$90,"&lt;&gt;")&lt;&gt;1),"",INDEX(Strategy!$D$36:$D$90,MATCH(P37,Strategy!$B$36:$B$90,0)))</x:f>
        <x:v>3</x:v>
      </x:c>
      <x:c r="V37" s="366" t="n">
        <x:f>IF(OR(COUNTIFS(Strategy!$B$36:$B$90,P37)&lt;&gt;1,COUNTIFS(Strategy!$B$36:$B$90,P37,Strategy!$E$36:$E$90,"&lt;&gt;")&lt;&gt;1),"",INDEX(Strategy!$E$36:$E$90,MATCH(P37,Strategy!$B$36:$B$90,0)))</x:f>
        <x:v>10</x:v>
      </x:c>
      <x:c r="W37" s="359" t="str">
        <x:f>IF(OR(COUNTIFS(Strategy!$B$36:$B$90,P37)&lt;&gt;1,COUNTIFS(Strategy!$B$36:$B$90,P37,Strategy!$F$36:$F$90,"&lt;&gt;")&lt;&gt;1),"",INDEX(Strategy!$F$36:$F$90,MATCH(P37,Strategy!$B$36:$B$90,0)))</x:f>
        <x:v>reps/leg</x:v>
      </x:c>
      <x:c r="X37" s="369" t="n">
        <x:f>IF(OR(COUNT(R37:V37)&lt;&gt;5,Q37&lt;&gt;W37,T37&lt;0,T37&gt;10,U37&lt;=0,V37&lt;=0,R37&lt;0,R37&lt;&gt;INT(R37),S37&lt;=0),"",T37*R37*S37/(U37*V37))</x:f>
        <x:v>0.8</x:v>
      </x:c>
      <x:c r="Y37" s="373" t="str"/>
    </x:row>
    <x:row r="38" ht="15" hidden="0" customHeight="1">
      <x:c r="A38" s="327" t="n">
        <x:f>Daily!A12</x:f>
        <x:v>46336.5</x:v>
      </x:c>
      <x:c r="B38" s="322" t="str">
        <x:f>Daily!D12</x:f>
        <x:v>Handstand technique</x:v>
      </x:c>
      <x:c r="C38" s="322" t="str">
        <x:v>B · Easy chest-to-wall hold</x:v>
      </x:c>
      <x:c r="D38" s="322" t="str">
        <x:v>seconds</x:v>
      </x:c>
      <x:c r="E38" s="324" t="b">
        <x:v>1</x:v>
      </x:c>
      <x:c r="F38" s="330" t="n">
        <x:v>45</x:v>
      </x:c>
      <x:c r="G38" s="331" t="str">
        <x:f>IF(AND(OR(Daily!N12=TRUE,Daily!AB12=TRUE),COUNT(Daily!O12,Daily!P12,Daily!Q12)&gt;0),SUM(Daily!O12,Daily!P12,Daily!Q12)*86400,"")</x:f>
      </x:c>
      <x:c r="H38" s="331" t="n">
        <x:f>IF(AND(E38=TRUE,ISNUMBER(F38),F38&gt;0),100,"")</x:f>
        <x:v>100</x:v>
      </x:c>
      <x:c r="I38" s="331" t="str">
        <x:f>IF(AND(ISNUMBER(H38),ISNUMBER(G38)),IF(J38="lower",IF(G38&gt;0,100*F38/G38,""),100*G38/F38),"")</x:f>
      </x:c>
      <x:c r="J38" s="325" t="str">
        <x:v>higher</x:v>
      </x:c>
      <x:c r="N38" s="364" t="n">
        <x:f>Daily!A9</x:f>
        <x:v>46331.5</x:v>
      </x:c>
      <x:c r="O38" s="361" t="str">
        <x:f>Daily!D9</x:f>
        <x:v>Skill B + circuit</x:v>
      </x:c>
      <x:c r="P38" s="372" t="str">
        <x:v>Pull-up</x:v>
      </x:c>
      <x:c r="Q38" s="362" t="str">
        <x:v>seconds</x:v>
      </x:c>
      <x:c r="R38" s="367" t="n">
        <x:v>5</x:v>
      </x:c>
      <x:c r="S38" s="367" t="n">
        <x:v>30</x:v>
      </x:c>
      <x:c r="T38" s="368" t="n">
        <x:f>IF(OR(COUNTIFS(Strategy!$B$36:$B$90,P38)&lt;&gt;1,COUNTIFS(Strategy!$B$36:$B$90,P38,Strategy!$C$36:$C$90,"&lt;&gt;")&lt;&gt;1),"",INDEX(Strategy!$C$36:$C$90,MATCH(P38,Strategy!$B$36:$B$90,0)))</x:f>
        <x:v>1</x:v>
      </x:c>
      <x:c r="U38" s="368" t="n">
        <x:f>IF(OR(COUNTIFS(Strategy!$B$36:$B$90,P38)&lt;&gt;1,COUNTIFS(Strategy!$B$36:$B$90,P38,Strategy!$D$36:$D$90,"&lt;&gt;")&lt;&gt;1),"",INDEX(Strategy!$D$36:$D$90,MATCH(P38,Strategy!$B$36:$B$90,0)))</x:f>
        <x:v>5</x:v>
      </x:c>
      <x:c r="V38" s="368" t="n">
        <x:f>IF(OR(COUNTIFS(Strategy!$B$36:$B$90,P38)&lt;&gt;1,COUNTIFS(Strategy!$B$36:$B$90,P38,Strategy!$E$36:$E$90,"&lt;&gt;")&lt;&gt;1),"",INDEX(Strategy!$E$36:$E$90,MATCH(P38,Strategy!$B$36:$B$90,0)))</x:f>
        <x:v>120</x:v>
      </x:c>
      <x:c r="W38" s="361" t="str">
        <x:f>IF(OR(COUNTIFS(Strategy!$B$36:$B$90,P38)&lt;&gt;1,COUNTIFS(Strategy!$B$36:$B$90,P38,Strategy!$F$36:$F$90,"&lt;&gt;")&lt;&gt;1),"",INDEX(Strategy!$F$36:$F$90,MATCH(P38,Strategy!$B$36:$B$90,0)))</x:f>
        <x:v>seconds</x:v>
      </x:c>
      <x:c r="X38" s="370" t="n">
        <x:f>IF(OR(COUNT(R38:V38)&lt;&gt;5,Q38&lt;&gt;W38,T38&lt;0,T38&gt;10,U38&lt;=0,V38&lt;=0,R38&lt;0,R38&lt;&gt;INT(R38),S38&lt;=0),"",T38*R38*S38/(U38*V38))</x:f>
        <x:v>0.25</x:v>
      </x:c>
      <x:c r="Y38" s="374" t="str">
        <x:v>Core: one 30-second work interval per round; rest excluded.</x:v>
      </x:c>
    </x:row>
    <x:row r="39" ht="15" hidden="0" customHeight="1">
      <x:c r="A39" s="326" t="n">
        <x:f>Daily!A12</x:f>
        <x:v>46336.5</x:v>
      </x:c>
      <x:c r="B39" s="318" t="str">
        <x:f>Daily!D12</x:f>
        <x:v>Handstand technique</x:v>
      </x:c>
      <x:c r="C39" s="318" t="str">
        <x:v>C · Wall handstand line drill</x:v>
      </x:c>
      <x:c r="D39" s="318" t="str">
        <x:v>seconds</x:v>
      </x:c>
      <x:c r="E39" s="320" t="b">
        <x:v>1</x:v>
      </x:c>
      <x:c r="F39" s="328" t="n">
        <x:v>30</x:v>
      </x:c>
      <x:c r="G39" s="329" t="str">
        <x:f>IF(AND(OR(Daily!T12=TRUE,Daily!AB12=TRUE),COUNT(Daily!U12,Daily!V12)&gt;0),SUM(Daily!U12,Daily!V12)*86400,"")</x:f>
      </x:c>
      <x:c r="H39" s="329" t="n">
        <x:f>IF(AND(E39=TRUE,ISNUMBER(F39),F39&gt;0),100,"")</x:f>
        <x:v>100</x:v>
      </x:c>
      <x:c r="I39" s="329" t="str">
        <x:f>IF(AND(ISNUMBER(H39),ISNUMBER(G39)),IF(J39="lower",IF(G39&gt;0,100*F39/G39,""),100*G39/F39),"")</x:f>
      </x:c>
      <x:c r="J39" s="321" t="str">
        <x:v>higher</x:v>
      </x:c>
      <x:c r="N39" s="363" t="n">
        <x:f>Daily!A9</x:f>
        <x:v>46331.5</x:v>
      </x:c>
      <x:c r="O39" s="359" t="str">
        <x:f>Daily!D9</x:f>
        <x:v>Skill B + circuit</x:v>
      </x:c>
      <x:c r="P39" s="371" t="str">
        <x:v>Push-up</x:v>
      </x:c>
      <x:c r="Q39" s="360" t="str">
        <x:v>seconds</x:v>
      </x:c>
      <x:c r="R39" s="365" t="n">
        <x:v>5</x:v>
      </x:c>
      <x:c r="S39" s="365" t="n">
        <x:v>30</x:v>
      </x:c>
      <x:c r="T39" s="366" t="n">
        <x:f>IF(OR(COUNTIFS(Strategy!$B$36:$B$90,P39)&lt;&gt;1,COUNTIFS(Strategy!$B$36:$B$90,P39,Strategy!$C$36:$C$90,"&lt;&gt;")&lt;&gt;1),"",INDEX(Strategy!$C$36:$C$90,MATCH(P39,Strategy!$B$36:$B$90,0)))</x:f>
        <x:v>1</x:v>
      </x:c>
      <x:c r="U39" s="366" t="n">
        <x:f>IF(OR(COUNTIFS(Strategy!$B$36:$B$90,P39)&lt;&gt;1,COUNTIFS(Strategy!$B$36:$B$90,P39,Strategy!$D$36:$D$90,"&lt;&gt;")&lt;&gt;1),"",INDEX(Strategy!$D$36:$D$90,MATCH(P39,Strategy!$B$36:$B$90,0)))</x:f>
        <x:v>5</x:v>
      </x:c>
      <x:c r="V39" s="366" t="n">
        <x:f>IF(OR(COUNTIFS(Strategy!$B$36:$B$90,P39)&lt;&gt;1,COUNTIFS(Strategy!$B$36:$B$90,P39,Strategy!$E$36:$E$90,"&lt;&gt;")&lt;&gt;1),"",INDEX(Strategy!$E$36:$E$90,MATCH(P39,Strategy!$B$36:$B$90,0)))</x:f>
        <x:v>120</x:v>
      </x:c>
      <x:c r="W39" s="359" t="str">
        <x:f>IF(OR(COUNTIFS(Strategy!$B$36:$B$90,P39)&lt;&gt;1,COUNTIFS(Strategy!$B$36:$B$90,P39,Strategy!$F$36:$F$90,"&lt;&gt;")&lt;&gt;1),"",INDEX(Strategy!$F$36:$F$90,MATCH(P39,Strategy!$B$36:$B$90,0)))</x:f>
        <x:v>seconds</x:v>
      </x:c>
      <x:c r="X39" s="369" t="n">
        <x:f>IF(OR(COUNT(R39:V39)&lt;&gt;5,Q39&lt;&gt;W39,T39&lt;0,T39&gt;10,U39&lt;=0,V39&lt;=0,R39&lt;0,R39&lt;&gt;INT(R39),S39&lt;=0),"",T39*R39*S39/(U39*V39))</x:f>
        <x:v>0.25</x:v>
      </x:c>
      <x:c r="Y39" s="373" t="str">
        <x:v>Core: one 30-second work interval per round; rest excluded.</x:v>
      </x:c>
    </x:row>
    <x:row r="40" ht="15" hidden="0" customHeight="1">
      <x:c r="A40" s="327" t="n">
        <x:f>Daily!A13</x:f>
        <x:v>46338.5</x:v>
      </x:c>
      <x:c r="B40" s="322" t="str">
        <x:f>Daily!D13</x:f>
        <x:v>Skill B + circuit</x:v>
      </x:c>
      <x:c r="C40" s="322" t="str">
        <x:v>B · Pike push-up</x:v>
      </x:c>
      <x:c r="D40" s="322" t="str">
        <x:v>reps</x:v>
      </x:c>
      <x:c r="E40" s="324" t="b">
        <x:v>1</x:v>
      </x:c>
      <x:c r="F40" s="330" t="n">
        <x:v>15</x:v>
      </x:c>
      <x:c r="G40" s="331" t="str">
        <x:f>IF(AND(OR(Daily!N13=TRUE,Daily!AB13=TRUE),COUNT(Daily!O13,Daily!P13,Daily!Q13)&gt;0),SUM(Daily!O13,Daily!P13,Daily!Q13),"")</x:f>
      </x:c>
      <x:c r="H40" s="331" t="n">
        <x:f>IF(AND(E40=TRUE,ISNUMBER(F40),F40&gt;0),100,"")</x:f>
        <x:v>100</x:v>
      </x:c>
      <x:c r="I40" s="331" t="str">
        <x:f>IF(AND(ISNUMBER(H40),ISNUMBER(G40)),IF(J40="lower",IF(G40&gt;0,100*F40/G40,""),100*G40/F40),"")</x:f>
      </x:c>
      <x:c r="J40" s="325" t="str">
        <x:v>higher</x:v>
      </x:c>
      <x:c r="N40" s="364" t="n">
        <x:f>Daily!A9</x:f>
        <x:v>46331.5</x:v>
      </x:c>
      <x:c r="O40" s="361" t="str">
        <x:f>Daily!D9</x:f>
        <x:v>Skill B + circuit</x:v>
      </x:c>
      <x:c r="P40" s="372" t="str">
        <x:v>Weighted squat</x:v>
      </x:c>
      <x:c r="Q40" s="362" t="str">
        <x:v>seconds</x:v>
      </x:c>
      <x:c r="R40" s="367" t="n">
        <x:v>5</x:v>
      </x:c>
      <x:c r="S40" s="367" t="n">
        <x:v>30</x:v>
      </x:c>
      <x:c r="T40" s="368" t="n">
        <x:f>IF(OR(COUNTIFS(Strategy!$B$36:$B$90,P40)&lt;&gt;1,COUNTIFS(Strategy!$B$36:$B$90,P40,Strategy!$C$36:$C$90,"&lt;&gt;")&lt;&gt;1),"",INDEX(Strategy!$C$36:$C$90,MATCH(P40,Strategy!$B$36:$B$90,0)))</x:f>
        <x:v>1</x:v>
      </x:c>
      <x:c r="U40" s="368" t="n">
        <x:f>IF(OR(COUNTIFS(Strategy!$B$36:$B$90,P40)&lt;&gt;1,COUNTIFS(Strategy!$B$36:$B$90,P40,Strategy!$D$36:$D$90,"&lt;&gt;")&lt;&gt;1),"",INDEX(Strategy!$D$36:$D$90,MATCH(P40,Strategy!$B$36:$B$90,0)))</x:f>
        <x:v>5</x:v>
      </x:c>
      <x:c r="V40" s="368" t="n">
        <x:f>IF(OR(COUNTIFS(Strategy!$B$36:$B$90,P40)&lt;&gt;1,COUNTIFS(Strategy!$B$36:$B$90,P40,Strategy!$E$36:$E$90,"&lt;&gt;")&lt;&gt;1),"",INDEX(Strategy!$E$36:$E$90,MATCH(P40,Strategy!$B$36:$B$90,0)))</x:f>
        <x:v>120</x:v>
      </x:c>
      <x:c r="W40" s="361" t="str">
        <x:f>IF(OR(COUNTIFS(Strategy!$B$36:$B$90,P40)&lt;&gt;1,COUNTIFS(Strategy!$B$36:$B$90,P40,Strategy!$F$36:$F$90,"&lt;&gt;")&lt;&gt;1),"",INDEX(Strategy!$F$36:$F$90,MATCH(P40,Strategy!$B$36:$B$90,0)))</x:f>
        <x:v>seconds</x:v>
      </x:c>
      <x:c r="X40" s="370" t="n">
        <x:f>IF(OR(COUNT(R40:V40)&lt;&gt;5,Q40&lt;&gt;W40,T40&lt;0,T40&gt;10,U40&lt;=0,V40&lt;=0,R40&lt;0,R40&lt;&gt;INT(R40),S40&lt;=0),"",T40*R40*S40/(U40*V40))</x:f>
        <x:v>0.25</x:v>
      </x:c>
      <x:c r="Y40" s="374" t="str">
        <x:v>Core: one 30-second work interval per round; rest excluded.</x:v>
      </x:c>
    </x:row>
    <x:row r="41" ht="15" hidden="0" customHeight="1">
      <x:c r="A41" s="326" t="n">
        <x:f>Daily!A13</x:f>
        <x:v>46338.5</x:v>
      </x:c>
      <x:c r="B41" s="318" t="str">
        <x:f>Daily!D13</x:f>
        <x:v>Skill B + circuit</x:v>
      </x:c>
      <x:c r="C41" s="318" t="str">
        <x:v>C · Assisted full-depth pistol</x:v>
      </x:c>
      <x:c r="D41" s="318" t="str">
        <x:v>reps/leg</x:v>
      </x:c>
      <x:c r="E41" s="320" t="b">
        <x:v>1</x:v>
      </x:c>
      <x:c r="F41" s="328" t="n">
        <x:v>12</x:v>
      </x:c>
      <x:c r="G41" s="329" t="str">
        <x:f>IF(AND(OR(Daily!T13=TRUE,Daily!AB13=TRUE),COUNT(Daily!U13,Daily!V13,Daily!W13)&gt;0),SUM(Daily!U13,Daily!V13,Daily!W13),"")</x:f>
      </x:c>
      <x:c r="H41" s="329" t="n">
        <x:f>IF(AND(E41=TRUE,ISNUMBER(F41),F41&gt;0),100,"")</x:f>
        <x:v>100</x:v>
      </x:c>
      <x:c r="I41" s="329" t="str">
        <x:f>IF(AND(ISNUMBER(H41),ISNUMBER(G41)),IF(J41="lower",IF(G41&gt;0,100*F41/G41,""),100*G41/F41),"")</x:f>
      </x:c>
      <x:c r="J41" s="321" t="str">
        <x:v>higher</x:v>
      </x:c>
      <x:c r="N41" s="363" t="n">
        <x:f>Daily!A9</x:f>
        <x:v>46331.5</x:v>
      </x:c>
      <x:c r="O41" s="359" t="str">
        <x:f>Daily!D9</x:f>
        <x:v>Skill B + circuit</x:v>
      </x:c>
      <x:c r="P41" s="371" t="str">
        <x:v>Upside-down hanging shoulder/ab work</x:v>
      </x:c>
      <x:c r="Q41" s="360" t="str">
        <x:v>seconds</x:v>
      </x:c>
      <x:c r="R41" s="365" t="n">
        <x:v>5</x:v>
      </x:c>
      <x:c r="S41" s="365" t="n">
        <x:v>30</x:v>
      </x:c>
      <x:c r="T41" s="366" t="n">
        <x:f>IF(OR(COUNTIFS(Strategy!$B$36:$B$90,P41)&lt;&gt;1,COUNTIFS(Strategy!$B$36:$B$90,P41,Strategy!$C$36:$C$90,"&lt;&gt;")&lt;&gt;1),"",INDEX(Strategy!$C$36:$C$90,MATCH(P41,Strategy!$B$36:$B$90,0)))</x:f>
        <x:v>1</x:v>
      </x:c>
      <x:c r="U41" s="366" t="n">
        <x:f>IF(OR(COUNTIFS(Strategy!$B$36:$B$90,P41)&lt;&gt;1,COUNTIFS(Strategy!$B$36:$B$90,P41,Strategy!$D$36:$D$90,"&lt;&gt;")&lt;&gt;1),"",INDEX(Strategy!$D$36:$D$90,MATCH(P41,Strategy!$B$36:$B$90,0)))</x:f>
        <x:v>5</x:v>
      </x:c>
      <x:c r="V41" s="366" t="n">
        <x:f>IF(OR(COUNTIFS(Strategy!$B$36:$B$90,P41)&lt;&gt;1,COUNTIFS(Strategy!$B$36:$B$90,P41,Strategy!$E$36:$E$90,"&lt;&gt;")&lt;&gt;1),"",INDEX(Strategy!$E$36:$E$90,MATCH(P41,Strategy!$B$36:$B$90,0)))</x:f>
        <x:v>120</x:v>
      </x:c>
      <x:c r="W41" s="359" t="str">
        <x:f>IF(OR(COUNTIFS(Strategy!$B$36:$B$90,P41)&lt;&gt;1,COUNTIFS(Strategy!$B$36:$B$90,P41,Strategy!$F$36:$F$90,"&lt;&gt;")&lt;&gt;1),"",INDEX(Strategy!$F$36:$F$90,MATCH(P41,Strategy!$B$36:$B$90,0)))</x:f>
        <x:v>seconds</x:v>
      </x:c>
      <x:c r="X41" s="369" t="n">
        <x:f>IF(OR(COUNT(R41:V41)&lt;&gt;5,Q41&lt;&gt;W41,T41&lt;0,T41&gt;10,U41&lt;=0,V41&lt;=0,R41&lt;0,R41&lt;&gt;INT(R41),S41&lt;=0),"",T41*R41*S41/(U41*V41))</x:f>
        <x:v>0.25</x:v>
      </x:c>
      <x:c r="Y41" s="373" t="str">
        <x:v>Core: one 30-second work interval per round; rest excluded.</x:v>
      </x:c>
    </x:row>
    <x:row r="42" ht="15" hidden="0" customHeight="1">
      <x:c r="A42" s="327" t="n">
        <x:f>Daily!A13</x:f>
        <x:v>46338.5</x:v>
      </x:c>
      <x:c r="B42" s="322" t="str">
        <x:f>Daily!D13</x:f>
        <x:v>Skill B + circuit</x:v>
      </x:c>
      <x:c r="C42" s="322" t="str">
        <x:v>Core</x:v>
      </x:c>
      <x:c r="D42" s="322" t="str">
        <x:v>rounds</x:v>
      </x:c>
      <x:c r="E42" s="324" t="b">
        <x:v>1</x:v>
      </x:c>
      <x:c r="F42" s="330" t="n">
        <x:v>5</x:v>
      </x:c>
      <x:c r="G42" s="331" t="str">
        <x:f>IF(AND(OR(Daily!Z13=TRUE,Daily!AB13=TRUE),COUNT(Daily!AA13)&gt;0),SUM(Daily!AA13),"")</x:f>
      </x:c>
      <x:c r="H42" s="331" t="n">
        <x:f>IF(AND(E42=TRUE,ISNUMBER(F42),F42&gt;0),100,"")</x:f>
        <x:v>100</x:v>
      </x:c>
      <x:c r="I42" s="331" t="str">
        <x:f>IF(AND(ISNUMBER(H42),ISNUMBER(G42)),IF(J42="lower",IF(G42&gt;0,100*F42/G42,""),100*G42/F42),"")</x:f>
      </x:c>
      <x:c r="J42" s="325" t="str">
        <x:v>higher</x:v>
      </x:c>
      <x:c r="N42" s="364" t="n">
        <x:f>Daily!A10</x:f>
        <x:v>46333.5</x:v>
      </x:c>
      <x:c r="O42" s="361" t="str">
        <x:f>Daily!D10</x:f>
        <x:v>Skill micro-session</x:v>
      </x:c>
      <x:c r="P42" s="372" t="str">
        <x:v>Wrist/shoulder mobility</x:v>
      </x:c>
      <x:c r="Q42" s="362" t="str">
        <x:v>seconds</x:v>
      </x:c>
      <x:c r="R42" s="367" t="n">
        <x:v>1</x:v>
      </x:c>
      <x:c r="S42" s="367" t="n">
        <x:v>120</x:v>
      </x:c>
      <x:c r="T42" s="368" t="n">
        <x:f>IF(OR(COUNTIFS(Strategy!$B$36:$B$90,P42)&lt;&gt;1,COUNTIFS(Strategy!$B$36:$B$90,P42,Strategy!$C$36:$C$90,"&lt;&gt;")&lt;&gt;1),"",INDEX(Strategy!$C$36:$C$90,MATCH(P42,Strategy!$B$36:$B$90,0)))</x:f>
        <x:v>1</x:v>
      </x:c>
      <x:c r="U42" s="368" t="n">
        <x:f>IF(OR(COUNTIFS(Strategy!$B$36:$B$90,P42)&lt;&gt;1,COUNTIFS(Strategy!$B$36:$B$90,P42,Strategy!$D$36:$D$90,"&lt;&gt;")&lt;&gt;1),"",INDEX(Strategy!$D$36:$D$90,MATCH(P42,Strategy!$B$36:$B$90,0)))</x:f>
        <x:v>3</x:v>
      </x:c>
      <x:c r="V42" s="368" t="n">
        <x:f>IF(OR(COUNTIFS(Strategy!$B$36:$B$90,P42)&lt;&gt;1,COUNTIFS(Strategy!$B$36:$B$90,P42,Strategy!$E$36:$E$90,"&lt;&gt;")&lt;&gt;1),"",INDEX(Strategy!$E$36:$E$90,MATCH(P42,Strategy!$B$36:$B$90,0)))</x:f>
        <x:v>60</x:v>
      </x:c>
      <x:c r="W42" s="361" t="str">
        <x:f>IF(OR(COUNTIFS(Strategy!$B$36:$B$90,P42)&lt;&gt;1,COUNTIFS(Strategy!$B$36:$B$90,P42,Strategy!$F$36:$F$90,"&lt;&gt;")&lt;&gt;1),"",INDEX(Strategy!$F$36:$F$90,MATCH(P42,Strategy!$B$36:$B$90,0)))</x:f>
        <x:v>seconds</x:v>
      </x:c>
      <x:c r="X42" s="370" t="n">
        <x:f>IF(OR(COUNT(R42:V42)&lt;&gt;5,Q42&lt;&gt;W42,T42&lt;0,T42&gt;10,U42&lt;=0,V42&lt;=0,R42&lt;0,R42&lt;&gt;INT(R42),S42&lt;=0),"",T42*R42*S42/(U42*V42))</x:f>
        <x:v>0.6666666666666666</x:v>
      </x:c>
      <x:c r="Y42" s="374" t="str"/>
    </x:row>
    <x:row r="43" ht="15" hidden="0" customHeight="1">
      <x:c r="A43" s="326" t="n">
        <x:f>Daily!A14</x:f>
        <x:v>46340.5</x:v>
      </x:c>
      <x:c r="B43" s="318" t="str">
        <x:f>Daily!D14</x:f>
        <x:v>Skill micro-session</x:v>
      </x:c>
      <x:c r="C43" s="318" t="str">
        <x:v>A · Wrist/shoulder mobility</x:v>
      </x:c>
      <x:c r="D43" s="318" t="str">
        <x:v>seconds</x:v>
      </x:c>
      <x:c r="E43" s="320" t="b">
        <x:v>1</x:v>
      </x:c>
      <x:c r="F43" s="328" t="n">
        <x:v>120</x:v>
      </x:c>
      <x:c r="G43" s="329" t="str">
        <x:f>IF(AND(OR(Daily!H14=TRUE,Daily!AB14=TRUE),COUNT(Daily!I14)&gt;0),SUM(Daily!I14)*86400,"")</x:f>
      </x:c>
      <x:c r="H43" s="329" t="n">
        <x:f>IF(AND(E43=TRUE,ISNUMBER(F43),F43&gt;0),100,"")</x:f>
        <x:v>100</x:v>
      </x:c>
      <x:c r="I43" s="329" t="str">
        <x:f>IF(AND(ISNUMBER(H43),ISNUMBER(G43)),IF(J43="lower",IF(G43&gt;0,100*F43/G43,""),100*G43/F43),"")</x:f>
      </x:c>
      <x:c r="J43" s="321" t="str">
        <x:v>higher</x:v>
      </x:c>
      <x:c r="N43" s="363" t="n">
        <x:f>Daily!A10</x:f>
        <x:v>46333.5</x:v>
      </x:c>
      <x:c r="O43" s="359" t="str">
        <x:f>Daily!D10</x:f>
        <x:v>Skill micro-session</x:v>
      </x:c>
      <x:c r="P43" s="371" t="str">
        <x:v>Easy chest-to-wall hold</x:v>
      </x:c>
      <x:c r="Q43" s="360" t="str">
        <x:v>seconds</x:v>
      </x:c>
      <x:c r="R43" s="365" t="n">
        <x:v>3</x:v>
      </x:c>
      <x:c r="S43" s="365" t="n">
        <x:v>15</x:v>
      </x:c>
      <x:c r="T43" s="366" t="n">
        <x:f>IF(OR(COUNTIFS(Strategy!$B$36:$B$90,P43)&lt;&gt;1,COUNTIFS(Strategy!$B$36:$B$90,P43,Strategy!$C$36:$C$90,"&lt;&gt;")&lt;&gt;1),"",INDEX(Strategy!$C$36:$C$90,MATCH(P43,Strategy!$B$36:$B$90,0)))</x:f>
        <x:v>1</x:v>
      </x:c>
      <x:c r="U43" s="366" t="n">
        <x:f>IF(OR(COUNTIFS(Strategy!$B$36:$B$90,P43)&lt;&gt;1,COUNTIFS(Strategy!$B$36:$B$90,P43,Strategy!$D$36:$D$90,"&lt;&gt;")&lt;&gt;1),"",INDEX(Strategy!$D$36:$D$90,MATCH(P43,Strategy!$B$36:$B$90,0)))</x:f>
        <x:v>3</x:v>
      </x:c>
      <x:c r="V43" s="366" t="n">
        <x:f>IF(OR(COUNTIFS(Strategy!$B$36:$B$90,P43)&lt;&gt;1,COUNTIFS(Strategy!$B$36:$B$90,P43,Strategy!$E$36:$E$90,"&lt;&gt;")&lt;&gt;1),"",INDEX(Strategy!$E$36:$E$90,MATCH(P43,Strategy!$B$36:$B$90,0)))</x:f>
        <x:v>60</x:v>
      </x:c>
      <x:c r="W43" s="359" t="str">
        <x:f>IF(OR(COUNTIFS(Strategy!$B$36:$B$90,P43)&lt;&gt;1,COUNTIFS(Strategy!$B$36:$B$90,P43,Strategy!$F$36:$F$90,"&lt;&gt;")&lt;&gt;1),"",INDEX(Strategy!$F$36:$F$90,MATCH(P43,Strategy!$B$36:$B$90,0)))</x:f>
        <x:v>seconds</x:v>
      </x:c>
      <x:c r="X43" s="369" t="n">
        <x:f>IF(OR(COUNT(R43:V43)&lt;&gt;5,Q43&lt;&gt;W43,T43&lt;0,T43&gt;10,U43&lt;=0,V43&lt;=0,R43&lt;0,R43&lt;&gt;INT(R43),S43&lt;=0),"",T43*R43*S43/(U43*V43))</x:f>
        <x:v>0.25</x:v>
      </x:c>
      <x:c r="Y43" s="373" t="str"/>
    </x:row>
    <x:row r="44" ht="15" hidden="0" customHeight="1">
      <x:c r="A44" s="327" t="n">
        <x:f>Daily!A14</x:f>
        <x:v>46340.5</x:v>
      </x:c>
      <x:c r="B44" s="322" t="str">
        <x:f>Daily!D14</x:f>
        <x:v>Skill micro-session</x:v>
      </x:c>
      <x:c r="C44" s="322" t="str">
        <x:v>B · Easy chest-to-wall hold</x:v>
      </x:c>
      <x:c r="D44" s="322" t="str">
        <x:v>seconds</x:v>
      </x:c>
      <x:c r="E44" s="324" t="b">
        <x:v>1</x:v>
      </x:c>
      <x:c r="F44" s="330" t="n">
        <x:v>45</x:v>
      </x:c>
      <x:c r="G44" s="331" t="str">
        <x:f>IF(AND(OR(Daily!N14=TRUE,Daily!AB14=TRUE),COUNT(Daily!O14,Daily!P14,Daily!Q14)&gt;0),SUM(Daily!O14,Daily!P14,Daily!Q14)*86400,"")</x:f>
      </x:c>
      <x:c r="H44" s="331" t="n">
        <x:f>IF(AND(E44=TRUE,ISNUMBER(F44),F44&gt;0),100,"")</x:f>
        <x:v>100</x:v>
      </x:c>
      <x:c r="I44" s="331" t="str">
        <x:f>IF(AND(ISNUMBER(H44),ISNUMBER(G44)),IF(J44="lower",IF(G44&gt;0,100*F44/G44,""),100*G44/F44),"")</x:f>
      </x:c>
      <x:c r="J44" s="325" t="str">
        <x:v>higher</x:v>
      </x:c>
      <x:c r="N44" s="364" t="n">
        <x:f>Daily!A10</x:f>
        <x:v>46333.5</x:v>
      </x:c>
      <x:c r="O44" s="361" t="str">
        <x:f>Daily!D10</x:f>
        <x:v>Skill micro-session</x:v>
      </x:c>
      <x:c r="P44" s="372" t="str">
        <x:v>Wall handstand line drill</x:v>
      </x:c>
      <x:c r="Q44" s="362" t="str">
        <x:v>seconds</x:v>
      </x:c>
      <x:c r="R44" s="367" t="n">
        <x:v>3</x:v>
      </x:c>
      <x:c r="S44" s="367" t="n">
        <x:v>15</x:v>
      </x:c>
      <x:c r="T44" s="368" t="n">
        <x:f>IF(OR(COUNTIFS(Strategy!$B$36:$B$90,P44)&lt;&gt;1,COUNTIFS(Strategy!$B$36:$B$90,P44,Strategy!$C$36:$C$90,"&lt;&gt;")&lt;&gt;1),"",INDEX(Strategy!$C$36:$C$90,MATCH(P44,Strategy!$B$36:$B$90,0)))</x:f>
        <x:v>1</x:v>
      </x:c>
      <x:c r="U44" s="368" t="n">
        <x:f>IF(OR(COUNTIFS(Strategy!$B$36:$B$90,P44)&lt;&gt;1,COUNTIFS(Strategy!$B$36:$B$90,P44,Strategy!$D$36:$D$90,"&lt;&gt;")&lt;&gt;1),"",INDEX(Strategy!$D$36:$D$90,MATCH(P44,Strategy!$B$36:$B$90,0)))</x:f>
        <x:v>3</x:v>
      </x:c>
      <x:c r="V44" s="368" t="n">
        <x:f>IF(OR(COUNTIFS(Strategy!$B$36:$B$90,P44)&lt;&gt;1,COUNTIFS(Strategy!$B$36:$B$90,P44,Strategy!$E$36:$E$90,"&lt;&gt;")&lt;&gt;1),"",INDEX(Strategy!$E$36:$E$90,MATCH(P44,Strategy!$B$36:$B$90,0)))</x:f>
        <x:v>60</x:v>
      </x:c>
      <x:c r="W44" s="361" t="str">
        <x:f>IF(OR(COUNTIFS(Strategy!$B$36:$B$90,P44)&lt;&gt;1,COUNTIFS(Strategy!$B$36:$B$90,P44,Strategy!$F$36:$F$90,"&lt;&gt;")&lt;&gt;1),"",INDEX(Strategy!$F$36:$F$90,MATCH(P44,Strategy!$B$36:$B$90,0)))</x:f>
        <x:v>seconds</x:v>
      </x:c>
      <x:c r="X44" s="370" t="n">
        <x:f>IF(OR(COUNT(R44:V44)&lt;&gt;5,Q44&lt;&gt;W44,T44&lt;0,T44&gt;10,U44&lt;=0,V44&lt;=0,R44&lt;0,R44&lt;&gt;INT(R44),S44&lt;=0),"",T44*R44*S44/(U44*V44))</x:f>
        <x:v>0.25</x:v>
      </x:c>
      <x:c r="Y44" s="374" t="str"/>
    </x:row>
    <x:row r="45" ht="15" hidden="0" customHeight="1">
      <x:c r="A45" s="326" t="n">
        <x:f>Daily!A14</x:f>
        <x:v>46340.5</x:v>
      </x:c>
      <x:c r="B45" s="318" t="str">
        <x:f>Daily!D14</x:f>
        <x:v>Skill micro-session</x:v>
      </x:c>
      <x:c r="C45" s="318" t="str">
        <x:v>C · Wall handstand line drill</x:v>
      </x:c>
      <x:c r="D45" s="318" t="str">
        <x:v>seconds</x:v>
      </x:c>
      <x:c r="E45" s="320" t="b">
        <x:v>1</x:v>
      </x:c>
      <x:c r="F45" s="328" t="n">
        <x:v>45</x:v>
      </x:c>
      <x:c r="G45" s="329" t="str">
        <x:f>IF(AND(OR(Daily!T14=TRUE,Daily!AB14=TRUE),COUNT(Daily!U14,Daily!V14,Daily!W14)&gt;0),SUM(Daily!U14,Daily!V14,Daily!W14)*86400,"")</x:f>
      </x:c>
      <x:c r="H45" s="329" t="n">
        <x:f>IF(AND(E45=TRUE,ISNUMBER(F45),F45&gt;0),100,"")</x:f>
        <x:v>100</x:v>
      </x:c>
      <x:c r="I45" s="329" t="str">
        <x:f>IF(AND(ISNUMBER(H45),ISNUMBER(G45)),IF(J45="lower",IF(G45&gt;0,100*F45/G45,""),100*G45/F45),"")</x:f>
      </x:c>
      <x:c r="J45" s="321" t="str">
        <x:v>higher</x:v>
      </x:c>
      <x:c r="N45" s="363" t="n">
        <x:f>Daily!A11</x:f>
        <x:v>46335.5</x:v>
      </x:c>
      <x:c r="O45" s="359" t="str">
        <x:f>Daily!D11</x:f>
        <x:v>Skill A + interval circuit</x:v>
      </x:c>
      <x:c r="P45" s="371" t="str">
        <x:v>Explosive pull-up</x:v>
      </x:c>
      <x:c r="Q45" s="360" t="str">
        <x:v>reps</x:v>
      </x:c>
      <x:c r="R45" s="365" t="n">
        <x:v>4</x:v>
      </x:c>
      <x:c r="S45" s="365" t="n">
        <x:v>2</x:v>
      </x:c>
      <x:c r="T45" s="366" t="n">
        <x:f>IF(OR(COUNTIFS(Strategy!$B$36:$B$90,P45)&lt;&gt;1,COUNTIFS(Strategy!$B$36:$B$90,P45,Strategy!$C$36:$C$90,"&lt;&gt;")&lt;&gt;1),"",INDEX(Strategy!$C$36:$C$90,MATCH(P45,Strategy!$B$36:$B$90,0)))</x:f>
        <x:v>4</x:v>
      </x:c>
      <x:c r="U45" s="366" t="n">
        <x:f>IF(OR(COUNTIFS(Strategy!$B$36:$B$90,P45)&lt;&gt;1,COUNTIFS(Strategy!$B$36:$B$90,P45,Strategy!$D$36:$D$90,"&lt;&gt;")&lt;&gt;1),"",INDEX(Strategy!$D$36:$D$90,MATCH(P45,Strategy!$B$36:$B$90,0)))</x:f>
        <x:v>3</x:v>
      </x:c>
      <x:c r="V45" s="366" t="n">
        <x:f>IF(OR(COUNTIFS(Strategy!$B$36:$B$90,P45)&lt;&gt;1,COUNTIFS(Strategy!$B$36:$B$90,P45,Strategy!$E$36:$E$90,"&lt;&gt;")&lt;&gt;1),"",INDEX(Strategy!$E$36:$E$90,MATCH(P45,Strategy!$B$36:$B$90,0)))</x:f>
        <x:v>10</x:v>
      </x:c>
      <x:c r="W45" s="359" t="str">
        <x:f>IF(OR(COUNTIFS(Strategy!$B$36:$B$90,P45)&lt;&gt;1,COUNTIFS(Strategy!$B$36:$B$90,P45,Strategy!$F$36:$F$90,"&lt;&gt;")&lt;&gt;1),"",INDEX(Strategy!$F$36:$F$90,MATCH(P45,Strategy!$B$36:$B$90,0)))</x:f>
        <x:v>reps</x:v>
      </x:c>
      <x:c r="X45" s="369" t="n">
        <x:f>IF(OR(COUNT(R45:V45)&lt;&gt;5,Q45&lt;&gt;W45,T45&lt;0,T45&gt;10,U45&lt;=0,V45&lt;=0,R45&lt;0,R45&lt;&gt;INT(R45),S45&lt;=0),"",T45*R45*S45/(U45*V45))</x:f>
        <x:v>1.0666666666666667</x:v>
      </x:c>
      <x:c r="Y45" s="373" t="str"/>
    </x:row>
    <x:row r="46" ht="15" hidden="0" customHeight="1">
      <x:c r="A46" s="327" t="n">
        <x:f>Daily!A15</x:f>
        <x:v>46342.5</x:v>
      </x:c>
      <x:c r="B46" s="322" t="str">
        <x:f>Daily!D15</x:f>
        <x:v>Skill A + interval circuit</x:v>
      </x:c>
      <x:c r="C46" s="322" t="str">
        <x:v>A · Easy scapular pull-up</x:v>
      </x:c>
      <x:c r="D46" s="322" t="str">
        <x:v>reps</x:v>
      </x:c>
      <x:c r="E46" s="324" t="b">
        <x:v>1</x:v>
      </x:c>
      <x:c r="F46" s="330" t="n">
        <x:v>5</x:v>
      </x:c>
      <x:c r="G46" s="331" t="str">
        <x:f>IF(AND(OR(Daily!H15=TRUE,Daily!AB15=TRUE),COUNT(Daily!I15)&gt;0),SUM(Daily!I15),"")</x:f>
      </x:c>
      <x:c r="H46" s="331" t="n">
        <x:f>IF(AND(E46=TRUE,ISNUMBER(F46),F46&gt;0),100,"")</x:f>
        <x:v>100</x:v>
      </x:c>
      <x:c r="I46" s="331" t="str">
        <x:f>IF(AND(ISNUMBER(H46),ISNUMBER(G46)),IF(J46="lower",IF(G46&gt;0,100*F46/G46,""),100*G46/F46),"")</x:f>
      </x:c>
      <x:c r="J46" s="325" t="str">
        <x:v>higher</x:v>
      </x:c>
      <x:c r="N46" s="364" t="n">
        <x:f>Daily!A11</x:f>
        <x:v>46335.5</x:v>
      </x:c>
      <x:c r="O46" s="361" t="str">
        <x:f>Daily!D11</x:f>
        <x:v>Skill A + interval circuit</x:v>
      </x:c>
      <x:c r="P46" s="372" t="str">
        <x:v>Low-bar transition</x:v>
      </x:c>
      <x:c r="Q46" s="362" t="str">
        <x:v>reps</x:v>
      </x:c>
      <x:c r="R46" s="367" t="n">
        <x:v>3</x:v>
      </x:c>
      <x:c r="S46" s="367" t="n">
        <x:v>3</x:v>
      </x:c>
      <x:c r="T46" s="368" t="n">
        <x:f>IF(OR(COUNTIFS(Strategy!$B$36:$B$90,P46)&lt;&gt;1,COUNTIFS(Strategy!$B$36:$B$90,P46,Strategy!$C$36:$C$90,"&lt;&gt;")&lt;&gt;1),"",INDEX(Strategy!$C$36:$C$90,MATCH(P46,Strategy!$B$36:$B$90,0)))</x:f>
        <x:v>4</x:v>
      </x:c>
      <x:c r="U46" s="368" t="n">
        <x:f>IF(OR(COUNTIFS(Strategy!$B$36:$B$90,P46)&lt;&gt;1,COUNTIFS(Strategy!$B$36:$B$90,P46,Strategy!$D$36:$D$90,"&lt;&gt;")&lt;&gt;1),"",INDEX(Strategy!$D$36:$D$90,MATCH(P46,Strategy!$B$36:$B$90,0)))</x:f>
        <x:v>3</x:v>
      </x:c>
      <x:c r="V46" s="368" t="n">
        <x:f>IF(OR(COUNTIFS(Strategy!$B$36:$B$90,P46)&lt;&gt;1,COUNTIFS(Strategy!$B$36:$B$90,P46,Strategy!$E$36:$E$90,"&lt;&gt;")&lt;&gt;1),"",INDEX(Strategy!$E$36:$E$90,MATCH(P46,Strategy!$B$36:$B$90,0)))</x:f>
        <x:v>10</x:v>
      </x:c>
      <x:c r="W46" s="361" t="str">
        <x:f>IF(OR(COUNTIFS(Strategy!$B$36:$B$90,P46)&lt;&gt;1,COUNTIFS(Strategy!$B$36:$B$90,P46,Strategy!$F$36:$F$90,"&lt;&gt;")&lt;&gt;1),"",INDEX(Strategy!$F$36:$F$90,MATCH(P46,Strategy!$B$36:$B$90,0)))</x:f>
        <x:v>reps</x:v>
      </x:c>
      <x:c r="X46" s="370" t="n">
        <x:f>IF(OR(COUNT(R46:V46)&lt;&gt;5,Q46&lt;&gt;W46,T46&lt;0,T46&gt;10,U46&lt;=0,V46&lt;=0,R46&lt;0,R46&lt;&gt;INT(R46),S46&lt;=0),"",T46*R46*S46/(U46*V46))</x:f>
        <x:v>1.2</x:v>
      </x:c>
      <x:c r="Y46" s="374" t="str"/>
    </x:row>
    <x:row r="47" ht="15" hidden="0" customHeight="1">
      <x:c r="A47" s="326" t="n">
        <x:f>Daily!A15</x:f>
        <x:v>46342.5</x:v>
      </x:c>
      <x:c r="B47" s="318" t="str">
        <x:f>Daily!D15</x:f>
        <x:v>Skill A + interval circuit</x:v>
      </x:c>
      <x:c r="C47" s="318" t="str">
        <x:v>B · Easy low-bar transition</x:v>
      </x:c>
      <x:c r="D47" s="318" t="str">
        <x:v>reps</x:v>
      </x:c>
      <x:c r="E47" s="320" t="b">
        <x:v>1</x:v>
      </x:c>
      <x:c r="F47" s="328" t="n">
        <x:v>3</x:v>
      </x:c>
      <x:c r="G47" s="329" t="str">
        <x:f>IF(AND(OR(Daily!N15=TRUE,Daily!AB15=TRUE),COUNT(Daily!O15)&gt;0),SUM(Daily!O15),"")</x:f>
      </x:c>
      <x:c r="H47" s="329" t="n">
        <x:f>IF(AND(E47=TRUE,ISNUMBER(F47),F47&gt;0),100,"")</x:f>
        <x:v>100</x:v>
      </x:c>
      <x:c r="I47" s="329" t="str">
        <x:f>IF(AND(ISNUMBER(H47),ISNUMBER(G47)),IF(J47="lower",IF(G47&gt;0,100*F47/G47,""),100*G47/F47),"")</x:f>
      </x:c>
      <x:c r="J47" s="321" t="str">
        <x:v>higher</x:v>
      </x:c>
      <x:c r="N47" s="363" t="n">
        <x:f>Daily!A11</x:f>
        <x:v>46335.5</x:v>
      </x:c>
      <x:c r="O47" s="359" t="str">
        <x:f>Daily!D11</x:f>
        <x:v>Skill A + interval circuit</x:v>
      </x:c>
      <x:c r="P47" s="371" t="str">
        <x:v>Assisted full-depth pistol</x:v>
      </x:c>
      <x:c r="Q47" s="360" t="str">
        <x:v>reps/leg</x:v>
      </x:c>
      <x:c r="R47" s="365" t="n">
        <x:v>3</x:v>
      </x:c>
      <x:c r="S47" s="365" t="n">
        <x:v>4</x:v>
      </x:c>
      <x:c r="T47" s="366" t="n">
        <x:f>IF(OR(COUNTIFS(Strategy!$B$36:$B$90,P47)&lt;&gt;1,COUNTIFS(Strategy!$B$36:$B$90,P47,Strategy!$C$36:$C$90,"&lt;&gt;")&lt;&gt;1),"",INDEX(Strategy!$C$36:$C$90,MATCH(P47,Strategy!$B$36:$B$90,0)))</x:f>
        <x:v>4</x:v>
      </x:c>
      <x:c r="U47" s="366" t="n">
        <x:f>IF(OR(COUNTIFS(Strategy!$B$36:$B$90,P47)&lt;&gt;1,COUNTIFS(Strategy!$B$36:$B$90,P47,Strategy!$D$36:$D$90,"&lt;&gt;")&lt;&gt;1),"",INDEX(Strategy!$D$36:$D$90,MATCH(P47,Strategy!$B$36:$B$90,0)))</x:f>
        <x:v>3</x:v>
      </x:c>
      <x:c r="V47" s="366" t="n">
        <x:f>IF(OR(COUNTIFS(Strategy!$B$36:$B$90,P47)&lt;&gt;1,COUNTIFS(Strategy!$B$36:$B$90,P47,Strategy!$E$36:$E$90,"&lt;&gt;")&lt;&gt;1),"",INDEX(Strategy!$E$36:$E$90,MATCH(P47,Strategy!$B$36:$B$90,0)))</x:f>
        <x:v>10</x:v>
      </x:c>
      <x:c r="W47" s="359" t="str">
        <x:f>IF(OR(COUNTIFS(Strategy!$B$36:$B$90,P47)&lt;&gt;1,COUNTIFS(Strategy!$B$36:$B$90,P47,Strategy!$F$36:$F$90,"&lt;&gt;")&lt;&gt;1),"",INDEX(Strategy!$F$36:$F$90,MATCH(P47,Strategy!$B$36:$B$90,0)))</x:f>
        <x:v>reps/leg</x:v>
      </x:c>
      <x:c r="X47" s="369" t="n">
        <x:f>IF(OR(COUNT(R47:V47)&lt;&gt;5,Q47&lt;&gt;W47,T47&lt;0,T47&gt;10,U47&lt;=0,V47&lt;=0,R47&lt;0,R47&lt;&gt;INT(R47),S47&lt;=0),"",T47*R47*S47/(U47*V47))</x:f>
        <x:v>1.6</x:v>
      </x:c>
      <x:c r="Y47" s="373" t="str"/>
    </x:row>
    <x:row r="48" ht="15" hidden="0" customHeight="1">
      <x:c r="A48" s="327" t="n">
        <x:f>Daily!A15</x:f>
        <x:v>46342.5</x:v>
      </x:c>
      <x:c r="B48" s="322" t="str">
        <x:f>Daily!D15</x:f>
        <x:v>Skill A + interval circuit</x:v>
      </x:c>
      <x:c r="C48" s="322" t="str">
        <x:v>C · Assisted pistol</x:v>
      </x:c>
      <x:c r="D48" s="322" t="str">
        <x:v>reps/leg</x:v>
      </x:c>
      <x:c r="E48" s="324" t="b">
        <x:v>1</x:v>
      </x:c>
      <x:c r="F48" s="330" t="n">
        <x:v>3</x:v>
      </x:c>
      <x:c r="G48" s="331" t="str">
        <x:f>IF(AND(OR(Daily!T15=TRUE,Daily!AB15=TRUE),COUNT(Daily!U15)&gt;0),SUM(Daily!U15),"")</x:f>
      </x:c>
      <x:c r="H48" s="331" t="n">
        <x:f>IF(AND(E48=TRUE,ISNUMBER(F48),F48&gt;0),100,"")</x:f>
        <x:v>100</x:v>
      </x:c>
      <x:c r="I48" s="331" t="str">
        <x:f>IF(AND(ISNUMBER(H48),ISNUMBER(G48)),IF(J48="lower",IF(G48&gt;0,100*F48/G48,""),100*G48/F48),"")</x:f>
      </x:c>
      <x:c r="J48" s="325" t="str">
        <x:v>higher</x:v>
      </x:c>
      <x:c r="N48" s="364" t="n">
        <x:f>Daily!A11</x:f>
        <x:v>46335.5</x:v>
      </x:c>
      <x:c r="O48" s="361" t="str">
        <x:f>Daily!D11</x:f>
        <x:v>Skill A + interval circuit</x:v>
      </x:c>
      <x:c r="P48" s="372" t="str">
        <x:v>Pull-up</x:v>
      </x:c>
      <x:c r="Q48" s="362" t="str">
        <x:v>seconds</x:v>
      </x:c>
      <x:c r="R48" s="367" t="n">
        <x:v>5</x:v>
      </x:c>
      <x:c r="S48" s="367" t="n">
        <x:v>30</x:v>
      </x:c>
      <x:c r="T48" s="368" t="n">
        <x:f>IF(OR(COUNTIFS(Strategy!$B$36:$B$90,P48)&lt;&gt;1,COUNTIFS(Strategy!$B$36:$B$90,P48,Strategy!$C$36:$C$90,"&lt;&gt;")&lt;&gt;1),"",INDEX(Strategy!$C$36:$C$90,MATCH(P48,Strategy!$B$36:$B$90,0)))</x:f>
        <x:v>1</x:v>
      </x:c>
      <x:c r="U48" s="368" t="n">
        <x:f>IF(OR(COUNTIFS(Strategy!$B$36:$B$90,P48)&lt;&gt;1,COUNTIFS(Strategy!$B$36:$B$90,P48,Strategy!$D$36:$D$90,"&lt;&gt;")&lt;&gt;1),"",INDEX(Strategy!$D$36:$D$90,MATCH(P48,Strategy!$B$36:$B$90,0)))</x:f>
        <x:v>5</x:v>
      </x:c>
      <x:c r="V48" s="368" t="n">
        <x:f>IF(OR(COUNTIFS(Strategy!$B$36:$B$90,P48)&lt;&gt;1,COUNTIFS(Strategy!$B$36:$B$90,P48,Strategy!$E$36:$E$90,"&lt;&gt;")&lt;&gt;1),"",INDEX(Strategy!$E$36:$E$90,MATCH(P48,Strategy!$B$36:$B$90,0)))</x:f>
        <x:v>120</x:v>
      </x:c>
      <x:c r="W48" s="361" t="str">
        <x:f>IF(OR(COUNTIFS(Strategy!$B$36:$B$90,P48)&lt;&gt;1,COUNTIFS(Strategy!$B$36:$B$90,P48,Strategy!$F$36:$F$90,"&lt;&gt;")&lt;&gt;1),"",INDEX(Strategy!$F$36:$F$90,MATCH(P48,Strategy!$B$36:$B$90,0)))</x:f>
        <x:v>seconds</x:v>
      </x:c>
      <x:c r="X48" s="370" t="n">
        <x:f>IF(OR(COUNT(R48:V48)&lt;&gt;5,Q48&lt;&gt;W48,T48&lt;0,T48&gt;10,U48&lt;=0,V48&lt;=0,R48&lt;0,R48&lt;&gt;INT(R48),S48&lt;=0),"",T48*R48*S48/(U48*V48))</x:f>
        <x:v>0.25</x:v>
      </x:c>
      <x:c r="Y48" s="374" t="str">
        <x:v>Core: one 30-second work interval per round; rest excluded.</x:v>
      </x:c>
    </x:row>
    <x:row r="49" ht="15" hidden="0" customHeight="1">
      <x:c r="A49" s="326" t="n">
        <x:f>Daily!A15</x:f>
        <x:v>46342.5</x:v>
      </x:c>
      <x:c r="B49" s="318" t="str">
        <x:f>Daily!D15</x:f>
        <x:v>Skill A + interval circuit</x:v>
      </x:c>
      <x:c r="C49" s="318" t="str">
        <x:v>Core</x:v>
      </x:c>
      <x:c r="D49" s="318" t="str">
        <x:v>rounds</x:v>
      </x:c>
      <x:c r="E49" s="320" t="b">
        <x:v>1</x:v>
      </x:c>
      <x:c r="F49" s="328" t="n">
        <x:v>3</x:v>
      </x:c>
      <x:c r="G49" s="329" t="str">
        <x:f>IF(AND(OR(Daily!Z15=TRUE,Daily!AB15=TRUE),COUNT(Daily!AA15)&gt;0),SUM(Daily!AA15),"")</x:f>
      </x:c>
      <x:c r="H49" s="329" t="n">
        <x:f>IF(AND(E49=TRUE,ISNUMBER(F49),F49&gt;0),100,"")</x:f>
        <x:v>100</x:v>
      </x:c>
      <x:c r="I49" s="329" t="str">
        <x:f>IF(AND(ISNUMBER(H49),ISNUMBER(G49)),IF(J49="lower",IF(G49&gt;0,100*F49/G49,""),100*G49/F49),"")</x:f>
      </x:c>
      <x:c r="J49" s="321" t="str">
        <x:v>higher</x:v>
      </x:c>
      <x:c r="N49" s="363" t="n">
        <x:f>Daily!A11</x:f>
        <x:v>46335.5</x:v>
      </x:c>
      <x:c r="O49" s="359" t="str">
        <x:f>Daily!D11</x:f>
        <x:v>Skill A + interval circuit</x:v>
      </x:c>
      <x:c r="P49" s="371" t="str">
        <x:v>Push-up</x:v>
      </x:c>
      <x:c r="Q49" s="360" t="str">
        <x:v>seconds</x:v>
      </x:c>
      <x:c r="R49" s="365" t="n">
        <x:v>5</x:v>
      </x:c>
      <x:c r="S49" s="365" t="n">
        <x:v>30</x:v>
      </x:c>
      <x:c r="T49" s="366" t="n">
        <x:f>IF(OR(COUNTIFS(Strategy!$B$36:$B$90,P49)&lt;&gt;1,COUNTIFS(Strategy!$B$36:$B$90,P49,Strategy!$C$36:$C$90,"&lt;&gt;")&lt;&gt;1),"",INDEX(Strategy!$C$36:$C$90,MATCH(P49,Strategy!$B$36:$B$90,0)))</x:f>
        <x:v>1</x:v>
      </x:c>
      <x:c r="U49" s="366" t="n">
        <x:f>IF(OR(COUNTIFS(Strategy!$B$36:$B$90,P49)&lt;&gt;1,COUNTIFS(Strategy!$B$36:$B$90,P49,Strategy!$D$36:$D$90,"&lt;&gt;")&lt;&gt;1),"",INDEX(Strategy!$D$36:$D$90,MATCH(P49,Strategy!$B$36:$B$90,0)))</x:f>
        <x:v>5</x:v>
      </x:c>
      <x:c r="V49" s="366" t="n">
        <x:f>IF(OR(COUNTIFS(Strategy!$B$36:$B$90,P49)&lt;&gt;1,COUNTIFS(Strategy!$B$36:$B$90,P49,Strategy!$E$36:$E$90,"&lt;&gt;")&lt;&gt;1),"",INDEX(Strategy!$E$36:$E$90,MATCH(P49,Strategy!$B$36:$B$90,0)))</x:f>
        <x:v>120</x:v>
      </x:c>
      <x:c r="W49" s="359" t="str">
        <x:f>IF(OR(COUNTIFS(Strategy!$B$36:$B$90,P49)&lt;&gt;1,COUNTIFS(Strategy!$B$36:$B$90,P49,Strategy!$F$36:$F$90,"&lt;&gt;")&lt;&gt;1),"",INDEX(Strategy!$F$36:$F$90,MATCH(P49,Strategy!$B$36:$B$90,0)))</x:f>
        <x:v>seconds</x:v>
      </x:c>
      <x:c r="X49" s="369" t="n">
        <x:f>IF(OR(COUNT(R49:V49)&lt;&gt;5,Q49&lt;&gt;W49,T49&lt;0,T49&gt;10,U49&lt;=0,V49&lt;=0,R49&lt;0,R49&lt;&gt;INT(R49),S49&lt;=0),"",T49*R49*S49/(U49*V49))</x:f>
        <x:v>0.25</x:v>
      </x:c>
      <x:c r="Y49" s="373" t="str">
        <x:v>Core: one 30-second work interval per round; rest excluded.</x:v>
      </x:c>
    </x:row>
    <x:row r="50" ht="15" hidden="0" customHeight="1">
      <x:c r="A50" s="327" t="n">
        <x:f>Daily!A16</x:f>
        <x:v>46343.5</x:v>
      </x:c>
      <x:c r="B50" s="322" t="str">
        <x:f>Daily!D16</x:f>
        <x:v>Handstand technique</x:v>
      </x:c>
      <x:c r="C50" s="322" t="str">
        <x:v>A · Wrist/shoulder mobility</x:v>
      </x:c>
      <x:c r="D50" s="322" t="str">
        <x:v>seconds</x:v>
      </x:c>
      <x:c r="E50" s="324" t="b">
        <x:v>1</x:v>
      </x:c>
      <x:c r="F50" s="330" t="n">
        <x:v>60</x:v>
      </x:c>
      <x:c r="G50" s="331" t="str">
        <x:f>IF(AND(OR(Daily!H16=TRUE,Daily!AB16=TRUE),COUNT(Daily!I16)&gt;0),SUM(Daily!I16)*86400,"")</x:f>
      </x:c>
      <x:c r="H50" s="331" t="n">
        <x:f>IF(AND(E50=TRUE,ISNUMBER(F50),F50&gt;0),100,"")</x:f>
        <x:v>100</x:v>
      </x:c>
      <x:c r="I50" s="331" t="str">
        <x:f>IF(AND(ISNUMBER(H50),ISNUMBER(G50)),IF(J50="lower",IF(G50&gt;0,100*F50/G50,""),100*G50/F50),"")</x:f>
      </x:c>
      <x:c r="J50" s="325" t="str">
        <x:v>higher</x:v>
      </x:c>
      <x:c r="N50" s="364" t="n">
        <x:f>Daily!A11</x:f>
        <x:v>46335.5</x:v>
      </x:c>
      <x:c r="O50" s="361" t="str">
        <x:f>Daily!D11</x:f>
        <x:v>Skill A + interval circuit</x:v>
      </x:c>
      <x:c r="P50" s="372" t="str">
        <x:v>Weighted squat</x:v>
      </x:c>
      <x:c r="Q50" s="362" t="str">
        <x:v>seconds</x:v>
      </x:c>
      <x:c r="R50" s="367" t="n">
        <x:v>5</x:v>
      </x:c>
      <x:c r="S50" s="367" t="n">
        <x:v>30</x:v>
      </x:c>
      <x:c r="T50" s="368" t="n">
        <x:f>IF(OR(COUNTIFS(Strategy!$B$36:$B$90,P50)&lt;&gt;1,COUNTIFS(Strategy!$B$36:$B$90,P50,Strategy!$C$36:$C$90,"&lt;&gt;")&lt;&gt;1),"",INDEX(Strategy!$C$36:$C$90,MATCH(P50,Strategy!$B$36:$B$90,0)))</x:f>
        <x:v>1</x:v>
      </x:c>
      <x:c r="U50" s="368" t="n">
        <x:f>IF(OR(COUNTIFS(Strategy!$B$36:$B$90,P50)&lt;&gt;1,COUNTIFS(Strategy!$B$36:$B$90,P50,Strategy!$D$36:$D$90,"&lt;&gt;")&lt;&gt;1),"",INDEX(Strategy!$D$36:$D$90,MATCH(P50,Strategy!$B$36:$B$90,0)))</x:f>
        <x:v>5</x:v>
      </x:c>
      <x:c r="V50" s="368" t="n">
        <x:f>IF(OR(COUNTIFS(Strategy!$B$36:$B$90,P50)&lt;&gt;1,COUNTIFS(Strategy!$B$36:$B$90,P50,Strategy!$E$36:$E$90,"&lt;&gt;")&lt;&gt;1),"",INDEX(Strategy!$E$36:$E$90,MATCH(P50,Strategy!$B$36:$B$90,0)))</x:f>
        <x:v>120</x:v>
      </x:c>
      <x:c r="W50" s="361" t="str">
        <x:f>IF(OR(COUNTIFS(Strategy!$B$36:$B$90,P50)&lt;&gt;1,COUNTIFS(Strategy!$B$36:$B$90,P50,Strategy!$F$36:$F$90,"&lt;&gt;")&lt;&gt;1),"",INDEX(Strategy!$F$36:$F$90,MATCH(P50,Strategy!$B$36:$B$90,0)))</x:f>
        <x:v>seconds</x:v>
      </x:c>
      <x:c r="X50" s="370" t="n">
        <x:f>IF(OR(COUNT(R50:V50)&lt;&gt;5,Q50&lt;&gt;W50,T50&lt;0,T50&gt;10,U50&lt;=0,V50&lt;=0,R50&lt;0,R50&lt;&gt;INT(R50),S50&lt;=0),"",T50*R50*S50/(U50*V50))</x:f>
        <x:v>0.25</x:v>
      </x:c>
      <x:c r="Y50" s="374" t="str">
        <x:v>Core: one 30-second work interval per round; rest excluded.</x:v>
      </x:c>
    </x:row>
    <x:row r="51" ht="15" hidden="0" customHeight="1">
      <x:c r="A51" s="326" t="n">
        <x:f>Daily!A16</x:f>
        <x:v>46343.5</x:v>
      </x:c>
      <x:c r="B51" s="318" t="str">
        <x:f>Daily!D16</x:f>
        <x:v>Handstand technique</x:v>
      </x:c>
      <x:c r="C51" s="318" t="str">
        <x:v>B · Easy chest-to-wall hold</x:v>
      </x:c>
      <x:c r="D51" s="318" t="str">
        <x:v>seconds</x:v>
      </x:c>
      <x:c r="E51" s="320" t="b">
        <x:v>1</x:v>
      </x:c>
      <x:c r="F51" s="328" t="n">
        <x:v>20</x:v>
      </x:c>
      <x:c r="G51" s="329" t="str">
        <x:f>IF(AND(OR(Daily!N16=TRUE,Daily!AB16=TRUE),COUNT(Daily!O16,Daily!P16)&gt;0),SUM(Daily!O16,Daily!P16)*86400,"")</x:f>
      </x:c>
      <x:c r="H51" s="329" t="n">
        <x:f>IF(AND(E51=TRUE,ISNUMBER(F51),F51&gt;0),100,"")</x:f>
        <x:v>100</x:v>
      </x:c>
      <x:c r="I51" s="329" t="str">
        <x:f>IF(AND(ISNUMBER(H51),ISNUMBER(G51)),IF(J51="lower",IF(G51&gt;0,100*F51/G51,""),100*G51/F51),"")</x:f>
      </x:c>
      <x:c r="J51" s="321" t="str">
        <x:v>higher</x:v>
      </x:c>
      <x:c r="N51" s="363" t="n">
        <x:f>Daily!A11</x:f>
        <x:v>46335.5</x:v>
      </x:c>
      <x:c r="O51" s="359" t="str">
        <x:f>Daily!D11</x:f>
        <x:v>Skill A + interval circuit</x:v>
      </x:c>
      <x:c r="P51" s="371" t="str">
        <x:v>Upside-down hanging shoulder/ab work</x:v>
      </x:c>
      <x:c r="Q51" s="360" t="str">
        <x:v>seconds</x:v>
      </x:c>
      <x:c r="R51" s="365" t="n">
        <x:v>5</x:v>
      </x:c>
      <x:c r="S51" s="365" t="n">
        <x:v>30</x:v>
      </x:c>
      <x:c r="T51" s="366" t="n">
        <x:f>IF(OR(COUNTIFS(Strategy!$B$36:$B$90,P51)&lt;&gt;1,COUNTIFS(Strategy!$B$36:$B$90,P51,Strategy!$C$36:$C$90,"&lt;&gt;")&lt;&gt;1),"",INDEX(Strategy!$C$36:$C$90,MATCH(P51,Strategy!$B$36:$B$90,0)))</x:f>
        <x:v>1</x:v>
      </x:c>
      <x:c r="U51" s="366" t="n">
        <x:f>IF(OR(COUNTIFS(Strategy!$B$36:$B$90,P51)&lt;&gt;1,COUNTIFS(Strategy!$B$36:$B$90,P51,Strategy!$D$36:$D$90,"&lt;&gt;")&lt;&gt;1),"",INDEX(Strategy!$D$36:$D$90,MATCH(P51,Strategy!$B$36:$B$90,0)))</x:f>
        <x:v>5</x:v>
      </x:c>
      <x:c r="V51" s="366" t="n">
        <x:f>IF(OR(COUNTIFS(Strategy!$B$36:$B$90,P51)&lt;&gt;1,COUNTIFS(Strategy!$B$36:$B$90,P51,Strategy!$E$36:$E$90,"&lt;&gt;")&lt;&gt;1),"",INDEX(Strategy!$E$36:$E$90,MATCH(P51,Strategy!$B$36:$B$90,0)))</x:f>
        <x:v>120</x:v>
      </x:c>
      <x:c r="W51" s="359" t="str">
        <x:f>IF(OR(COUNTIFS(Strategy!$B$36:$B$90,P51)&lt;&gt;1,COUNTIFS(Strategy!$B$36:$B$90,P51,Strategy!$F$36:$F$90,"&lt;&gt;")&lt;&gt;1),"",INDEX(Strategy!$F$36:$F$90,MATCH(P51,Strategy!$B$36:$B$90,0)))</x:f>
        <x:v>seconds</x:v>
      </x:c>
      <x:c r="X51" s="369" t="n">
        <x:f>IF(OR(COUNT(R51:V51)&lt;&gt;5,Q51&lt;&gt;W51,T51&lt;0,T51&gt;10,U51&lt;=0,V51&lt;=0,R51&lt;0,R51&lt;&gt;INT(R51),S51&lt;=0),"",T51*R51*S51/(U51*V51))</x:f>
        <x:v>0.25</x:v>
      </x:c>
      <x:c r="Y51" s="373" t="str">
        <x:v>Core: one 30-second work interval per round; rest excluded.</x:v>
      </x:c>
    </x:row>
    <x:row r="52" ht="15" hidden="0" customHeight="1">
      <x:c r="A52" s="327" t="n">
        <x:f>Daily!A16</x:f>
        <x:v>46343.5</x:v>
      </x:c>
      <x:c r="B52" s="322" t="str">
        <x:f>Daily!D16</x:f>
        <x:v>Handstand technique</x:v>
      </x:c>
      <x:c r="C52" s="322" t="str">
        <x:v>C · Wall handstand line drill</x:v>
      </x:c>
      <x:c r="D52" s="322" t="str">
        <x:v>seconds</x:v>
      </x:c>
      <x:c r="E52" s="324" t="b">
        <x:v>1</x:v>
      </x:c>
      <x:c r="F52" s="330" t="n">
        <x:v>10</x:v>
      </x:c>
      <x:c r="G52" s="331" t="str">
        <x:f>IF(AND(OR(Daily!T16=TRUE,Daily!AB16=TRUE),COUNT(Daily!U16)&gt;0),SUM(Daily!U16)*86400,"")</x:f>
      </x:c>
      <x:c r="H52" s="331" t="n">
        <x:f>IF(AND(E52=TRUE,ISNUMBER(F52),F52&gt;0),100,"")</x:f>
        <x:v>100</x:v>
      </x:c>
      <x:c r="I52" s="331" t="str">
        <x:f>IF(AND(ISNUMBER(H52),ISNUMBER(G52)),IF(J52="lower",IF(G52&gt;0,100*F52/G52,""),100*G52/F52),"")</x:f>
      </x:c>
      <x:c r="J52" s="325" t="str">
        <x:v>higher</x:v>
      </x:c>
      <x:c r="N52" s="364" t="n">
        <x:f>Daily!A12</x:f>
        <x:v>46336.5</x:v>
      </x:c>
      <x:c r="O52" s="361" t="str">
        <x:f>Daily!D12</x:f>
        <x:v>Handstand technique</x:v>
      </x:c>
      <x:c r="P52" s="372" t="str">
        <x:v>Wrist/shoulder mobility</x:v>
      </x:c>
      <x:c r="Q52" s="362" t="str">
        <x:v>seconds</x:v>
      </x:c>
      <x:c r="R52" s="367" t="n">
        <x:v>1</x:v>
      </x:c>
      <x:c r="S52" s="367" t="n">
        <x:v>120</x:v>
      </x:c>
      <x:c r="T52" s="368" t="n">
        <x:f>IF(OR(COUNTIFS(Strategy!$B$36:$B$90,P52)&lt;&gt;1,COUNTIFS(Strategy!$B$36:$B$90,P52,Strategy!$C$36:$C$90,"&lt;&gt;")&lt;&gt;1),"",INDEX(Strategy!$C$36:$C$90,MATCH(P52,Strategy!$B$36:$B$90,0)))</x:f>
        <x:v>1</x:v>
      </x:c>
      <x:c r="U52" s="368" t="n">
        <x:f>IF(OR(COUNTIFS(Strategy!$B$36:$B$90,P52)&lt;&gt;1,COUNTIFS(Strategy!$B$36:$B$90,P52,Strategy!$D$36:$D$90,"&lt;&gt;")&lt;&gt;1),"",INDEX(Strategy!$D$36:$D$90,MATCH(P52,Strategy!$B$36:$B$90,0)))</x:f>
        <x:v>3</x:v>
      </x:c>
      <x:c r="V52" s="368" t="n">
        <x:f>IF(OR(COUNTIFS(Strategy!$B$36:$B$90,P52)&lt;&gt;1,COUNTIFS(Strategy!$B$36:$B$90,P52,Strategy!$E$36:$E$90,"&lt;&gt;")&lt;&gt;1),"",INDEX(Strategy!$E$36:$E$90,MATCH(P52,Strategy!$B$36:$B$90,0)))</x:f>
        <x:v>60</x:v>
      </x:c>
      <x:c r="W52" s="361" t="str">
        <x:f>IF(OR(COUNTIFS(Strategy!$B$36:$B$90,P52)&lt;&gt;1,COUNTIFS(Strategy!$B$36:$B$90,P52,Strategy!$F$36:$F$90,"&lt;&gt;")&lt;&gt;1),"",INDEX(Strategy!$F$36:$F$90,MATCH(P52,Strategy!$B$36:$B$90,0)))</x:f>
        <x:v>seconds</x:v>
      </x:c>
      <x:c r="X52" s="370" t="n">
        <x:f>IF(OR(COUNT(R52:V52)&lt;&gt;5,Q52&lt;&gt;W52,T52&lt;0,T52&gt;10,U52&lt;=0,V52&lt;=0,R52&lt;0,R52&lt;&gt;INT(R52),S52&lt;=0),"",T52*R52*S52/(U52*V52))</x:f>
        <x:v>0.6666666666666666</x:v>
      </x:c>
      <x:c r="Y52" s="374" t="str"/>
    </x:row>
    <x:row r="53" ht="15" hidden="0" customHeight="1">
      <x:c r="A53" s="326" t="n">
        <x:f>Daily!A17</x:f>
        <x:v>46345.5</x:v>
      </x:c>
      <x:c r="B53" s="318" t="str">
        <x:f>Daily!D17</x:f>
        <x:v>Skill B + interval circuit</x:v>
      </x:c>
      <x:c r="C53" s="318" t="str">
        <x:v>A · Easy wall handstand</x:v>
      </x:c>
      <x:c r="D53" s="318" t="str">
        <x:v>seconds</x:v>
      </x:c>
      <x:c r="E53" s="320" t="b">
        <x:v>1</x:v>
      </x:c>
      <x:c r="F53" s="328" t="n">
        <x:v>15</x:v>
      </x:c>
      <x:c r="G53" s="329" t="str">
        <x:f>IF(AND(OR(Daily!H17=TRUE,Daily!AB17=TRUE),COUNT(Daily!I17)&gt;0),SUM(Daily!I17)*86400,"")</x:f>
      </x:c>
      <x:c r="H53" s="329" t="n">
        <x:f>IF(AND(E53=TRUE,ISNUMBER(F53),F53&gt;0),100,"")</x:f>
        <x:v>100</x:v>
      </x:c>
      <x:c r="I53" s="329" t="str">
        <x:f>IF(AND(ISNUMBER(H53),ISNUMBER(G53)),IF(J53="lower",IF(G53&gt;0,100*F53/G53,""),100*G53/F53),"")</x:f>
      </x:c>
      <x:c r="J53" s="321" t="str">
        <x:v>higher</x:v>
      </x:c>
      <x:c r="N53" s="363" t="n">
        <x:f>Daily!A12</x:f>
        <x:v>46336.5</x:v>
      </x:c>
      <x:c r="O53" s="359" t="str">
        <x:f>Daily!D12</x:f>
        <x:v>Handstand technique</x:v>
      </x:c>
      <x:c r="P53" s="371" t="str">
        <x:v>Easy chest-to-wall hold</x:v>
      </x:c>
      <x:c r="Q53" s="360" t="str">
        <x:v>seconds</x:v>
      </x:c>
      <x:c r="R53" s="365" t="n">
        <x:v>3</x:v>
      </x:c>
      <x:c r="S53" s="365" t="n">
        <x:v>15</x:v>
      </x:c>
      <x:c r="T53" s="366" t="n">
        <x:f>IF(OR(COUNTIFS(Strategy!$B$36:$B$90,P53)&lt;&gt;1,COUNTIFS(Strategy!$B$36:$B$90,P53,Strategy!$C$36:$C$90,"&lt;&gt;")&lt;&gt;1),"",INDEX(Strategy!$C$36:$C$90,MATCH(P53,Strategy!$B$36:$B$90,0)))</x:f>
        <x:v>1</x:v>
      </x:c>
      <x:c r="U53" s="366" t="n">
        <x:f>IF(OR(COUNTIFS(Strategy!$B$36:$B$90,P53)&lt;&gt;1,COUNTIFS(Strategy!$B$36:$B$90,P53,Strategy!$D$36:$D$90,"&lt;&gt;")&lt;&gt;1),"",INDEX(Strategy!$D$36:$D$90,MATCH(P53,Strategy!$B$36:$B$90,0)))</x:f>
        <x:v>3</x:v>
      </x:c>
      <x:c r="V53" s="366" t="n">
        <x:f>IF(OR(COUNTIFS(Strategy!$B$36:$B$90,P53)&lt;&gt;1,COUNTIFS(Strategy!$B$36:$B$90,P53,Strategy!$E$36:$E$90,"&lt;&gt;")&lt;&gt;1),"",INDEX(Strategy!$E$36:$E$90,MATCH(P53,Strategy!$B$36:$B$90,0)))</x:f>
        <x:v>60</x:v>
      </x:c>
      <x:c r="W53" s="359" t="str">
        <x:f>IF(OR(COUNTIFS(Strategy!$B$36:$B$90,P53)&lt;&gt;1,COUNTIFS(Strategy!$B$36:$B$90,P53,Strategy!$F$36:$F$90,"&lt;&gt;")&lt;&gt;1),"",INDEX(Strategy!$F$36:$F$90,MATCH(P53,Strategy!$B$36:$B$90,0)))</x:f>
        <x:v>seconds</x:v>
      </x:c>
      <x:c r="X53" s="369" t="n">
        <x:f>IF(OR(COUNT(R53:V53)&lt;&gt;5,Q53&lt;&gt;W53,T53&lt;0,T53&gt;10,U53&lt;=0,V53&lt;=0,R53&lt;0,R53&lt;&gt;INT(R53),S53&lt;=0),"",T53*R53*S53/(U53*V53))</x:f>
        <x:v>0.25</x:v>
      </x:c>
      <x:c r="Y53" s="373" t="str"/>
    </x:row>
    <x:row r="54" ht="15" hidden="0" customHeight="1">
      <x:c r="A54" s="327" t="n">
        <x:f>Daily!A17</x:f>
        <x:v>46345.5</x:v>
      </x:c>
      <x:c r="B54" s="322" t="str">
        <x:f>Daily!D17</x:f>
        <x:v>Skill B + interval circuit</x:v>
      </x:c>
      <x:c r="C54" s="322" t="str">
        <x:v>B · Gentle wrist/shoulder mobility</x:v>
      </x:c>
      <x:c r="D54" s="322" t="str">
        <x:v>seconds</x:v>
      </x:c>
      <x:c r="E54" s="324" t="b">
        <x:v>1</x:v>
      </x:c>
      <x:c r="F54" s="330" t="n">
        <x:v>120</x:v>
      </x:c>
      <x:c r="G54" s="331" t="str">
        <x:f>IF(AND(OR(Daily!N17=TRUE,Daily!AB17=TRUE),COUNT(Daily!O17)&gt;0),SUM(Daily!O17)*86400,"")</x:f>
      </x:c>
      <x:c r="H54" s="331" t="n">
        <x:f>IF(AND(E54=TRUE,ISNUMBER(F54),F54&gt;0),100,"")</x:f>
        <x:v>100</x:v>
      </x:c>
      <x:c r="I54" s="331" t="str">
        <x:f>IF(AND(ISNUMBER(H54),ISNUMBER(G54)),IF(J54="lower",IF(G54&gt;0,100*F54/G54,""),100*G54/F54),"")</x:f>
      </x:c>
      <x:c r="J54" s="325" t="str">
        <x:v>higher</x:v>
      </x:c>
      <x:c r="N54" s="364" t="n">
        <x:f>Daily!A12</x:f>
        <x:v>46336.5</x:v>
      </x:c>
      <x:c r="O54" s="361" t="str">
        <x:f>Daily!D12</x:f>
        <x:v>Handstand technique</x:v>
      </x:c>
      <x:c r="P54" s="372" t="str">
        <x:v>Wall handstand line drill</x:v>
      </x:c>
      <x:c r="Q54" s="362" t="str">
        <x:v>seconds</x:v>
      </x:c>
      <x:c r="R54" s="367" t="n">
        <x:v>2</x:v>
      </x:c>
      <x:c r="S54" s="367" t="n">
        <x:v>15</x:v>
      </x:c>
      <x:c r="T54" s="368" t="n">
        <x:f>IF(OR(COUNTIFS(Strategy!$B$36:$B$90,P54)&lt;&gt;1,COUNTIFS(Strategy!$B$36:$B$90,P54,Strategy!$C$36:$C$90,"&lt;&gt;")&lt;&gt;1),"",INDEX(Strategy!$C$36:$C$90,MATCH(P54,Strategy!$B$36:$B$90,0)))</x:f>
        <x:v>1</x:v>
      </x:c>
      <x:c r="U54" s="368" t="n">
        <x:f>IF(OR(COUNTIFS(Strategy!$B$36:$B$90,P54)&lt;&gt;1,COUNTIFS(Strategy!$B$36:$B$90,P54,Strategy!$D$36:$D$90,"&lt;&gt;")&lt;&gt;1),"",INDEX(Strategy!$D$36:$D$90,MATCH(P54,Strategy!$B$36:$B$90,0)))</x:f>
        <x:v>3</x:v>
      </x:c>
      <x:c r="V54" s="368" t="n">
        <x:f>IF(OR(COUNTIFS(Strategy!$B$36:$B$90,P54)&lt;&gt;1,COUNTIFS(Strategy!$B$36:$B$90,P54,Strategy!$E$36:$E$90,"&lt;&gt;")&lt;&gt;1),"",INDEX(Strategy!$E$36:$E$90,MATCH(P54,Strategy!$B$36:$B$90,0)))</x:f>
        <x:v>60</x:v>
      </x:c>
      <x:c r="W54" s="361" t="str">
        <x:f>IF(OR(COUNTIFS(Strategy!$B$36:$B$90,P54)&lt;&gt;1,COUNTIFS(Strategy!$B$36:$B$90,P54,Strategy!$F$36:$F$90,"&lt;&gt;")&lt;&gt;1),"",INDEX(Strategy!$F$36:$F$90,MATCH(P54,Strategy!$B$36:$B$90,0)))</x:f>
        <x:v>seconds</x:v>
      </x:c>
      <x:c r="X54" s="370" t="n">
        <x:f>IF(OR(COUNT(R54:V54)&lt;&gt;5,Q54&lt;&gt;W54,T54&lt;0,T54&gt;10,U54&lt;=0,V54&lt;=0,R54&lt;0,R54&lt;&gt;INT(R54),S54&lt;=0),"",T54*R54*S54/(U54*V54))</x:f>
        <x:v>0.16666666666666666</x:v>
      </x:c>
      <x:c r="Y54" s="374" t="str"/>
    </x:row>
    <x:row r="55" ht="15" hidden="0" customHeight="1">
      <x:c r="A55" s="326" t="n">
        <x:f>Daily!A17</x:f>
        <x:v>46345.5</x:v>
      </x:c>
      <x:c r="B55" s="318" t="str">
        <x:f>Daily!D17</x:f>
        <x:v>Skill B + interval circuit</x:v>
      </x:c>
      <x:c r="C55" s="318" t="str">
        <x:v>C · Assisted pistol</x:v>
      </x:c>
      <x:c r="D55" s="318" t="str">
        <x:v>reps/leg</x:v>
      </x:c>
      <x:c r="E55" s="320" t="b">
        <x:v>1</x:v>
      </x:c>
      <x:c r="F55" s="328" t="n">
        <x:v>3</x:v>
      </x:c>
      <x:c r="G55" s="329" t="str">
        <x:f>IF(AND(OR(Daily!T17=TRUE,Daily!AB17=TRUE),COUNT(Daily!U17)&gt;0),SUM(Daily!U17),"")</x:f>
      </x:c>
      <x:c r="H55" s="329" t="n">
        <x:f>IF(AND(E55=TRUE,ISNUMBER(F55),F55&gt;0),100,"")</x:f>
        <x:v>100</x:v>
      </x:c>
      <x:c r="I55" s="329" t="str">
        <x:f>IF(AND(ISNUMBER(H55),ISNUMBER(G55)),IF(J55="lower",IF(G55&gt;0,100*F55/G55,""),100*G55/F55),"")</x:f>
      </x:c>
      <x:c r="J55" s="321" t="str">
        <x:v>higher</x:v>
      </x:c>
      <x:c r="N55" s="363" t="n">
        <x:f>Daily!A13</x:f>
        <x:v>46338.5</x:v>
      </x:c>
      <x:c r="O55" s="359" t="str">
        <x:f>Daily!D13</x:f>
        <x:v>Skill B + circuit</x:v>
      </x:c>
      <x:c r="P55" s="371" t="str">
        <x:v>Wall HSPU negative</x:v>
      </x:c>
      <x:c r="Q55" s="360" t="str">
        <x:v>reps</x:v>
      </x:c>
      <x:c r="R55" s="365" t="n">
        <x:v>3</x:v>
      </x:c>
      <x:c r="S55" s="365" t="n">
        <x:v>2</x:v>
      </x:c>
      <x:c r="T55" s="366" t="n">
        <x:f>IF(OR(COUNTIFS(Strategy!$B$36:$B$90,P55)&lt;&gt;1,COUNTIFS(Strategy!$B$36:$B$90,P55,Strategy!$C$36:$C$90,"&lt;&gt;")&lt;&gt;1),"",INDEX(Strategy!$C$36:$C$90,MATCH(P55,Strategy!$B$36:$B$90,0)))</x:f>
        <x:v>7</x:v>
      </x:c>
      <x:c r="U55" s="366" t="n">
        <x:f>IF(OR(COUNTIFS(Strategy!$B$36:$B$90,P55)&lt;&gt;1,COUNTIFS(Strategy!$B$36:$B$90,P55,Strategy!$D$36:$D$90,"&lt;&gt;")&lt;&gt;1),"",INDEX(Strategy!$D$36:$D$90,MATCH(P55,Strategy!$B$36:$B$90,0)))</x:f>
        <x:v>3</x:v>
      </x:c>
      <x:c r="V55" s="366" t="n">
        <x:f>IF(OR(COUNTIFS(Strategy!$B$36:$B$90,P55)&lt;&gt;1,COUNTIFS(Strategy!$B$36:$B$90,P55,Strategy!$E$36:$E$90,"&lt;&gt;")&lt;&gt;1),"",INDEX(Strategy!$E$36:$E$90,MATCH(P55,Strategy!$B$36:$B$90,0)))</x:f>
        <x:v>10</x:v>
      </x:c>
      <x:c r="W55" s="359" t="str">
        <x:f>IF(OR(COUNTIFS(Strategy!$B$36:$B$90,P55)&lt;&gt;1,COUNTIFS(Strategy!$B$36:$B$90,P55,Strategy!$F$36:$F$90,"&lt;&gt;")&lt;&gt;1),"",INDEX(Strategy!$F$36:$F$90,MATCH(P55,Strategy!$B$36:$B$90,0)))</x:f>
        <x:v>reps</x:v>
      </x:c>
      <x:c r="X55" s="369" t="n">
        <x:f>IF(OR(COUNT(R55:V55)&lt;&gt;5,Q55&lt;&gt;W55,T55&lt;0,T55&gt;10,U55&lt;=0,V55&lt;=0,R55&lt;0,R55&lt;&gt;INT(R55),S55&lt;=0),"",T55*R55*S55/(U55*V55))</x:f>
        <x:v>1.4</x:v>
      </x:c>
      <x:c r="Y55" s="373" t="str">
        <x:v>Count reps; the 3-second lowering tempo is not added as hold time.</x:v>
      </x:c>
    </x:row>
    <x:row r="56" ht="15" hidden="0" customHeight="1">
      <x:c r="A56" s="327" t="n">
        <x:f>Daily!A17</x:f>
        <x:v>46345.5</x:v>
      </x:c>
      <x:c r="B56" s="322" t="str">
        <x:f>Daily!D17</x:f>
        <x:v>Skill B + interval circuit</x:v>
      </x:c>
      <x:c r="C56" s="322" t="str">
        <x:v>Core</x:v>
      </x:c>
      <x:c r="D56" s="322" t="str">
        <x:v>rounds</x:v>
      </x:c>
      <x:c r="E56" s="324" t="b">
        <x:v>1</x:v>
      </x:c>
      <x:c r="F56" s="330" t="n">
        <x:v>3</x:v>
      </x:c>
      <x:c r="G56" s="331" t="str">
        <x:f>IF(AND(OR(Daily!Z17=TRUE,Daily!AB17=TRUE),COUNT(Daily!AA17)&gt;0),SUM(Daily!AA17),"")</x:f>
      </x:c>
      <x:c r="H56" s="331" t="n">
        <x:f>IF(AND(E56=TRUE,ISNUMBER(F56),F56&gt;0),100,"")</x:f>
        <x:v>100</x:v>
      </x:c>
      <x:c r="I56" s="331" t="str">
        <x:f>IF(AND(ISNUMBER(H56),ISNUMBER(G56)),IF(J56="lower",IF(G56&gt;0,100*F56/G56,""),100*G56/F56),"")</x:f>
      </x:c>
      <x:c r="J56" s="325" t="str">
        <x:v>higher</x:v>
      </x:c>
      <x:c r="N56" s="364" t="n">
        <x:f>Daily!A13</x:f>
        <x:v>46338.5</x:v>
      </x:c>
      <x:c r="O56" s="361" t="str">
        <x:f>Daily!D13</x:f>
        <x:v>Skill B + circuit</x:v>
      </x:c>
      <x:c r="P56" s="372" t="str">
        <x:v>Pike push-up</x:v>
      </x:c>
      <x:c r="Q56" s="362" t="str">
        <x:v>reps</x:v>
      </x:c>
      <x:c r="R56" s="367" t="n">
        <x:v>3</x:v>
      </x:c>
      <x:c r="S56" s="367" t="n">
        <x:v>5</x:v>
      </x:c>
      <x:c r="T56" s="368" t="n">
        <x:f>IF(OR(COUNTIFS(Strategy!$B$36:$B$90,P56)&lt;&gt;1,COUNTIFS(Strategy!$B$36:$B$90,P56,Strategy!$C$36:$C$90,"&lt;&gt;")&lt;&gt;1),"",INDEX(Strategy!$C$36:$C$90,MATCH(P56,Strategy!$B$36:$B$90,0)))</x:f>
        <x:v>4</x:v>
      </x:c>
      <x:c r="U56" s="368" t="n">
        <x:f>IF(OR(COUNTIFS(Strategy!$B$36:$B$90,P56)&lt;&gt;1,COUNTIFS(Strategy!$B$36:$B$90,P56,Strategy!$D$36:$D$90,"&lt;&gt;")&lt;&gt;1),"",INDEX(Strategy!$D$36:$D$90,MATCH(P56,Strategy!$B$36:$B$90,0)))</x:f>
        <x:v>3</x:v>
      </x:c>
      <x:c r="V56" s="368" t="n">
        <x:f>IF(OR(COUNTIFS(Strategy!$B$36:$B$90,P56)&lt;&gt;1,COUNTIFS(Strategy!$B$36:$B$90,P56,Strategy!$E$36:$E$90,"&lt;&gt;")&lt;&gt;1),"",INDEX(Strategy!$E$36:$E$90,MATCH(P56,Strategy!$B$36:$B$90,0)))</x:f>
        <x:v>10</x:v>
      </x:c>
      <x:c r="W56" s="361" t="str">
        <x:f>IF(OR(COUNTIFS(Strategy!$B$36:$B$90,P56)&lt;&gt;1,COUNTIFS(Strategy!$B$36:$B$90,P56,Strategy!$F$36:$F$90,"&lt;&gt;")&lt;&gt;1),"",INDEX(Strategy!$F$36:$F$90,MATCH(P56,Strategy!$B$36:$B$90,0)))</x:f>
        <x:v>reps</x:v>
      </x:c>
      <x:c r="X56" s="370" t="n">
        <x:f>IF(OR(COUNT(R56:V56)&lt;&gt;5,Q56&lt;&gt;W56,T56&lt;0,T56&gt;10,U56&lt;=0,V56&lt;=0,R56&lt;0,R56&lt;&gt;INT(R56),S56&lt;=0),"",T56*R56*S56/(U56*V56))</x:f>
        <x:v>2</x:v>
      </x:c>
      <x:c r="Y56" s="374" t="str"/>
    </x:row>
    <x:row r="57" ht="15" hidden="0" customHeight="1">
      <x:c r="A57" s="326" t="n">
        <x:f>Daily!A18</x:f>
        <x:v>46347.5</x:v>
      </x:c>
      <x:c r="B57" s="318" t="str">
        <x:f>Daily!D18</x:f>
        <x:v>Skill micro-session</x:v>
      </x:c>
      <x:c r="C57" s="318" t="str">
        <x:v>A · Wrist/shoulder mobility</x:v>
      </x:c>
      <x:c r="D57" s="318" t="str">
        <x:v>seconds</x:v>
      </x:c>
      <x:c r="E57" s="320" t="b">
        <x:v>1</x:v>
      </x:c>
      <x:c r="F57" s="328" t="n">
        <x:v>60</x:v>
      </x:c>
      <x:c r="G57" s="329" t="str">
        <x:f>IF(AND(OR(Daily!H18=TRUE,Daily!AB18=TRUE),COUNT(Daily!I18)&gt;0),SUM(Daily!I18)*86400,"")</x:f>
      </x:c>
      <x:c r="H57" s="329" t="n">
        <x:f>IF(AND(E57=TRUE,ISNUMBER(F57),F57&gt;0),100,"")</x:f>
        <x:v>100</x:v>
      </x:c>
      <x:c r="I57" s="329" t="str">
        <x:f>IF(AND(ISNUMBER(H57),ISNUMBER(G57)),IF(J57="lower",IF(G57&gt;0,100*F57/G57,""),100*G57/F57),"")</x:f>
      </x:c>
      <x:c r="J57" s="321" t="str">
        <x:v>higher</x:v>
      </x:c>
      <x:c r="N57" s="363" t="n">
        <x:f>Daily!A13</x:f>
        <x:v>46338.5</x:v>
      </x:c>
      <x:c r="O57" s="359" t="str">
        <x:f>Daily!D13</x:f>
        <x:v>Skill B + circuit</x:v>
      </x:c>
      <x:c r="P57" s="371" t="str">
        <x:v>Assisted full-depth pistol</x:v>
      </x:c>
      <x:c r="Q57" s="360" t="str">
        <x:v>reps/leg</x:v>
      </x:c>
      <x:c r="R57" s="365" t="n">
        <x:v>3</x:v>
      </x:c>
      <x:c r="S57" s="365" t="n">
        <x:v>4</x:v>
      </x:c>
      <x:c r="T57" s="366" t="n">
        <x:f>IF(OR(COUNTIFS(Strategy!$B$36:$B$90,P57)&lt;&gt;1,COUNTIFS(Strategy!$B$36:$B$90,P57,Strategy!$C$36:$C$90,"&lt;&gt;")&lt;&gt;1),"",INDEX(Strategy!$C$36:$C$90,MATCH(P57,Strategy!$B$36:$B$90,0)))</x:f>
        <x:v>4</x:v>
      </x:c>
      <x:c r="U57" s="366" t="n">
        <x:f>IF(OR(COUNTIFS(Strategy!$B$36:$B$90,P57)&lt;&gt;1,COUNTIFS(Strategy!$B$36:$B$90,P57,Strategy!$D$36:$D$90,"&lt;&gt;")&lt;&gt;1),"",INDEX(Strategy!$D$36:$D$90,MATCH(P57,Strategy!$B$36:$B$90,0)))</x:f>
        <x:v>3</x:v>
      </x:c>
      <x:c r="V57" s="366" t="n">
        <x:f>IF(OR(COUNTIFS(Strategy!$B$36:$B$90,P57)&lt;&gt;1,COUNTIFS(Strategy!$B$36:$B$90,P57,Strategy!$E$36:$E$90,"&lt;&gt;")&lt;&gt;1),"",INDEX(Strategy!$E$36:$E$90,MATCH(P57,Strategy!$B$36:$B$90,0)))</x:f>
        <x:v>10</x:v>
      </x:c>
      <x:c r="W57" s="359" t="str">
        <x:f>IF(OR(COUNTIFS(Strategy!$B$36:$B$90,P57)&lt;&gt;1,COUNTIFS(Strategy!$B$36:$B$90,P57,Strategy!$F$36:$F$90,"&lt;&gt;")&lt;&gt;1),"",INDEX(Strategy!$F$36:$F$90,MATCH(P57,Strategy!$B$36:$B$90,0)))</x:f>
        <x:v>reps/leg</x:v>
      </x:c>
      <x:c r="X57" s="369" t="n">
        <x:f>IF(OR(COUNT(R57:V57)&lt;&gt;5,Q57&lt;&gt;W57,T57&lt;0,T57&gt;10,U57&lt;=0,V57&lt;=0,R57&lt;0,R57&lt;&gt;INT(R57),S57&lt;=0),"",T57*R57*S57/(U57*V57))</x:f>
        <x:v>1.6</x:v>
      </x:c>
      <x:c r="Y57" s="373" t="str"/>
    </x:row>
    <x:row r="58" ht="15" hidden="0" customHeight="1">
      <x:c r="A58" s="327" t="n">
        <x:f>Daily!A18</x:f>
        <x:v>46347.5</x:v>
      </x:c>
      <x:c r="B58" s="322" t="str">
        <x:f>Daily!D18</x:f>
        <x:v>Skill micro-session</x:v>
      </x:c>
      <x:c r="C58" s="322" t="str">
        <x:v>B · Easy chest-to-wall hold</x:v>
      </x:c>
      <x:c r="D58" s="322" t="str">
        <x:v>seconds</x:v>
      </x:c>
      <x:c r="E58" s="324" t="b">
        <x:v>1</x:v>
      </x:c>
      <x:c r="F58" s="330" t="n">
        <x:v>20</x:v>
      </x:c>
      <x:c r="G58" s="331" t="str">
        <x:f>IF(AND(OR(Daily!N18=TRUE,Daily!AB18=TRUE),COUNT(Daily!O18,Daily!P18)&gt;0),SUM(Daily!O18,Daily!P18)*86400,"")</x:f>
      </x:c>
      <x:c r="H58" s="331" t="n">
        <x:f>IF(AND(E58=TRUE,ISNUMBER(F58),F58&gt;0),100,"")</x:f>
        <x:v>100</x:v>
      </x:c>
      <x:c r="I58" s="331" t="str">
        <x:f>IF(AND(ISNUMBER(H58),ISNUMBER(G58)),IF(J58="lower",IF(G58&gt;0,100*F58/G58,""),100*G58/F58),"")</x:f>
      </x:c>
      <x:c r="J58" s="325" t="str">
        <x:v>higher</x:v>
      </x:c>
      <x:c r="N58" s="364" t="n">
        <x:f>Daily!A13</x:f>
        <x:v>46338.5</x:v>
      </x:c>
      <x:c r="O58" s="361" t="str">
        <x:f>Daily!D13</x:f>
        <x:v>Skill B + circuit</x:v>
      </x:c>
      <x:c r="P58" s="372" t="str">
        <x:v>Pull-up</x:v>
      </x:c>
      <x:c r="Q58" s="362" t="str">
        <x:v>seconds</x:v>
      </x:c>
      <x:c r="R58" s="367" t="n">
        <x:v>5</x:v>
      </x:c>
      <x:c r="S58" s="367" t="n">
        <x:v>30</x:v>
      </x:c>
      <x:c r="T58" s="368" t="n">
        <x:f>IF(OR(COUNTIFS(Strategy!$B$36:$B$90,P58)&lt;&gt;1,COUNTIFS(Strategy!$B$36:$B$90,P58,Strategy!$C$36:$C$90,"&lt;&gt;")&lt;&gt;1),"",INDEX(Strategy!$C$36:$C$90,MATCH(P58,Strategy!$B$36:$B$90,0)))</x:f>
        <x:v>1</x:v>
      </x:c>
      <x:c r="U58" s="368" t="n">
        <x:f>IF(OR(COUNTIFS(Strategy!$B$36:$B$90,P58)&lt;&gt;1,COUNTIFS(Strategy!$B$36:$B$90,P58,Strategy!$D$36:$D$90,"&lt;&gt;")&lt;&gt;1),"",INDEX(Strategy!$D$36:$D$90,MATCH(P58,Strategy!$B$36:$B$90,0)))</x:f>
        <x:v>5</x:v>
      </x:c>
      <x:c r="V58" s="368" t="n">
        <x:f>IF(OR(COUNTIFS(Strategy!$B$36:$B$90,P58)&lt;&gt;1,COUNTIFS(Strategy!$B$36:$B$90,P58,Strategy!$E$36:$E$90,"&lt;&gt;")&lt;&gt;1),"",INDEX(Strategy!$E$36:$E$90,MATCH(P58,Strategy!$B$36:$B$90,0)))</x:f>
        <x:v>120</x:v>
      </x:c>
      <x:c r="W58" s="361" t="str">
        <x:f>IF(OR(COUNTIFS(Strategy!$B$36:$B$90,P58)&lt;&gt;1,COUNTIFS(Strategy!$B$36:$B$90,P58,Strategy!$F$36:$F$90,"&lt;&gt;")&lt;&gt;1),"",INDEX(Strategy!$F$36:$F$90,MATCH(P58,Strategy!$B$36:$B$90,0)))</x:f>
        <x:v>seconds</x:v>
      </x:c>
      <x:c r="X58" s="370" t="n">
        <x:f>IF(OR(COUNT(R58:V58)&lt;&gt;5,Q58&lt;&gt;W58,T58&lt;0,T58&gt;10,U58&lt;=0,V58&lt;=0,R58&lt;0,R58&lt;&gt;INT(R58),S58&lt;=0),"",T58*R58*S58/(U58*V58))</x:f>
        <x:v>0.25</x:v>
      </x:c>
      <x:c r="Y58" s="374" t="str">
        <x:v>Core: one 30-second work interval per round; rest excluded.</x:v>
      </x:c>
    </x:row>
    <x:row r="59" ht="15" hidden="0" customHeight="1">
      <x:c r="A59" s="326" t="n">
        <x:f>Daily!A18</x:f>
        <x:v>46347.5</x:v>
      </x:c>
      <x:c r="B59" s="318" t="str">
        <x:f>Daily!D18</x:f>
        <x:v>Skill micro-session</x:v>
      </x:c>
      <x:c r="C59" s="318" t="str">
        <x:v>C · Wall handstand line drill</x:v>
      </x:c>
      <x:c r="D59" s="318" t="str">
        <x:v>seconds</x:v>
      </x:c>
      <x:c r="E59" s="320" t="b">
        <x:v>1</x:v>
      </x:c>
      <x:c r="F59" s="328" t="n">
        <x:v>10</x:v>
      </x:c>
      <x:c r="G59" s="329" t="str">
        <x:f>IF(AND(OR(Daily!T18=TRUE,Daily!AB18=TRUE),COUNT(Daily!U18)&gt;0),SUM(Daily!U18)*86400,"")</x:f>
      </x:c>
      <x:c r="H59" s="329" t="n">
        <x:f>IF(AND(E59=TRUE,ISNUMBER(F59),F59&gt;0),100,"")</x:f>
        <x:v>100</x:v>
      </x:c>
      <x:c r="I59" s="329" t="str">
        <x:f>IF(AND(ISNUMBER(H59),ISNUMBER(G59)),IF(J59="lower",IF(G59&gt;0,100*F59/G59,""),100*G59/F59),"")</x:f>
      </x:c>
      <x:c r="J59" s="321" t="str">
        <x:v>higher</x:v>
      </x:c>
      <x:c r="N59" s="363" t="n">
        <x:f>Daily!A13</x:f>
        <x:v>46338.5</x:v>
      </x:c>
      <x:c r="O59" s="359" t="str">
        <x:f>Daily!D13</x:f>
        <x:v>Skill B + circuit</x:v>
      </x:c>
      <x:c r="P59" s="371" t="str">
        <x:v>Push-up</x:v>
      </x:c>
      <x:c r="Q59" s="360" t="str">
        <x:v>seconds</x:v>
      </x:c>
      <x:c r="R59" s="365" t="n">
        <x:v>5</x:v>
      </x:c>
      <x:c r="S59" s="365" t="n">
        <x:v>30</x:v>
      </x:c>
      <x:c r="T59" s="366" t="n">
        <x:f>IF(OR(COUNTIFS(Strategy!$B$36:$B$90,P59)&lt;&gt;1,COUNTIFS(Strategy!$B$36:$B$90,P59,Strategy!$C$36:$C$90,"&lt;&gt;")&lt;&gt;1),"",INDEX(Strategy!$C$36:$C$90,MATCH(P59,Strategy!$B$36:$B$90,0)))</x:f>
        <x:v>1</x:v>
      </x:c>
      <x:c r="U59" s="366" t="n">
        <x:f>IF(OR(COUNTIFS(Strategy!$B$36:$B$90,P59)&lt;&gt;1,COUNTIFS(Strategy!$B$36:$B$90,P59,Strategy!$D$36:$D$90,"&lt;&gt;")&lt;&gt;1),"",INDEX(Strategy!$D$36:$D$90,MATCH(P59,Strategy!$B$36:$B$90,0)))</x:f>
        <x:v>5</x:v>
      </x:c>
      <x:c r="V59" s="366" t="n">
        <x:f>IF(OR(COUNTIFS(Strategy!$B$36:$B$90,P59)&lt;&gt;1,COUNTIFS(Strategy!$B$36:$B$90,P59,Strategy!$E$36:$E$90,"&lt;&gt;")&lt;&gt;1),"",INDEX(Strategy!$E$36:$E$90,MATCH(P59,Strategy!$B$36:$B$90,0)))</x:f>
        <x:v>120</x:v>
      </x:c>
      <x:c r="W59" s="359" t="str">
        <x:f>IF(OR(COUNTIFS(Strategy!$B$36:$B$90,P59)&lt;&gt;1,COUNTIFS(Strategy!$B$36:$B$90,P59,Strategy!$F$36:$F$90,"&lt;&gt;")&lt;&gt;1),"",INDEX(Strategy!$F$36:$F$90,MATCH(P59,Strategy!$B$36:$B$90,0)))</x:f>
        <x:v>seconds</x:v>
      </x:c>
      <x:c r="X59" s="369" t="n">
        <x:f>IF(OR(COUNT(R59:V59)&lt;&gt;5,Q59&lt;&gt;W59,T59&lt;0,T59&gt;10,U59&lt;=0,V59&lt;=0,R59&lt;0,R59&lt;&gt;INT(R59),S59&lt;=0),"",T59*R59*S59/(U59*V59))</x:f>
        <x:v>0.25</x:v>
      </x:c>
      <x:c r="Y59" s="373" t="str">
        <x:v>Core: one 30-second work interval per round; rest excluded.</x:v>
      </x:c>
    </x:row>
    <x:row r="60" ht="15" hidden="0" customHeight="1">
      <x:c r="A60" s="327" t="n">
        <x:f>Daily!A19</x:f>
        <x:v>46349.5</x:v>
      </x:c>
      <x:c r="B60" s="322" t="str">
        <x:f>Daily!D19</x:f>
        <x:v>Skill A + interval circuit</x:v>
      </x:c>
      <x:c r="C60" s="322" t="str">
        <x:v>A · Chest-to-bar pull-up</x:v>
      </x:c>
      <x:c r="D60" s="322" t="str">
        <x:v>reps</x:v>
      </x:c>
      <x:c r="E60" s="324" t="b">
        <x:v>1</x:v>
      </x:c>
      <x:c r="F60" s="330" t="n">
        <x:v>9</x:v>
      </x:c>
      <x:c r="G60" s="331" t="str">
        <x:f>IF(AND(OR(Daily!H19=TRUE,Daily!AB19=TRUE),COUNT(Daily!I19,Daily!J19,Daily!K19)&gt;0),SUM(Daily!I19,Daily!J19,Daily!K19),"")</x:f>
      </x:c>
      <x:c r="H60" s="331" t="n">
        <x:f>IF(AND(E60=TRUE,ISNUMBER(F60),F60&gt;0),100,"")</x:f>
        <x:v>100</x:v>
      </x:c>
      <x:c r="I60" s="331" t="str">
        <x:f>IF(AND(ISNUMBER(H60),ISNUMBER(G60)),IF(J60="lower",IF(G60&gt;0,100*F60/G60,""),100*G60/F60),"")</x:f>
      </x:c>
      <x:c r="J60" s="325" t="str">
        <x:v>higher</x:v>
      </x:c>
      <x:c r="N60" s="364" t="n">
        <x:f>Daily!A13</x:f>
        <x:v>46338.5</x:v>
      </x:c>
      <x:c r="O60" s="361" t="str">
        <x:f>Daily!D13</x:f>
        <x:v>Skill B + circuit</x:v>
      </x:c>
      <x:c r="P60" s="372" t="str">
        <x:v>Weighted squat</x:v>
      </x:c>
      <x:c r="Q60" s="362" t="str">
        <x:v>seconds</x:v>
      </x:c>
      <x:c r="R60" s="367" t="n">
        <x:v>5</x:v>
      </x:c>
      <x:c r="S60" s="367" t="n">
        <x:v>30</x:v>
      </x:c>
      <x:c r="T60" s="368" t="n">
        <x:f>IF(OR(COUNTIFS(Strategy!$B$36:$B$90,P60)&lt;&gt;1,COUNTIFS(Strategy!$B$36:$B$90,P60,Strategy!$C$36:$C$90,"&lt;&gt;")&lt;&gt;1),"",INDEX(Strategy!$C$36:$C$90,MATCH(P60,Strategy!$B$36:$B$90,0)))</x:f>
        <x:v>1</x:v>
      </x:c>
      <x:c r="U60" s="368" t="n">
        <x:f>IF(OR(COUNTIFS(Strategy!$B$36:$B$90,P60)&lt;&gt;1,COUNTIFS(Strategy!$B$36:$B$90,P60,Strategy!$D$36:$D$90,"&lt;&gt;")&lt;&gt;1),"",INDEX(Strategy!$D$36:$D$90,MATCH(P60,Strategy!$B$36:$B$90,0)))</x:f>
        <x:v>5</x:v>
      </x:c>
      <x:c r="V60" s="368" t="n">
        <x:f>IF(OR(COUNTIFS(Strategy!$B$36:$B$90,P60)&lt;&gt;1,COUNTIFS(Strategy!$B$36:$B$90,P60,Strategy!$E$36:$E$90,"&lt;&gt;")&lt;&gt;1),"",INDEX(Strategy!$E$36:$E$90,MATCH(P60,Strategy!$B$36:$B$90,0)))</x:f>
        <x:v>120</x:v>
      </x:c>
      <x:c r="W60" s="361" t="str">
        <x:f>IF(OR(COUNTIFS(Strategy!$B$36:$B$90,P60)&lt;&gt;1,COUNTIFS(Strategy!$B$36:$B$90,P60,Strategy!$F$36:$F$90,"&lt;&gt;")&lt;&gt;1),"",INDEX(Strategy!$F$36:$F$90,MATCH(P60,Strategy!$B$36:$B$90,0)))</x:f>
        <x:v>seconds</x:v>
      </x:c>
      <x:c r="X60" s="370" t="n">
        <x:f>IF(OR(COUNT(R60:V60)&lt;&gt;5,Q60&lt;&gt;W60,T60&lt;0,T60&gt;10,U60&lt;=0,V60&lt;=0,R60&lt;0,R60&lt;&gt;INT(R60),S60&lt;=0),"",T60*R60*S60/(U60*V60))</x:f>
        <x:v>0.25</x:v>
      </x:c>
      <x:c r="Y60" s="374" t="str">
        <x:v>Core: one 30-second work interval per round; rest excluded.</x:v>
      </x:c>
    </x:row>
    <x:row r="61" ht="15" hidden="0" customHeight="1">
      <x:c r="A61" s="326" t="n">
        <x:f>Daily!A19</x:f>
        <x:v>46349.5</x:v>
      </x:c>
      <x:c r="B61" s="318" t="str">
        <x:f>Daily!D19</x:f>
        <x:v>Skill A + interval circuit</x:v>
      </x:c>
      <x:c r="C61" s="318" t="str">
        <x:v>B · Band-assisted muscle-up</x:v>
      </x:c>
      <x:c r="D61" s="318" t="str">
        <x:v>reps</x:v>
      </x:c>
      <x:c r="E61" s="320" t="b">
        <x:v>1</x:v>
      </x:c>
      <x:c r="F61" s="328" t="n">
        <x:v>4</x:v>
      </x:c>
      <x:c r="G61" s="329" t="str">
        <x:f>IF(AND(OR(Daily!N19=TRUE,Daily!AB19=TRUE),COUNT(Daily!O19,Daily!P19,Daily!Q19,Daily!R19)&gt;0),SUM(Daily!O19,Daily!P19,Daily!Q19,Daily!R19),"")</x:f>
      </x:c>
      <x:c r="H61" s="329" t="n">
        <x:f>IF(AND(E61=TRUE,ISNUMBER(F61),F61&gt;0),100,"")</x:f>
        <x:v>100</x:v>
      </x:c>
      <x:c r="I61" s="329" t="str">
        <x:f>IF(AND(ISNUMBER(H61),ISNUMBER(G61)),IF(J61="lower",IF(G61&gt;0,100*F61/G61,""),100*G61/F61),"")</x:f>
      </x:c>
      <x:c r="J61" s="321" t="str">
        <x:v>higher</x:v>
      </x:c>
      <x:c r="N61" s="363" t="n">
        <x:f>Daily!A13</x:f>
        <x:v>46338.5</x:v>
      </x:c>
      <x:c r="O61" s="359" t="str">
        <x:f>Daily!D13</x:f>
        <x:v>Skill B + circuit</x:v>
      </x:c>
      <x:c r="P61" s="371" t="str">
        <x:v>Upside-down hanging shoulder/ab work</x:v>
      </x:c>
      <x:c r="Q61" s="360" t="str">
        <x:v>seconds</x:v>
      </x:c>
      <x:c r="R61" s="365" t="n">
        <x:v>5</x:v>
      </x:c>
      <x:c r="S61" s="365" t="n">
        <x:v>30</x:v>
      </x:c>
      <x:c r="T61" s="366" t="n">
        <x:f>IF(OR(COUNTIFS(Strategy!$B$36:$B$90,P61)&lt;&gt;1,COUNTIFS(Strategy!$B$36:$B$90,P61,Strategy!$C$36:$C$90,"&lt;&gt;")&lt;&gt;1),"",INDEX(Strategy!$C$36:$C$90,MATCH(P61,Strategy!$B$36:$B$90,0)))</x:f>
        <x:v>1</x:v>
      </x:c>
      <x:c r="U61" s="366" t="n">
        <x:f>IF(OR(COUNTIFS(Strategy!$B$36:$B$90,P61)&lt;&gt;1,COUNTIFS(Strategy!$B$36:$B$90,P61,Strategy!$D$36:$D$90,"&lt;&gt;")&lt;&gt;1),"",INDEX(Strategy!$D$36:$D$90,MATCH(P61,Strategy!$B$36:$B$90,0)))</x:f>
        <x:v>5</x:v>
      </x:c>
      <x:c r="V61" s="366" t="n">
        <x:f>IF(OR(COUNTIFS(Strategy!$B$36:$B$90,P61)&lt;&gt;1,COUNTIFS(Strategy!$B$36:$B$90,P61,Strategy!$E$36:$E$90,"&lt;&gt;")&lt;&gt;1),"",INDEX(Strategy!$E$36:$E$90,MATCH(P61,Strategy!$B$36:$B$90,0)))</x:f>
        <x:v>120</x:v>
      </x:c>
      <x:c r="W61" s="359" t="str">
        <x:f>IF(OR(COUNTIFS(Strategy!$B$36:$B$90,P61)&lt;&gt;1,COUNTIFS(Strategy!$B$36:$B$90,P61,Strategy!$F$36:$F$90,"&lt;&gt;")&lt;&gt;1),"",INDEX(Strategy!$F$36:$F$90,MATCH(P61,Strategy!$B$36:$B$90,0)))</x:f>
        <x:v>seconds</x:v>
      </x:c>
      <x:c r="X61" s="369" t="n">
        <x:f>IF(OR(COUNT(R61:V61)&lt;&gt;5,Q61&lt;&gt;W61,T61&lt;0,T61&gt;10,U61&lt;=0,V61&lt;=0,R61&lt;0,R61&lt;&gt;INT(R61),S61&lt;=0),"",T61*R61*S61/(U61*V61))</x:f>
        <x:v>0.25</x:v>
      </x:c>
      <x:c r="Y61" s="373" t="str">
        <x:v>Core: one 30-second work interval per round; rest excluded.</x:v>
      </x:c>
    </x:row>
    <x:row r="62" ht="15" hidden="0" customHeight="1">
      <x:c r="A62" s="327" t="n">
        <x:f>Daily!A19</x:f>
        <x:v>46349.5</x:v>
      </x:c>
      <x:c r="B62" s="322" t="str">
        <x:f>Daily!D19</x:f>
        <x:v>Skill A + interval circuit</x:v>
      </x:c>
      <x:c r="C62" s="322" t="str">
        <x:v>C · Counterweight pistol</x:v>
      </x:c>
      <x:c r="D62" s="322" t="str">
        <x:v>reps/leg</x:v>
      </x:c>
      <x:c r="E62" s="324" t="b">
        <x:v>1</x:v>
      </x:c>
      <x:c r="F62" s="330" t="n">
        <x:v>12</x:v>
      </x:c>
      <x:c r="G62" s="331" t="str">
        <x:f>IF(AND(OR(Daily!T19=TRUE,Daily!AB19=TRUE),COUNT(Daily!U19,Daily!V19,Daily!W19)&gt;0),SUM(Daily!U19,Daily!V19,Daily!W19),"")</x:f>
      </x:c>
      <x:c r="H62" s="331" t="n">
        <x:f>IF(AND(E62=TRUE,ISNUMBER(F62),F62&gt;0),100,"")</x:f>
        <x:v>100</x:v>
      </x:c>
      <x:c r="I62" s="331" t="str">
        <x:f>IF(AND(ISNUMBER(H62),ISNUMBER(G62)),IF(J62="lower",IF(G62&gt;0,100*F62/G62,""),100*G62/F62),"")</x:f>
      </x:c>
      <x:c r="J62" s="325" t="str">
        <x:v>higher</x:v>
      </x:c>
      <x:c r="N62" s="364" t="n">
        <x:f>Daily!A14</x:f>
        <x:v>46340.5</x:v>
      </x:c>
      <x:c r="O62" s="361" t="str">
        <x:f>Daily!D14</x:f>
        <x:v>Skill micro-session</x:v>
      </x:c>
      <x:c r="P62" s="372" t="str">
        <x:v>Wrist/shoulder mobility</x:v>
      </x:c>
      <x:c r="Q62" s="362" t="str">
        <x:v>seconds</x:v>
      </x:c>
      <x:c r="R62" s="367" t="n">
        <x:v>1</x:v>
      </x:c>
      <x:c r="S62" s="367" t="n">
        <x:v>120</x:v>
      </x:c>
      <x:c r="T62" s="368" t="n">
        <x:f>IF(OR(COUNTIFS(Strategy!$B$36:$B$90,P62)&lt;&gt;1,COUNTIFS(Strategy!$B$36:$B$90,P62,Strategy!$C$36:$C$90,"&lt;&gt;")&lt;&gt;1),"",INDEX(Strategy!$C$36:$C$90,MATCH(P62,Strategy!$B$36:$B$90,0)))</x:f>
        <x:v>1</x:v>
      </x:c>
      <x:c r="U62" s="368" t="n">
        <x:f>IF(OR(COUNTIFS(Strategy!$B$36:$B$90,P62)&lt;&gt;1,COUNTIFS(Strategy!$B$36:$B$90,P62,Strategy!$D$36:$D$90,"&lt;&gt;")&lt;&gt;1),"",INDEX(Strategy!$D$36:$D$90,MATCH(P62,Strategy!$B$36:$B$90,0)))</x:f>
        <x:v>3</x:v>
      </x:c>
      <x:c r="V62" s="368" t="n">
        <x:f>IF(OR(COUNTIFS(Strategy!$B$36:$B$90,P62)&lt;&gt;1,COUNTIFS(Strategy!$B$36:$B$90,P62,Strategy!$E$36:$E$90,"&lt;&gt;")&lt;&gt;1),"",INDEX(Strategy!$E$36:$E$90,MATCH(P62,Strategy!$B$36:$B$90,0)))</x:f>
        <x:v>60</x:v>
      </x:c>
      <x:c r="W62" s="361" t="str">
        <x:f>IF(OR(COUNTIFS(Strategy!$B$36:$B$90,P62)&lt;&gt;1,COUNTIFS(Strategy!$B$36:$B$90,P62,Strategy!$F$36:$F$90,"&lt;&gt;")&lt;&gt;1),"",INDEX(Strategy!$F$36:$F$90,MATCH(P62,Strategy!$B$36:$B$90,0)))</x:f>
        <x:v>seconds</x:v>
      </x:c>
      <x:c r="X62" s="370" t="n">
        <x:f>IF(OR(COUNT(R62:V62)&lt;&gt;5,Q62&lt;&gt;W62,T62&lt;0,T62&gt;10,U62&lt;=0,V62&lt;=0,R62&lt;0,R62&lt;&gt;INT(R62),S62&lt;=0),"",T62*R62*S62/(U62*V62))</x:f>
        <x:v>0.6666666666666666</x:v>
      </x:c>
      <x:c r="Y62" s="374" t="str"/>
    </x:row>
    <x:row r="63" ht="15" hidden="0" customHeight="1">
      <x:c r="A63" s="326" t="n">
        <x:f>Daily!A19</x:f>
        <x:v>46349.5</x:v>
      </x:c>
      <x:c r="B63" s="318" t="str">
        <x:f>Daily!D19</x:f>
        <x:v>Skill A + interval circuit</x:v>
      </x:c>
      <x:c r="C63" s="318" t="str">
        <x:v>Core</x:v>
      </x:c>
      <x:c r="D63" s="318" t="str">
        <x:v>rounds</x:v>
      </x:c>
      <x:c r="E63" s="320" t="b">
        <x:v>1</x:v>
      </x:c>
      <x:c r="F63" s="328" t="n">
        <x:v>5</x:v>
      </x:c>
      <x:c r="G63" s="329" t="str">
        <x:f>IF(AND(OR(Daily!Z19=TRUE,Daily!AB19=TRUE),COUNT(Daily!AA19)&gt;0),SUM(Daily!AA19),"")</x:f>
      </x:c>
      <x:c r="H63" s="329" t="n">
        <x:f>IF(AND(E63=TRUE,ISNUMBER(F63),F63&gt;0),100,"")</x:f>
        <x:v>100</x:v>
      </x:c>
      <x:c r="I63" s="329" t="str">
        <x:f>IF(AND(ISNUMBER(H63),ISNUMBER(G63)),IF(J63="lower",IF(G63&gt;0,100*F63/G63,""),100*G63/F63),"")</x:f>
      </x:c>
      <x:c r="J63" s="321" t="str">
        <x:v>higher</x:v>
      </x:c>
      <x:c r="N63" s="363" t="n">
        <x:f>Daily!A14</x:f>
        <x:v>46340.5</x:v>
      </x:c>
      <x:c r="O63" s="359" t="str">
        <x:f>Daily!D14</x:f>
        <x:v>Skill micro-session</x:v>
      </x:c>
      <x:c r="P63" s="371" t="str">
        <x:v>Easy chest-to-wall hold</x:v>
      </x:c>
      <x:c r="Q63" s="360" t="str">
        <x:v>seconds</x:v>
      </x:c>
      <x:c r="R63" s="365" t="n">
        <x:v>3</x:v>
      </x:c>
      <x:c r="S63" s="365" t="n">
        <x:v>15</x:v>
      </x:c>
      <x:c r="T63" s="366" t="n">
        <x:f>IF(OR(COUNTIFS(Strategy!$B$36:$B$90,P63)&lt;&gt;1,COUNTIFS(Strategy!$B$36:$B$90,P63,Strategy!$C$36:$C$90,"&lt;&gt;")&lt;&gt;1),"",INDEX(Strategy!$C$36:$C$90,MATCH(P63,Strategy!$B$36:$B$90,0)))</x:f>
        <x:v>1</x:v>
      </x:c>
      <x:c r="U63" s="366" t="n">
        <x:f>IF(OR(COUNTIFS(Strategy!$B$36:$B$90,P63)&lt;&gt;1,COUNTIFS(Strategy!$B$36:$B$90,P63,Strategy!$D$36:$D$90,"&lt;&gt;")&lt;&gt;1),"",INDEX(Strategy!$D$36:$D$90,MATCH(P63,Strategy!$B$36:$B$90,0)))</x:f>
        <x:v>3</x:v>
      </x:c>
      <x:c r="V63" s="366" t="n">
        <x:f>IF(OR(COUNTIFS(Strategy!$B$36:$B$90,P63)&lt;&gt;1,COUNTIFS(Strategy!$B$36:$B$90,P63,Strategy!$E$36:$E$90,"&lt;&gt;")&lt;&gt;1),"",INDEX(Strategy!$E$36:$E$90,MATCH(P63,Strategy!$B$36:$B$90,0)))</x:f>
        <x:v>60</x:v>
      </x:c>
      <x:c r="W63" s="359" t="str">
        <x:f>IF(OR(COUNTIFS(Strategy!$B$36:$B$90,P63)&lt;&gt;1,COUNTIFS(Strategy!$B$36:$B$90,P63,Strategy!$F$36:$F$90,"&lt;&gt;")&lt;&gt;1),"",INDEX(Strategy!$F$36:$F$90,MATCH(P63,Strategy!$B$36:$B$90,0)))</x:f>
        <x:v>seconds</x:v>
      </x:c>
      <x:c r="X63" s="369" t="n">
        <x:f>IF(OR(COUNT(R63:V63)&lt;&gt;5,Q63&lt;&gt;W63,T63&lt;0,T63&gt;10,U63&lt;=0,V63&lt;=0,R63&lt;0,R63&lt;&gt;INT(R63),S63&lt;=0),"",T63*R63*S63/(U63*V63))</x:f>
        <x:v>0.25</x:v>
      </x:c>
      <x:c r="Y63" s="373" t="str"/>
    </x:row>
    <x:row r="64" ht="15" hidden="0" customHeight="1">
      <x:c r="A64" s="327" t="n">
        <x:f>Daily!A20</x:f>
        <x:v>46350.5</x:v>
      </x:c>
      <x:c r="B64" s="322" t="str">
        <x:f>Daily!D20</x:f>
        <x:v>Handstand technique</x:v>
      </x:c>
      <x:c r="C64" s="322" t="str">
        <x:v>A · Wrist/shoulder mobility</x:v>
      </x:c>
      <x:c r="D64" s="322" t="str">
        <x:v>seconds</x:v>
      </x:c>
      <x:c r="E64" s="324" t="b">
        <x:v>1</x:v>
      </x:c>
      <x:c r="F64" s="330" t="n">
        <x:v>120</x:v>
      </x:c>
      <x:c r="G64" s="331" t="str">
        <x:f>IF(AND(OR(Daily!H20=TRUE,Daily!AB20=TRUE),COUNT(Daily!I20)&gt;0),SUM(Daily!I20)*86400,"")</x:f>
      </x:c>
      <x:c r="H64" s="331" t="n">
        <x:f>IF(AND(E64=TRUE,ISNUMBER(F64),F64&gt;0),100,"")</x:f>
        <x:v>100</x:v>
      </x:c>
      <x:c r="I64" s="331" t="str">
        <x:f>IF(AND(ISNUMBER(H64),ISNUMBER(G64)),IF(J64="lower",IF(G64&gt;0,100*F64/G64,""),100*G64/F64),"")</x:f>
      </x:c>
      <x:c r="J64" s="325" t="str">
        <x:v>higher</x:v>
      </x:c>
      <x:c r="N64" s="364" t="n">
        <x:f>Daily!A14</x:f>
        <x:v>46340.5</x:v>
      </x:c>
      <x:c r="O64" s="361" t="str">
        <x:f>Daily!D14</x:f>
        <x:v>Skill micro-session</x:v>
      </x:c>
      <x:c r="P64" s="372" t="str">
        <x:v>Wall handstand line drill</x:v>
      </x:c>
      <x:c r="Q64" s="362" t="str">
        <x:v>seconds</x:v>
      </x:c>
      <x:c r="R64" s="367" t="n">
        <x:v>3</x:v>
      </x:c>
      <x:c r="S64" s="367" t="n">
        <x:v>15</x:v>
      </x:c>
      <x:c r="T64" s="368" t="n">
        <x:f>IF(OR(COUNTIFS(Strategy!$B$36:$B$90,P64)&lt;&gt;1,COUNTIFS(Strategy!$B$36:$B$90,P64,Strategy!$C$36:$C$90,"&lt;&gt;")&lt;&gt;1),"",INDEX(Strategy!$C$36:$C$90,MATCH(P64,Strategy!$B$36:$B$90,0)))</x:f>
        <x:v>1</x:v>
      </x:c>
      <x:c r="U64" s="368" t="n">
        <x:f>IF(OR(COUNTIFS(Strategy!$B$36:$B$90,P64)&lt;&gt;1,COUNTIFS(Strategy!$B$36:$B$90,P64,Strategy!$D$36:$D$90,"&lt;&gt;")&lt;&gt;1),"",INDEX(Strategy!$D$36:$D$90,MATCH(P64,Strategy!$B$36:$B$90,0)))</x:f>
        <x:v>3</x:v>
      </x:c>
      <x:c r="V64" s="368" t="n">
        <x:f>IF(OR(COUNTIFS(Strategy!$B$36:$B$90,P64)&lt;&gt;1,COUNTIFS(Strategy!$B$36:$B$90,P64,Strategy!$E$36:$E$90,"&lt;&gt;")&lt;&gt;1),"",INDEX(Strategy!$E$36:$E$90,MATCH(P64,Strategy!$B$36:$B$90,0)))</x:f>
        <x:v>60</x:v>
      </x:c>
      <x:c r="W64" s="361" t="str">
        <x:f>IF(OR(COUNTIFS(Strategy!$B$36:$B$90,P64)&lt;&gt;1,COUNTIFS(Strategy!$B$36:$B$90,P64,Strategy!$F$36:$F$90,"&lt;&gt;")&lt;&gt;1),"",INDEX(Strategy!$F$36:$F$90,MATCH(P64,Strategy!$B$36:$B$90,0)))</x:f>
        <x:v>seconds</x:v>
      </x:c>
      <x:c r="X64" s="370" t="n">
        <x:f>IF(OR(COUNT(R64:V64)&lt;&gt;5,Q64&lt;&gt;W64,T64&lt;0,T64&gt;10,U64&lt;=0,V64&lt;=0,R64&lt;0,R64&lt;&gt;INT(R64),S64&lt;=0),"",T64*R64*S64/(U64*V64))</x:f>
        <x:v>0.25</x:v>
      </x:c>
      <x:c r="Y64" s="374" t="str"/>
    </x:row>
    <x:row r="65" ht="15" hidden="0" customHeight="1">
      <x:c r="A65" s="326" t="n">
        <x:f>Daily!A20</x:f>
        <x:v>46350.5</x:v>
      </x:c>
      <x:c r="B65" s="318" t="str">
        <x:f>Daily!D20</x:f>
        <x:v>Handstand technique</x:v>
      </x:c>
      <x:c r="C65" s="318" t="str">
        <x:v>B · Easy chest-to-wall hold</x:v>
      </x:c>
      <x:c r="D65" s="318" t="str">
        <x:v>seconds</x:v>
      </x:c>
      <x:c r="E65" s="320" t="b">
        <x:v>1</x:v>
      </x:c>
      <x:c r="F65" s="328" t="n">
        <x:v>45</x:v>
      </x:c>
      <x:c r="G65" s="329" t="str">
        <x:f>IF(AND(OR(Daily!N20=TRUE,Daily!AB20=TRUE),COUNT(Daily!O20,Daily!P20,Daily!Q20)&gt;0),SUM(Daily!O20,Daily!P20,Daily!Q20)*86400,"")</x:f>
      </x:c>
      <x:c r="H65" s="329" t="n">
        <x:f>IF(AND(E65=TRUE,ISNUMBER(F65),F65&gt;0),100,"")</x:f>
        <x:v>100</x:v>
      </x:c>
      <x:c r="I65" s="329" t="str">
        <x:f>IF(AND(ISNUMBER(H65),ISNUMBER(G65)),IF(J65="lower",IF(G65&gt;0,100*F65/G65,""),100*G65/F65),"")</x:f>
      </x:c>
      <x:c r="J65" s="321" t="str">
        <x:v>higher</x:v>
      </x:c>
      <x:c r="N65" s="363" t="n">
        <x:f>Daily!A15</x:f>
        <x:v>46342.5</x:v>
      </x:c>
      <x:c r="O65" s="359" t="str">
        <x:f>Daily!D15</x:f>
        <x:v>Skill A + interval circuit</x:v>
      </x:c>
      <x:c r="P65" s="371" t="str">
        <x:v>Easy scapular pull-up</x:v>
      </x:c>
      <x:c r="Q65" s="360" t="str">
        <x:v>reps</x:v>
      </x:c>
      <x:c r="R65" s="365" t="n">
        <x:v>1</x:v>
      </x:c>
      <x:c r="S65" s="365" t="n">
        <x:v>5</x:v>
      </x:c>
      <x:c r="T65" s="366" t="n">
        <x:f>IF(OR(COUNTIFS(Strategy!$B$36:$B$90,P65)&lt;&gt;1,COUNTIFS(Strategy!$B$36:$B$90,P65,Strategy!$C$36:$C$90,"&lt;&gt;")&lt;&gt;1),"",INDEX(Strategy!$C$36:$C$90,MATCH(P65,Strategy!$B$36:$B$90,0)))</x:f>
        <x:v>1</x:v>
      </x:c>
      <x:c r="U65" s="366" t="n">
        <x:f>IF(OR(COUNTIFS(Strategy!$B$36:$B$90,P65)&lt;&gt;1,COUNTIFS(Strategy!$B$36:$B$90,P65,Strategy!$D$36:$D$90,"&lt;&gt;")&lt;&gt;1),"",INDEX(Strategy!$D$36:$D$90,MATCH(P65,Strategy!$B$36:$B$90,0)))</x:f>
        <x:v>3</x:v>
      </x:c>
      <x:c r="V65" s="366" t="n">
        <x:f>IF(OR(COUNTIFS(Strategy!$B$36:$B$90,P65)&lt;&gt;1,COUNTIFS(Strategy!$B$36:$B$90,P65,Strategy!$E$36:$E$90,"&lt;&gt;")&lt;&gt;1),"",INDEX(Strategy!$E$36:$E$90,MATCH(P65,Strategy!$B$36:$B$90,0)))</x:f>
        <x:v>10</x:v>
      </x:c>
      <x:c r="W65" s="359" t="str">
        <x:f>IF(OR(COUNTIFS(Strategy!$B$36:$B$90,P65)&lt;&gt;1,COUNTIFS(Strategy!$B$36:$B$90,P65,Strategy!$F$36:$F$90,"&lt;&gt;")&lt;&gt;1),"",INDEX(Strategy!$F$36:$F$90,MATCH(P65,Strategy!$B$36:$B$90,0)))</x:f>
        <x:v>reps</x:v>
      </x:c>
      <x:c r="X65" s="369" t="n">
        <x:f>IF(OR(COUNT(R65:V65)&lt;&gt;5,Q65&lt;&gt;W65,T65&lt;0,T65&gt;10,U65&lt;=0,V65&lt;=0,R65&lt;0,R65&lt;&gt;INT(R65),S65&lt;=0),"",T65*R65*S65/(U65*V65))</x:f>
        <x:v>0.16666666666666666</x:v>
      </x:c>
      <x:c r="Y65" s="373" t="str"/>
    </x:row>
    <x:row r="66" ht="15" hidden="0" customHeight="1">
      <x:c r="A66" s="327" t="n">
        <x:f>Daily!A20</x:f>
        <x:v>46350.5</x:v>
      </x:c>
      <x:c r="B66" s="322" t="str">
        <x:f>Daily!D20</x:f>
        <x:v>Handstand technique</x:v>
      </x:c>
      <x:c r="C66" s="322" t="str">
        <x:v>C · Wall handstand line drill</x:v>
      </x:c>
      <x:c r="D66" s="322" t="str">
        <x:v>seconds</x:v>
      </x:c>
      <x:c r="E66" s="324" t="b">
        <x:v>1</x:v>
      </x:c>
      <x:c r="F66" s="330" t="n">
        <x:v>30</x:v>
      </x:c>
      <x:c r="G66" s="331" t="str">
        <x:f>IF(AND(OR(Daily!T20=TRUE,Daily!AB20=TRUE),COUNT(Daily!U20,Daily!V20)&gt;0),SUM(Daily!U20,Daily!V20)*86400,"")</x:f>
      </x:c>
      <x:c r="H66" s="331" t="n">
        <x:f>IF(AND(E66=TRUE,ISNUMBER(F66),F66&gt;0),100,"")</x:f>
        <x:v>100</x:v>
      </x:c>
      <x:c r="I66" s="331" t="str">
        <x:f>IF(AND(ISNUMBER(H66),ISNUMBER(G66)),IF(J66="lower",IF(G66&gt;0,100*F66/G66,""),100*G66/F66),"")</x:f>
      </x:c>
      <x:c r="J66" s="325" t="str">
        <x:v>higher</x:v>
      </x:c>
      <x:c r="N66" s="364" t="n">
        <x:f>Daily!A15</x:f>
        <x:v>46342.5</x:v>
      </x:c>
      <x:c r="O66" s="361" t="str">
        <x:f>Daily!D15</x:f>
        <x:v>Skill A + interval circuit</x:v>
      </x:c>
      <x:c r="P66" s="372" t="str">
        <x:v>Easy low-bar transition</x:v>
      </x:c>
      <x:c r="Q66" s="362" t="str">
        <x:v>reps</x:v>
      </x:c>
      <x:c r="R66" s="367" t="n">
        <x:v>1</x:v>
      </x:c>
      <x:c r="S66" s="367" t="n">
        <x:v>3</x:v>
      </x:c>
      <x:c r="T66" s="368" t="n">
        <x:f>IF(OR(COUNTIFS(Strategy!$B$36:$B$90,P66)&lt;&gt;1,COUNTIFS(Strategy!$B$36:$B$90,P66,Strategy!$C$36:$C$90,"&lt;&gt;")&lt;&gt;1),"",INDEX(Strategy!$C$36:$C$90,MATCH(P66,Strategy!$B$36:$B$90,0)))</x:f>
        <x:v>1</x:v>
      </x:c>
      <x:c r="U66" s="368" t="n">
        <x:f>IF(OR(COUNTIFS(Strategy!$B$36:$B$90,P66)&lt;&gt;1,COUNTIFS(Strategy!$B$36:$B$90,P66,Strategy!$D$36:$D$90,"&lt;&gt;")&lt;&gt;1),"",INDEX(Strategy!$D$36:$D$90,MATCH(P66,Strategy!$B$36:$B$90,0)))</x:f>
        <x:v>3</x:v>
      </x:c>
      <x:c r="V66" s="368" t="n">
        <x:f>IF(OR(COUNTIFS(Strategy!$B$36:$B$90,P66)&lt;&gt;1,COUNTIFS(Strategy!$B$36:$B$90,P66,Strategy!$E$36:$E$90,"&lt;&gt;")&lt;&gt;1),"",INDEX(Strategy!$E$36:$E$90,MATCH(P66,Strategy!$B$36:$B$90,0)))</x:f>
        <x:v>10</x:v>
      </x:c>
      <x:c r="W66" s="361" t="str">
        <x:f>IF(OR(COUNTIFS(Strategy!$B$36:$B$90,P66)&lt;&gt;1,COUNTIFS(Strategy!$B$36:$B$90,P66,Strategy!$F$36:$F$90,"&lt;&gt;")&lt;&gt;1),"",INDEX(Strategy!$F$36:$F$90,MATCH(P66,Strategy!$B$36:$B$90,0)))</x:f>
        <x:v>reps</x:v>
      </x:c>
      <x:c r="X66" s="370" t="n">
        <x:f>IF(OR(COUNT(R66:V66)&lt;&gt;5,Q66&lt;&gt;W66,T66&lt;0,T66&gt;10,U66&lt;=0,V66&lt;=0,R66&lt;0,R66&lt;&gt;INT(R66),S66&lt;=0),"",T66*R66*S66/(U66*V66))</x:f>
        <x:v>0.1</x:v>
      </x:c>
      <x:c r="Y66" s="374" t="str"/>
    </x:row>
    <x:row r="67" ht="15" hidden="0" customHeight="1">
      <x:c r="A67" s="326" t="n">
        <x:f>Daily!A21</x:f>
        <x:v>46352.5</x:v>
      </x:c>
      <x:c r="B67" s="318" t="str">
        <x:f>Daily!D21</x:f>
        <x:v>Skill B + circuit</x:v>
      </x:c>
      <x:c r="C67" s="318" t="str">
        <x:v>A · Deficit pike push-up</x:v>
      </x:c>
      <x:c r="D67" s="318" t="str">
        <x:v>reps</x:v>
      </x:c>
      <x:c r="E67" s="320" t="b">
        <x:v>1</x:v>
      </x:c>
      <x:c r="F67" s="328" t="n">
        <x:v>12</x:v>
      </x:c>
      <x:c r="G67" s="329" t="str">
        <x:f>IF(AND(OR(Daily!H21=TRUE,Daily!AB21=TRUE),COUNT(Daily!I21,Daily!J21,Daily!K21)&gt;0),SUM(Daily!I21,Daily!J21,Daily!K21),"")</x:f>
      </x:c>
      <x:c r="H67" s="329" t="n">
        <x:f>IF(AND(E67=TRUE,ISNUMBER(F67),F67&gt;0),100,"")</x:f>
        <x:v>100</x:v>
      </x:c>
      <x:c r="I67" s="329" t="str">
        <x:f>IF(AND(ISNUMBER(H67),ISNUMBER(G67)),IF(J67="lower",IF(G67&gt;0,100*F67/G67,""),100*G67/F67),"")</x:f>
      </x:c>
      <x:c r="J67" s="321" t="str">
        <x:v>higher</x:v>
      </x:c>
      <x:c r="N67" s="363" t="n">
        <x:f>Daily!A15</x:f>
        <x:v>46342.5</x:v>
      </x:c>
      <x:c r="O67" s="359" t="str">
        <x:f>Daily!D15</x:f>
        <x:v>Skill A + interval circuit</x:v>
      </x:c>
      <x:c r="P67" s="371" t="str">
        <x:v>Assisted pistol</x:v>
      </x:c>
      <x:c r="Q67" s="360" t="str">
        <x:v>reps/leg</x:v>
      </x:c>
      <x:c r="R67" s="365" t="n">
        <x:v>1</x:v>
      </x:c>
      <x:c r="S67" s="365" t="n">
        <x:v>3</x:v>
      </x:c>
      <x:c r="T67" s="366" t="n">
        <x:f>IF(OR(COUNTIFS(Strategy!$B$36:$B$90,P67)&lt;&gt;1,COUNTIFS(Strategy!$B$36:$B$90,P67,Strategy!$C$36:$C$90,"&lt;&gt;")&lt;&gt;1),"",INDEX(Strategy!$C$36:$C$90,MATCH(P67,Strategy!$B$36:$B$90,0)))</x:f>
        <x:v>2</x:v>
      </x:c>
      <x:c r="U67" s="366" t="n">
        <x:f>IF(OR(COUNTIFS(Strategy!$B$36:$B$90,P67)&lt;&gt;1,COUNTIFS(Strategy!$B$36:$B$90,P67,Strategy!$D$36:$D$90,"&lt;&gt;")&lt;&gt;1),"",INDEX(Strategy!$D$36:$D$90,MATCH(P67,Strategy!$B$36:$B$90,0)))</x:f>
        <x:v>3</x:v>
      </x:c>
      <x:c r="V67" s="366" t="n">
        <x:f>IF(OR(COUNTIFS(Strategy!$B$36:$B$90,P67)&lt;&gt;1,COUNTIFS(Strategy!$B$36:$B$90,P67,Strategy!$E$36:$E$90,"&lt;&gt;")&lt;&gt;1),"",INDEX(Strategy!$E$36:$E$90,MATCH(P67,Strategy!$B$36:$B$90,0)))</x:f>
        <x:v>10</x:v>
      </x:c>
      <x:c r="W67" s="359" t="str">
        <x:f>IF(OR(COUNTIFS(Strategy!$B$36:$B$90,P67)&lt;&gt;1,COUNTIFS(Strategy!$B$36:$B$90,P67,Strategy!$F$36:$F$90,"&lt;&gt;")&lt;&gt;1),"",INDEX(Strategy!$F$36:$F$90,MATCH(P67,Strategy!$B$36:$B$90,0)))</x:f>
        <x:v>reps/leg</x:v>
      </x:c>
      <x:c r="X67" s="369" t="n">
        <x:f>IF(OR(COUNT(R67:V67)&lt;&gt;5,Q67&lt;&gt;W67,T67&lt;0,T67&gt;10,U67&lt;=0,V67&lt;=0,R67&lt;0,R67&lt;&gt;INT(R67),S67&lt;=0),"",T67*R67*S67/(U67*V67))</x:f>
        <x:v>0.2</x:v>
      </x:c>
      <x:c r="Y67" s="373" t="str"/>
    </x:row>
    <x:row r="68" ht="15" hidden="0" customHeight="1">
      <x:c r="A68" s="327" t="n">
        <x:f>Daily!A21</x:f>
        <x:v>46352.5</x:v>
      </x:c>
      <x:c r="B68" s="322" t="str">
        <x:f>Daily!D21</x:f>
        <x:v>Skill B + circuit</x:v>
      </x:c>
      <x:c r="C68" s="322" t="str">
        <x:v>C · Counterweight pistol</x:v>
      </x:c>
      <x:c r="D68" s="322" t="str">
        <x:v>reps/leg</x:v>
      </x:c>
      <x:c r="E68" s="324" t="b">
        <x:v>1</x:v>
      </x:c>
      <x:c r="F68" s="330" t="n">
        <x:v>12</x:v>
      </x:c>
      <x:c r="G68" s="331" t="str">
        <x:f>IF(AND(OR(Daily!T21=TRUE,Daily!AB21=TRUE),COUNT(Daily!U21,Daily!V21,Daily!W21)&gt;0),SUM(Daily!U21,Daily!V21,Daily!W21),"")</x:f>
      </x:c>
      <x:c r="H68" s="331" t="n">
        <x:f>IF(AND(E68=TRUE,ISNUMBER(F68),F68&gt;0),100,"")</x:f>
        <x:v>100</x:v>
      </x:c>
      <x:c r="I68" s="331" t="str">
        <x:f>IF(AND(ISNUMBER(H68),ISNUMBER(G68)),IF(J68="lower",IF(G68&gt;0,100*F68/G68,""),100*G68/F68),"")</x:f>
      </x:c>
      <x:c r="J68" s="325" t="str">
        <x:v>higher</x:v>
      </x:c>
      <x:c r="N68" s="364" t="n">
        <x:f>Daily!A15</x:f>
        <x:v>46342.5</x:v>
      </x:c>
      <x:c r="O68" s="361" t="str">
        <x:f>Daily!D15</x:f>
        <x:v>Skill A + interval circuit</x:v>
      </x:c>
      <x:c r="P68" s="372" t="str">
        <x:v>Pull-up</x:v>
      </x:c>
      <x:c r="Q68" s="362" t="str">
        <x:v>seconds</x:v>
      </x:c>
      <x:c r="R68" s="367" t="n">
        <x:v>3</x:v>
      </x:c>
      <x:c r="S68" s="367" t="n">
        <x:v>30</x:v>
      </x:c>
      <x:c r="T68" s="368" t="n">
        <x:f>IF(OR(COUNTIFS(Strategy!$B$36:$B$90,P68)&lt;&gt;1,COUNTIFS(Strategy!$B$36:$B$90,P68,Strategy!$C$36:$C$90,"&lt;&gt;")&lt;&gt;1),"",INDEX(Strategy!$C$36:$C$90,MATCH(P68,Strategy!$B$36:$B$90,0)))</x:f>
        <x:v>1</x:v>
      </x:c>
      <x:c r="U68" s="368" t="n">
        <x:f>IF(OR(COUNTIFS(Strategy!$B$36:$B$90,P68)&lt;&gt;1,COUNTIFS(Strategy!$B$36:$B$90,P68,Strategy!$D$36:$D$90,"&lt;&gt;")&lt;&gt;1),"",INDEX(Strategy!$D$36:$D$90,MATCH(P68,Strategy!$B$36:$B$90,0)))</x:f>
        <x:v>5</x:v>
      </x:c>
      <x:c r="V68" s="368" t="n">
        <x:f>IF(OR(COUNTIFS(Strategy!$B$36:$B$90,P68)&lt;&gt;1,COUNTIFS(Strategy!$B$36:$B$90,P68,Strategy!$E$36:$E$90,"&lt;&gt;")&lt;&gt;1),"",INDEX(Strategy!$E$36:$E$90,MATCH(P68,Strategy!$B$36:$B$90,0)))</x:f>
        <x:v>120</x:v>
      </x:c>
      <x:c r="W68" s="361" t="str">
        <x:f>IF(OR(COUNTIFS(Strategy!$B$36:$B$90,P68)&lt;&gt;1,COUNTIFS(Strategy!$B$36:$B$90,P68,Strategy!$F$36:$F$90,"&lt;&gt;")&lt;&gt;1),"",INDEX(Strategy!$F$36:$F$90,MATCH(P68,Strategy!$B$36:$B$90,0)))</x:f>
        <x:v>seconds</x:v>
      </x:c>
      <x:c r="X68" s="370" t="n">
        <x:f>IF(OR(COUNT(R68:V68)&lt;&gt;5,Q68&lt;&gt;W68,T68&lt;0,T68&gt;10,U68&lt;=0,V68&lt;=0,R68&lt;0,R68&lt;&gt;INT(R68),S68&lt;=0),"",T68*R68*S68/(U68*V68))</x:f>
        <x:v>0.15</x:v>
      </x:c>
      <x:c r="Y68" s="374" t="str">
        <x:v>Core: one 30-second work interval per round; rest excluded.</x:v>
      </x:c>
    </x:row>
    <x:row r="69" ht="15" hidden="0" customHeight="1">
      <x:c r="A69" s="326" t="n">
        <x:f>Daily!A21</x:f>
        <x:v>46352.5</x:v>
      </x:c>
      <x:c r="B69" s="318" t="str">
        <x:f>Daily!D21</x:f>
        <x:v>Skill B + circuit</x:v>
      </x:c>
      <x:c r="C69" s="318" t="str">
        <x:v>Core</x:v>
      </x:c>
      <x:c r="D69" s="318" t="str">
        <x:v>rounds</x:v>
      </x:c>
      <x:c r="E69" s="320" t="b">
        <x:v>1</x:v>
      </x:c>
      <x:c r="F69" s="328" t="n">
        <x:v>5</x:v>
      </x:c>
      <x:c r="G69" s="329" t="str">
        <x:f>IF(AND(OR(Daily!Z21=TRUE,Daily!AB21=TRUE),COUNT(Daily!AA21)&gt;0),SUM(Daily!AA21),"")</x:f>
      </x:c>
      <x:c r="H69" s="329" t="n">
        <x:f>IF(AND(E69=TRUE,ISNUMBER(F69),F69&gt;0),100,"")</x:f>
        <x:v>100</x:v>
      </x:c>
      <x:c r="I69" s="329" t="str">
        <x:f>IF(AND(ISNUMBER(H69),ISNUMBER(G69)),IF(J69="lower",IF(G69&gt;0,100*F69/G69,""),100*G69/F69),"")</x:f>
      </x:c>
      <x:c r="J69" s="321" t="str">
        <x:v>higher</x:v>
      </x:c>
      <x:c r="N69" s="363" t="n">
        <x:f>Daily!A15</x:f>
        <x:v>46342.5</x:v>
      </x:c>
      <x:c r="O69" s="359" t="str">
        <x:f>Daily!D15</x:f>
        <x:v>Skill A + interval circuit</x:v>
      </x:c>
      <x:c r="P69" s="371" t="str">
        <x:v>Push-up</x:v>
      </x:c>
      <x:c r="Q69" s="360" t="str">
        <x:v>seconds</x:v>
      </x:c>
      <x:c r="R69" s="365" t="n">
        <x:v>3</x:v>
      </x:c>
      <x:c r="S69" s="365" t="n">
        <x:v>30</x:v>
      </x:c>
      <x:c r="T69" s="366" t="n">
        <x:f>IF(OR(COUNTIFS(Strategy!$B$36:$B$90,P69)&lt;&gt;1,COUNTIFS(Strategy!$B$36:$B$90,P69,Strategy!$C$36:$C$90,"&lt;&gt;")&lt;&gt;1),"",INDEX(Strategy!$C$36:$C$90,MATCH(P69,Strategy!$B$36:$B$90,0)))</x:f>
        <x:v>1</x:v>
      </x:c>
      <x:c r="U69" s="366" t="n">
        <x:f>IF(OR(COUNTIFS(Strategy!$B$36:$B$90,P69)&lt;&gt;1,COUNTIFS(Strategy!$B$36:$B$90,P69,Strategy!$D$36:$D$90,"&lt;&gt;")&lt;&gt;1),"",INDEX(Strategy!$D$36:$D$90,MATCH(P69,Strategy!$B$36:$B$90,0)))</x:f>
        <x:v>5</x:v>
      </x:c>
      <x:c r="V69" s="366" t="n">
        <x:f>IF(OR(COUNTIFS(Strategy!$B$36:$B$90,P69)&lt;&gt;1,COUNTIFS(Strategy!$B$36:$B$90,P69,Strategy!$E$36:$E$90,"&lt;&gt;")&lt;&gt;1),"",INDEX(Strategy!$E$36:$E$90,MATCH(P69,Strategy!$B$36:$B$90,0)))</x:f>
        <x:v>120</x:v>
      </x:c>
      <x:c r="W69" s="359" t="str">
        <x:f>IF(OR(COUNTIFS(Strategy!$B$36:$B$90,P69)&lt;&gt;1,COUNTIFS(Strategy!$B$36:$B$90,P69,Strategy!$F$36:$F$90,"&lt;&gt;")&lt;&gt;1),"",INDEX(Strategy!$F$36:$F$90,MATCH(P69,Strategy!$B$36:$B$90,0)))</x:f>
        <x:v>seconds</x:v>
      </x:c>
      <x:c r="X69" s="369" t="n">
        <x:f>IF(OR(COUNT(R69:V69)&lt;&gt;5,Q69&lt;&gt;W69,T69&lt;0,T69&gt;10,U69&lt;=0,V69&lt;=0,R69&lt;0,R69&lt;&gt;INT(R69),S69&lt;=0),"",T69*R69*S69/(U69*V69))</x:f>
        <x:v>0.15</x:v>
      </x:c>
      <x:c r="Y69" s="373" t="str">
        <x:v>Core: one 30-second work interval per round; rest excluded.</x:v>
      </x:c>
    </x:row>
    <x:row r="70" ht="15" hidden="0" customHeight="1">
      <x:c r="A70" s="327" t="n">
        <x:f>Daily!A22</x:f>
        <x:v>46354.5</x:v>
      </x:c>
      <x:c r="B70" s="322" t="str">
        <x:f>Daily!D22</x:f>
        <x:v>Skill micro-session</x:v>
      </x:c>
      <x:c r="C70" s="322" t="str">
        <x:v>A · Wrist/shoulder mobility</x:v>
      </x:c>
      <x:c r="D70" s="322" t="str">
        <x:v>seconds</x:v>
      </x:c>
      <x:c r="E70" s="324" t="b">
        <x:v>1</x:v>
      </x:c>
      <x:c r="F70" s="330" t="n">
        <x:v>120</x:v>
      </x:c>
      <x:c r="G70" s="331" t="str">
        <x:f>IF(AND(OR(Daily!H22=TRUE,Daily!AB22=TRUE),COUNT(Daily!I22)&gt;0),SUM(Daily!I22)*86400,"")</x:f>
      </x:c>
      <x:c r="H70" s="331" t="n">
        <x:f>IF(AND(E70=TRUE,ISNUMBER(F70),F70&gt;0),100,"")</x:f>
        <x:v>100</x:v>
      </x:c>
      <x:c r="I70" s="331" t="str">
        <x:f>IF(AND(ISNUMBER(H70),ISNUMBER(G70)),IF(J70="lower",IF(G70&gt;0,100*F70/G70,""),100*G70/F70),"")</x:f>
      </x:c>
      <x:c r="J70" s="325" t="str">
        <x:v>higher</x:v>
      </x:c>
      <x:c r="N70" s="364" t="n">
        <x:f>Daily!A15</x:f>
        <x:v>46342.5</x:v>
      </x:c>
      <x:c r="O70" s="361" t="str">
        <x:f>Daily!D15</x:f>
        <x:v>Skill A + interval circuit</x:v>
      </x:c>
      <x:c r="P70" s="372" t="str">
        <x:v>Weighted squat</x:v>
      </x:c>
      <x:c r="Q70" s="362" t="str">
        <x:v>seconds</x:v>
      </x:c>
      <x:c r="R70" s="367" t="n">
        <x:v>3</x:v>
      </x:c>
      <x:c r="S70" s="367" t="n">
        <x:v>30</x:v>
      </x:c>
      <x:c r="T70" s="368" t="n">
        <x:f>IF(OR(COUNTIFS(Strategy!$B$36:$B$90,P70)&lt;&gt;1,COUNTIFS(Strategy!$B$36:$B$90,P70,Strategy!$C$36:$C$90,"&lt;&gt;")&lt;&gt;1),"",INDEX(Strategy!$C$36:$C$90,MATCH(P70,Strategy!$B$36:$B$90,0)))</x:f>
        <x:v>1</x:v>
      </x:c>
      <x:c r="U70" s="368" t="n">
        <x:f>IF(OR(COUNTIFS(Strategy!$B$36:$B$90,P70)&lt;&gt;1,COUNTIFS(Strategy!$B$36:$B$90,P70,Strategy!$D$36:$D$90,"&lt;&gt;")&lt;&gt;1),"",INDEX(Strategy!$D$36:$D$90,MATCH(P70,Strategy!$B$36:$B$90,0)))</x:f>
        <x:v>5</x:v>
      </x:c>
      <x:c r="V70" s="368" t="n">
        <x:f>IF(OR(COUNTIFS(Strategy!$B$36:$B$90,P70)&lt;&gt;1,COUNTIFS(Strategy!$B$36:$B$90,P70,Strategy!$E$36:$E$90,"&lt;&gt;")&lt;&gt;1),"",INDEX(Strategy!$E$36:$E$90,MATCH(P70,Strategy!$B$36:$B$90,0)))</x:f>
        <x:v>120</x:v>
      </x:c>
      <x:c r="W70" s="361" t="str">
        <x:f>IF(OR(COUNTIFS(Strategy!$B$36:$B$90,P70)&lt;&gt;1,COUNTIFS(Strategy!$B$36:$B$90,P70,Strategy!$F$36:$F$90,"&lt;&gt;")&lt;&gt;1),"",INDEX(Strategy!$F$36:$F$90,MATCH(P70,Strategy!$B$36:$B$90,0)))</x:f>
        <x:v>seconds</x:v>
      </x:c>
      <x:c r="X70" s="370" t="n">
        <x:f>IF(OR(COUNT(R70:V70)&lt;&gt;5,Q70&lt;&gt;W70,T70&lt;0,T70&gt;10,U70&lt;=0,V70&lt;=0,R70&lt;0,R70&lt;&gt;INT(R70),S70&lt;=0),"",T70*R70*S70/(U70*V70))</x:f>
        <x:v>0.15</x:v>
      </x:c>
      <x:c r="Y70" s="374" t="str">
        <x:v>Core: one 30-second work interval per round; rest excluded.</x:v>
      </x:c>
    </x:row>
    <x:row r="71" ht="15" hidden="0" customHeight="1">
      <x:c r="A71" s="326" t="n">
        <x:f>Daily!A22</x:f>
        <x:v>46354.5</x:v>
      </x:c>
      <x:c r="B71" s="318" t="str">
        <x:f>Daily!D22</x:f>
        <x:v>Skill micro-session</x:v>
      </x:c>
      <x:c r="C71" s="318" t="str">
        <x:v>B · Easy chest-to-wall hold</x:v>
      </x:c>
      <x:c r="D71" s="318" t="str">
        <x:v>seconds</x:v>
      </x:c>
      <x:c r="E71" s="320" t="b">
        <x:v>1</x:v>
      </x:c>
      <x:c r="F71" s="328" t="n">
        <x:v>45</x:v>
      </x:c>
      <x:c r="G71" s="329" t="str">
        <x:f>IF(AND(OR(Daily!N22=TRUE,Daily!AB22=TRUE),COUNT(Daily!O22,Daily!P22,Daily!Q22)&gt;0),SUM(Daily!O22,Daily!P22,Daily!Q22)*86400,"")</x:f>
      </x:c>
      <x:c r="H71" s="329" t="n">
        <x:f>IF(AND(E71=TRUE,ISNUMBER(F71),F71&gt;0),100,"")</x:f>
        <x:v>100</x:v>
      </x:c>
      <x:c r="I71" s="329" t="str">
        <x:f>IF(AND(ISNUMBER(H71),ISNUMBER(G71)),IF(J71="lower",IF(G71&gt;0,100*F71/G71,""),100*G71/F71),"")</x:f>
      </x:c>
      <x:c r="J71" s="321" t="str">
        <x:v>higher</x:v>
      </x:c>
      <x:c r="N71" s="363" t="n">
        <x:f>Daily!A15</x:f>
        <x:v>46342.5</x:v>
      </x:c>
      <x:c r="O71" s="359" t="str">
        <x:f>Daily!D15</x:f>
        <x:v>Skill A + interval circuit</x:v>
      </x:c>
      <x:c r="P71" s="371" t="str">
        <x:v>Upside-down hanging shoulder/ab work</x:v>
      </x:c>
      <x:c r="Q71" s="360" t="str">
        <x:v>seconds</x:v>
      </x:c>
      <x:c r="R71" s="365" t="n">
        <x:v>3</x:v>
      </x:c>
      <x:c r="S71" s="365" t="n">
        <x:v>30</x:v>
      </x:c>
      <x:c r="T71" s="366" t="n">
        <x:f>IF(OR(COUNTIFS(Strategy!$B$36:$B$90,P71)&lt;&gt;1,COUNTIFS(Strategy!$B$36:$B$90,P71,Strategy!$C$36:$C$90,"&lt;&gt;")&lt;&gt;1),"",INDEX(Strategy!$C$36:$C$90,MATCH(P71,Strategy!$B$36:$B$90,0)))</x:f>
        <x:v>1</x:v>
      </x:c>
      <x:c r="U71" s="366" t="n">
        <x:f>IF(OR(COUNTIFS(Strategy!$B$36:$B$90,P71)&lt;&gt;1,COUNTIFS(Strategy!$B$36:$B$90,P71,Strategy!$D$36:$D$90,"&lt;&gt;")&lt;&gt;1),"",INDEX(Strategy!$D$36:$D$90,MATCH(P71,Strategy!$B$36:$B$90,0)))</x:f>
        <x:v>5</x:v>
      </x:c>
      <x:c r="V71" s="366" t="n">
        <x:f>IF(OR(COUNTIFS(Strategy!$B$36:$B$90,P71)&lt;&gt;1,COUNTIFS(Strategy!$B$36:$B$90,P71,Strategy!$E$36:$E$90,"&lt;&gt;")&lt;&gt;1),"",INDEX(Strategy!$E$36:$E$90,MATCH(P71,Strategy!$B$36:$B$90,0)))</x:f>
        <x:v>120</x:v>
      </x:c>
      <x:c r="W71" s="359" t="str">
        <x:f>IF(OR(COUNTIFS(Strategy!$B$36:$B$90,P71)&lt;&gt;1,COUNTIFS(Strategy!$B$36:$B$90,P71,Strategy!$F$36:$F$90,"&lt;&gt;")&lt;&gt;1),"",INDEX(Strategy!$F$36:$F$90,MATCH(P71,Strategy!$B$36:$B$90,0)))</x:f>
        <x:v>seconds</x:v>
      </x:c>
      <x:c r="X71" s="369" t="n">
        <x:f>IF(OR(COUNT(R71:V71)&lt;&gt;5,Q71&lt;&gt;W71,T71&lt;0,T71&gt;10,U71&lt;=0,V71&lt;=0,R71&lt;0,R71&lt;&gt;INT(R71),S71&lt;=0),"",T71*R71*S71/(U71*V71))</x:f>
        <x:v>0.15</x:v>
      </x:c>
      <x:c r="Y71" s="373" t="str">
        <x:v>Core: one 30-second work interval per round; rest excluded.</x:v>
      </x:c>
    </x:row>
    <x:row r="72" ht="15" hidden="0" customHeight="1">
      <x:c r="A72" s="327" t="n">
        <x:f>Daily!A22</x:f>
        <x:v>46354.5</x:v>
      </x:c>
      <x:c r="B72" s="322" t="str">
        <x:f>Daily!D22</x:f>
        <x:v>Skill micro-session</x:v>
      </x:c>
      <x:c r="C72" s="322" t="str">
        <x:v>C · Wall handstand line drill</x:v>
      </x:c>
      <x:c r="D72" s="322" t="str">
        <x:v>seconds</x:v>
      </x:c>
      <x:c r="E72" s="324" t="b">
        <x:v>1</x:v>
      </x:c>
      <x:c r="F72" s="330" t="n">
        <x:v>45</x:v>
      </x:c>
      <x:c r="G72" s="331" t="str">
        <x:f>IF(AND(OR(Daily!T22=TRUE,Daily!AB22=TRUE),COUNT(Daily!U22,Daily!V22,Daily!W22)&gt;0),SUM(Daily!U22,Daily!V22,Daily!W22)*86400,"")</x:f>
      </x:c>
      <x:c r="H72" s="331" t="n">
        <x:f>IF(AND(E72=TRUE,ISNUMBER(F72),F72&gt;0),100,"")</x:f>
        <x:v>100</x:v>
      </x:c>
      <x:c r="I72" s="331" t="str">
        <x:f>IF(AND(ISNUMBER(H72),ISNUMBER(G72)),IF(J72="lower",IF(G72&gt;0,100*F72/G72,""),100*G72/F72),"")</x:f>
      </x:c>
      <x:c r="J72" s="325" t="str">
        <x:v>higher</x:v>
      </x:c>
      <x:c r="N72" s="364" t="n">
        <x:f>Daily!A16</x:f>
        <x:v>46343.5</x:v>
      </x:c>
      <x:c r="O72" s="361" t="str">
        <x:f>Daily!D16</x:f>
        <x:v>Handstand technique</x:v>
      </x:c>
      <x:c r="P72" s="372" t="str">
        <x:v>Wrist/shoulder mobility</x:v>
      </x:c>
      <x:c r="Q72" s="362" t="str">
        <x:v>seconds</x:v>
      </x:c>
      <x:c r="R72" s="367" t="n">
        <x:v>1</x:v>
      </x:c>
      <x:c r="S72" s="367" t="n">
        <x:v>60</x:v>
      </x:c>
      <x:c r="T72" s="368" t="n">
        <x:f>IF(OR(COUNTIFS(Strategy!$B$36:$B$90,P72)&lt;&gt;1,COUNTIFS(Strategy!$B$36:$B$90,P72,Strategy!$C$36:$C$90,"&lt;&gt;")&lt;&gt;1),"",INDEX(Strategy!$C$36:$C$90,MATCH(P72,Strategy!$B$36:$B$90,0)))</x:f>
        <x:v>1</x:v>
      </x:c>
      <x:c r="U72" s="368" t="n">
        <x:f>IF(OR(COUNTIFS(Strategy!$B$36:$B$90,P72)&lt;&gt;1,COUNTIFS(Strategy!$B$36:$B$90,P72,Strategy!$D$36:$D$90,"&lt;&gt;")&lt;&gt;1),"",INDEX(Strategy!$D$36:$D$90,MATCH(P72,Strategy!$B$36:$B$90,0)))</x:f>
        <x:v>3</x:v>
      </x:c>
      <x:c r="V72" s="368" t="n">
        <x:f>IF(OR(COUNTIFS(Strategy!$B$36:$B$90,P72)&lt;&gt;1,COUNTIFS(Strategy!$B$36:$B$90,P72,Strategy!$E$36:$E$90,"&lt;&gt;")&lt;&gt;1),"",INDEX(Strategy!$E$36:$E$90,MATCH(P72,Strategy!$B$36:$B$90,0)))</x:f>
        <x:v>60</x:v>
      </x:c>
      <x:c r="W72" s="361" t="str">
        <x:f>IF(OR(COUNTIFS(Strategy!$B$36:$B$90,P72)&lt;&gt;1,COUNTIFS(Strategy!$B$36:$B$90,P72,Strategy!$F$36:$F$90,"&lt;&gt;")&lt;&gt;1),"",INDEX(Strategy!$F$36:$F$90,MATCH(P72,Strategy!$B$36:$B$90,0)))</x:f>
        <x:v>seconds</x:v>
      </x:c>
      <x:c r="X72" s="370" t="n">
        <x:f>IF(OR(COUNT(R72:V72)&lt;&gt;5,Q72&lt;&gt;W72,T72&lt;0,T72&gt;10,U72&lt;=0,V72&lt;=0,R72&lt;0,R72&lt;&gt;INT(R72),S72&lt;=0),"",T72*R72*S72/(U72*V72))</x:f>
        <x:v>0.3333333333333333</x:v>
      </x:c>
      <x:c r="Y72" s="374" t="str"/>
    </x:row>
    <x:row r="73" ht="15" hidden="0" customHeight="1">
      <x:c r="A73" s="326" t="n">
        <x:f>Daily!A23</x:f>
        <x:v>46356.5</x:v>
      </x:c>
      <x:c r="B73" s="318" t="str">
        <x:f>Daily!D23</x:f>
        <x:v>Skill A + interval circuit</x:v>
      </x:c>
      <x:c r="C73" s="318" t="str">
        <x:v>A · Jumping muscle-up</x:v>
      </x:c>
      <x:c r="D73" s="318" t="str">
        <x:v>reps</x:v>
      </x:c>
      <x:c r="E73" s="320" t="b">
        <x:v>1</x:v>
      </x:c>
      <x:c r="F73" s="328" t="n">
        <x:v>9</x:v>
      </x:c>
      <x:c r="G73" s="329" t="str">
        <x:f>IF(AND(OR(Daily!H23=TRUE,Daily!AB23=TRUE),COUNT(Daily!I23,Daily!J23,Daily!K23)&gt;0),SUM(Daily!I23,Daily!J23,Daily!K23),"")</x:f>
      </x:c>
      <x:c r="H73" s="329" t="n">
        <x:f>IF(AND(E73=TRUE,ISNUMBER(F73),F73&gt;0),100,"")</x:f>
        <x:v>100</x:v>
      </x:c>
      <x:c r="I73" s="329" t="str">
        <x:f>IF(AND(ISNUMBER(H73),ISNUMBER(G73)),IF(J73="lower",IF(G73&gt;0,100*F73/G73,""),100*G73/F73),"")</x:f>
      </x:c>
      <x:c r="J73" s="321" t="str">
        <x:v>higher</x:v>
      </x:c>
      <x:c r="N73" s="363" t="n">
        <x:f>Daily!A16</x:f>
        <x:v>46343.5</x:v>
      </x:c>
      <x:c r="O73" s="359" t="str">
        <x:f>Daily!D16</x:f>
        <x:v>Handstand technique</x:v>
      </x:c>
      <x:c r="P73" s="371" t="str">
        <x:v>Easy chest-to-wall hold</x:v>
      </x:c>
      <x:c r="Q73" s="360" t="str">
        <x:v>seconds</x:v>
      </x:c>
      <x:c r="R73" s="365" t="n">
        <x:v>2</x:v>
      </x:c>
      <x:c r="S73" s="365" t="n">
        <x:v>10</x:v>
      </x:c>
      <x:c r="T73" s="366" t="n">
        <x:f>IF(OR(COUNTIFS(Strategy!$B$36:$B$90,P73)&lt;&gt;1,COUNTIFS(Strategy!$B$36:$B$90,P73,Strategy!$C$36:$C$90,"&lt;&gt;")&lt;&gt;1),"",INDEX(Strategy!$C$36:$C$90,MATCH(P73,Strategy!$B$36:$B$90,0)))</x:f>
        <x:v>1</x:v>
      </x:c>
      <x:c r="U73" s="366" t="n">
        <x:f>IF(OR(COUNTIFS(Strategy!$B$36:$B$90,P73)&lt;&gt;1,COUNTIFS(Strategy!$B$36:$B$90,P73,Strategy!$D$36:$D$90,"&lt;&gt;")&lt;&gt;1),"",INDEX(Strategy!$D$36:$D$90,MATCH(P73,Strategy!$B$36:$B$90,0)))</x:f>
        <x:v>3</x:v>
      </x:c>
      <x:c r="V73" s="366" t="n">
        <x:f>IF(OR(COUNTIFS(Strategy!$B$36:$B$90,P73)&lt;&gt;1,COUNTIFS(Strategy!$B$36:$B$90,P73,Strategy!$E$36:$E$90,"&lt;&gt;")&lt;&gt;1),"",INDEX(Strategy!$E$36:$E$90,MATCH(P73,Strategy!$B$36:$B$90,0)))</x:f>
        <x:v>60</x:v>
      </x:c>
      <x:c r="W73" s="359" t="str">
        <x:f>IF(OR(COUNTIFS(Strategy!$B$36:$B$90,P73)&lt;&gt;1,COUNTIFS(Strategy!$B$36:$B$90,P73,Strategy!$F$36:$F$90,"&lt;&gt;")&lt;&gt;1),"",INDEX(Strategy!$F$36:$F$90,MATCH(P73,Strategy!$B$36:$B$90,0)))</x:f>
        <x:v>seconds</x:v>
      </x:c>
      <x:c r="X73" s="369" t="n">
        <x:f>IF(OR(COUNT(R73:V73)&lt;&gt;5,Q73&lt;&gt;W73,T73&lt;0,T73&gt;10,U73&lt;=0,V73&lt;=0,R73&lt;0,R73&lt;&gt;INT(R73),S73&lt;=0),"",T73*R73*S73/(U73*V73))</x:f>
        <x:v>0.1111111111111111</x:v>
      </x:c>
      <x:c r="Y73" s="373" t="str"/>
    </x:row>
    <x:row r="74" ht="15" hidden="0" customHeight="1">
      <x:c r="A74" s="327" t="n">
        <x:f>Daily!A23</x:f>
        <x:v>46356.5</x:v>
      </x:c>
      <x:c r="B74" s="322" t="str">
        <x:f>Daily!D23</x:f>
        <x:v>Skill A + interval circuit</x:v>
      </x:c>
      <x:c r="C74" s="322" t="str">
        <x:v>B · Low-bar slow transition</x:v>
      </x:c>
      <x:c r="D74" s="322" t="str">
        <x:v>reps</x:v>
      </x:c>
      <x:c r="E74" s="324" t="b">
        <x:v>1</x:v>
      </x:c>
      <x:c r="F74" s="330" t="n">
        <x:v>9</x:v>
      </x:c>
      <x:c r="G74" s="331" t="str">
        <x:f>IF(AND(OR(Daily!N23=TRUE,Daily!AB23=TRUE),COUNT(Daily!O23,Daily!P23,Daily!Q23)&gt;0),SUM(Daily!O23,Daily!P23,Daily!Q23),"")</x:f>
      </x:c>
      <x:c r="H74" s="331" t="n">
        <x:f>IF(AND(E74=TRUE,ISNUMBER(F74),F74&gt;0),100,"")</x:f>
        <x:v>100</x:v>
      </x:c>
      <x:c r="I74" s="331" t="str">
        <x:f>IF(AND(ISNUMBER(H74),ISNUMBER(G74)),IF(J74="lower",IF(G74&gt;0,100*F74/G74,""),100*G74/F74),"")</x:f>
      </x:c>
      <x:c r="J74" s="325" t="str">
        <x:v>higher</x:v>
      </x:c>
      <x:c r="N74" s="364" t="n">
        <x:f>Daily!A16</x:f>
        <x:v>46343.5</x:v>
      </x:c>
      <x:c r="O74" s="361" t="str">
        <x:f>Daily!D16</x:f>
        <x:v>Handstand technique</x:v>
      </x:c>
      <x:c r="P74" s="372" t="str">
        <x:v>Wall handstand line drill</x:v>
      </x:c>
      <x:c r="Q74" s="362" t="str">
        <x:v>seconds</x:v>
      </x:c>
      <x:c r="R74" s="367" t="n">
        <x:v>1</x:v>
      </x:c>
      <x:c r="S74" s="367" t="n">
        <x:v>10</x:v>
      </x:c>
      <x:c r="T74" s="368" t="n">
        <x:f>IF(OR(COUNTIFS(Strategy!$B$36:$B$90,P74)&lt;&gt;1,COUNTIFS(Strategy!$B$36:$B$90,P74,Strategy!$C$36:$C$90,"&lt;&gt;")&lt;&gt;1),"",INDEX(Strategy!$C$36:$C$90,MATCH(P74,Strategy!$B$36:$B$90,0)))</x:f>
        <x:v>1</x:v>
      </x:c>
      <x:c r="U74" s="368" t="n">
        <x:f>IF(OR(COUNTIFS(Strategy!$B$36:$B$90,P74)&lt;&gt;1,COUNTIFS(Strategy!$B$36:$B$90,P74,Strategy!$D$36:$D$90,"&lt;&gt;")&lt;&gt;1),"",INDEX(Strategy!$D$36:$D$90,MATCH(P74,Strategy!$B$36:$B$90,0)))</x:f>
        <x:v>3</x:v>
      </x:c>
      <x:c r="V74" s="368" t="n">
        <x:f>IF(OR(COUNTIFS(Strategy!$B$36:$B$90,P74)&lt;&gt;1,COUNTIFS(Strategy!$B$36:$B$90,P74,Strategy!$E$36:$E$90,"&lt;&gt;")&lt;&gt;1),"",INDEX(Strategy!$E$36:$E$90,MATCH(P74,Strategy!$B$36:$B$90,0)))</x:f>
        <x:v>60</x:v>
      </x:c>
      <x:c r="W74" s="361" t="str">
        <x:f>IF(OR(COUNTIFS(Strategy!$B$36:$B$90,P74)&lt;&gt;1,COUNTIFS(Strategy!$B$36:$B$90,P74,Strategy!$F$36:$F$90,"&lt;&gt;")&lt;&gt;1),"",INDEX(Strategy!$F$36:$F$90,MATCH(P74,Strategy!$B$36:$B$90,0)))</x:f>
        <x:v>seconds</x:v>
      </x:c>
      <x:c r="X74" s="370" t="n">
        <x:f>IF(OR(COUNT(R74:V74)&lt;&gt;5,Q74&lt;&gt;W74,T74&lt;0,T74&gt;10,U74&lt;=0,V74&lt;=0,R74&lt;0,R74&lt;&gt;INT(R74),S74&lt;=0),"",T74*R74*S74/(U74*V74))</x:f>
        <x:v>0.05555555555555555</x:v>
      </x:c>
      <x:c r="Y74" s="374" t="str"/>
    </x:row>
    <x:row r="75" ht="15" hidden="0" customHeight="1">
      <x:c r="A75" s="326" t="n">
        <x:f>Daily!A23</x:f>
        <x:v>46356.5</x:v>
      </x:c>
      <x:c r="B75" s="318" t="str">
        <x:f>Daily!D23</x:f>
        <x:v>Skill A + interval circuit</x:v>
      </x:c>
      <x:c r="C75" s="318" t="str">
        <x:v>C · Light-counterweight pistol</x:v>
      </x:c>
      <x:c r="D75" s="318" t="str">
        <x:v>reps/leg</x:v>
      </x:c>
      <x:c r="E75" s="320" t="b">
        <x:v>1</x:v>
      </x:c>
      <x:c r="F75" s="328" t="n">
        <x:v>12</x:v>
      </x:c>
      <x:c r="G75" s="329" t="str">
        <x:f>IF(AND(OR(Daily!T23=TRUE,Daily!AB23=TRUE),COUNT(Daily!U23,Daily!V23,Daily!W23)&gt;0),SUM(Daily!U23,Daily!V23,Daily!W23),"")</x:f>
      </x:c>
      <x:c r="H75" s="329" t="n">
        <x:f>IF(AND(E75=TRUE,ISNUMBER(F75),F75&gt;0),100,"")</x:f>
        <x:v>100</x:v>
      </x:c>
      <x:c r="I75" s="329" t="str">
        <x:f>IF(AND(ISNUMBER(H75),ISNUMBER(G75)),IF(J75="lower",IF(G75&gt;0,100*F75/G75,""),100*G75/F75),"")</x:f>
      </x:c>
      <x:c r="J75" s="321" t="str">
        <x:v>higher</x:v>
      </x:c>
      <x:c r="N75" s="363" t="n">
        <x:f>Daily!A17</x:f>
        <x:v>46345.5</x:v>
      </x:c>
      <x:c r="O75" s="359" t="str">
        <x:f>Daily!D17</x:f>
        <x:v>Skill B + interval circuit</x:v>
      </x:c>
      <x:c r="P75" s="371" t="str">
        <x:v>Easy wall handstand</x:v>
      </x:c>
      <x:c r="Q75" s="360" t="str">
        <x:v>seconds</x:v>
      </x:c>
      <x:c r="R75" s="365" t="n">
        <x:v>1</x:v>
      </x:c>
      <x:c r="S75" s="365" t="n">
        <x:v>15</x:v>
      </x:c>
      <x:c r="T75" s="366" t="n">
        <x:f>IF(OR(COUNTIFS(Strategy!$B$36:$B$90,P75)&lt;&gt;1,COUNTIFS(Strategy!$B$36:$B$90,P75,Strategy!$C$36:$C$90,"&lt;&gt;")&lt;&gt;1),"",INDEX(Strategy!$C$36:$C$90,MATCH(P75,Strategy!$B$36:$B$90,0)))</x:f>
        <x:v>1</x:v>
      </x:c>
      <x:c r="U75" s="366" t="n">
        <x:f>IF(OR(COUNTIFS(Strategy!$B$36:$B$90,P75)&lt;&gt;1,COUNTIFS(Strategy!$B$36:$B$90,P75,Strategy!$D$36:$D$90,"&lt;&gt;")&lt;&gt;1),"",INDEX(Strategy!$D$36:$D$90,MATCH(P75,Strategy!$B$36:$B$90,0)))</x:f>
        <x:v>3</x:v>
      </x:c>
      <x:c r="V75" s="366" t="n">
        <x:f>IF(OR(COUNTIFS(Strategy!$B$36:$B$90,P75)&lt;&gt;1,COUNTIFS(Strategy!$B$36:$B$90,P75,Strategy!$E$36:$E$90,"&lt;&gt;")&lt;&gt;1),"",INDEX(Strategy!$E$36:$E$90,MATCH(P75,Strategy!$B$36:$B$90,0)))</x:f>
        <x:v>60</x:v>
      </x:c>
      <x:c r="W75" s="359" t="str">
        <x:f>IF(OR(COUNTIFS(Strategy!$B$36:$B$90,P75)&lt;&gt;1,COUNTIFS(Strategy!$B$36:$B$90,P75,Strategy!$F$36:$F$90,"&lt;&gt;")&lt;&gt;1),"",INDEX(Strategy!$F$36:$F$90,MATCH(P75,Strategy!$B$36:$B$90,0)))</x:f>
        <x:v>seconds</x:v>
      </x:c>
      <x:c r="X75" s="369" t="n">
        <x:f>IF(OR(COUNT(R75:V75)&lt;&gt;5,Q75&lt;&gt;W75,T75&lt;0,T75&gt;10,U75&lt;=0,V75&lt;=0,R75&lt;0,R75&lt;&gt;INT(R75),S75&lt;=0),"",T75*R75*S75/(U75*V75))</x:f>
        <x:v>0.08333333333333333</x:v>
      </x:c>
      <x:c r="Y75" s="373" t="str"/>
    </x:row>
    <x:row r="76" ht="15" hidden="0" customHeight="1">
      <x:c r="A76" s="327" t="n">
        <x:f>Daily!A23</x:f>
        <x:v>46356.5</x:v>
      </x:c>
      <x:c r="B76" s="322" t="str">
        <x:f>Daily!D23</x:f>
        <x:v>Skill A + interval circuit</x:v>
      </x:c>
      <x:c r="C76" s="322" t="str">
        <x:v>Core</x:v>
      </x:c>
      <x:c r="D76" s="322" t="str">
        <x:v>rounds</x:v>
      </x:c>
      <x:c r="E76" s="324" t="b">
        <x:v>1</x:v>
      </x:c>
      <x:c r="F76" s="330" t="n">
        <x:v>5</x:v>
      </x:c>
      <x:c r="G76" s="331" t="str">
        <x:f>IF(AND(OR(Daily!Z23=TRUE,Daily!AB23=TRUE),COUNT(Daily!AA23)&gt;0),SUM(Daily!AA23),"")</x:f>
      </x:c>
      <x:c r="H76" s="331" t="n">
        <x:f>IF(AND(E76=TRUE,ISNUMBER(F76),F76&gt;0),100,"")</x:f>
        <x:v>100</x:v>
      </x:c>
      <x:c r="I76" s="331" t="str">
        <x:f>IF(AND(ISNUMBER(H76),ISNUMBER(G76)),IF(J76="lower",IF(G76&gt;0,100*F76/G76,""),100*G76/F76),"")</x:f>
      </x:c>
      <x:c r="J76" s="325" t="str">
        <x:v>higher</x:v>
      </x:c>
      <x:c r="N76" s="364" t="n">
        <x:f>Daily!A17</x:f>
        <x:v>46345.5</x:v>
      </x:c>
      <x:c r="O76" s="361" t="str">
        <x:f>Daily!D17</x:f>
        <x:v>Skill B + interval circuit</x:v>
      </x:c>
      <x:c r="P76" s="372" t="str">
        <x:v>Gentle wrist/shoulder mobility</x:v>
      </x:c>
      <x:c r="Q76" s="362" t="str">
        <x:v>seconds</x:v>
      </x:c>
      <x:c r="R76" s="367" t="n">
        <x:v>1</x:v>
      </x:c>
      <x:c r="S76" s="367" t="n">
        <x:v>120</x:v>
      </x:c>
      <x:c r="T76" s="368" t="n">
        <x:f>IF(OR(COUNTIFS(Strategy!$B$36:$B$90,P76)&lt;&gt;1,COUNTIFS(Strategy!$B$36:$B$90,P76,Strategy!$C$36:$C$90,"&lt;&gt;")&lt;&gt;1),"",INDEX(Strategy!$C$36:$C$90,MATCH(P76,Strategy!$B$36:$B$90,0)))</x:f>
        <x:v>1</x:v>
      </x:c>
      <x:c r="U76" s="368" t="n">
        <x:f>IF(OR(COUNTIFS(Strategy!$B$36:$B$90,P76)&lt;&gt;1,COUNTIFS(Strategy!$B$36:$B$90,P76,Strategy!$D$36:$D$90,"&lt;&gt;")&lt;&gt;1),"",INDEX(Strategy!$D$36:$D$90,MATCH(P76,Strategy!$B$36:$B$90,0)))</x:f>
        <x:v>3</x:v>
      </x:c>
      <x:c r="V76" s="368" t="n">
        <x:f>IF(OR(COUNTIFS(Strategy!$B$36:$B$90,P76)&lt;&gt;1,COUNTIFS(Strategy!$B$36:$B$90,P76,Strategy!$E$36:$E$90,"&lt;&gt;")&lt;&gt;1),"",INDEX(Strategy!$E$36:$E$90,MATCH(P76,Strategy!$B$36:$B$90,0)))</x:f>
        <x:v>60</x:v>
      </x:c>
      <x:c r="W76" s="361" t="str">
        <x:f>IF(OR(COUNTIFS(Strategy!$B$36:$B$90,P76)&lt;&gt;1,COUNTIFS(Strategy!$B$36:$B$90,P76,Strategy!$F$36:$F$90,"&lt;&gt;")&lt;&gt;1),"",INDEX(Strategy!$F$36:$F$90,MATCH(P76,Strategy!$B$36:$B$90,0)))</x:f>
        <x:v>seconds</x:v>
      </x:c>
      <x:c r="X76" s="370" t="n">
        <x:f>IF(OR(COUNT(R76:V76)&lt;&gt;5,Q76&lt;&gt;W76,T76&lt;0,T76&gt;10,U76&lt;=0,V76&lt;=0,R76&lt;0,R76&lt;&gt;INT(R76),S76&lt;=0),"",T76*R76*S76/(U76*V76))</x:f>
        <x:v>0.6666666666666666</x:v>
      </x:c>
      <x:c r="Y76" s="374" t="str"/>
    </x:row>
    <x:row r="77" ht="15" hidden="0" customHeight="1">
      <x:c r="A77" s="326" t="n">
        <x:f>Daily!A24</x:f>
        <x:v>46357.5</x:v>
      </x:c>
      <x:c r="B77" s="318" t="str">
        <x:f>Daily!D24</x:f>
        <x:v>Handstand technique</x:v>
      </x:c>
      <x:c r="C77" s="318" t="str">
        <x:v>A · Wrist/shoulder mobility</x:v>
      </x:c>
      <x:c r="D77" s="318" t="str">
        <x:v>seconds</x:v>
      </x:c>
      <x:c r="E77" s="320" t="b">
        <x:v>1</x:v>
      </x:c>
      <x:c r="F77" s="328" t="n">
        <x:v>120</x:v>
      </x:c>
      <x:c r="G77" s="329" t="str">
        <x:f>IF(AND(OR(Daily!H24=TRUE,Daily!AB24=TRUE),COUNT(Daily!I24)&gt;0),SUM(Daily!I24)*86400,"")</x:f>
      </x:c>
      <x:c r="H77" s="329" t="n">
        <x:f>IF(AND(E77=TRUE,ISNUMBER(F77),F77&gt;0),100,"")</x:f>
        <x:v>100</x:v>
      </x:c>
      <x:c r="I77" s="329" t="str">
        <x:f>IF(AND(ISNUMBER(H77),ISNUMBER(G77)),IF(J77="lower",IF(G77&gt;0,100*F77/G77,""),100*G77/F77),"")</x:f>
      </x:c>
      <x:c r="J77" s="321" t="str">
        <x:v>higher</x:v>
      </x:c>
      <x:c r="N77" s="363" t="n">
        <x:f>Daily!A17</x:f>
        <x:v>46345.5</x:v>
      </x:c>
      <x:c r="O77" s="359" t="str">
        <x:f>Daily!D17</x:f>
        <x:v>Skill B + interval circuit</x:v>
      </x:c>
      <x:c r="P77" s="371" t="str">
        <x:v>Assisted pistol</x:v>
      </x:c>
      <x:c r="Q77" s="360" t="str">
        <x:v>reps/leg</x:v>
      </x:c>
      <x:c r="R77" s="365" t="n">
        <x:v>1</x:v>
      </x:c>
      <x:c r="S77" s="365" t="n">
        <x:v>3</x:v>
      </x:c>
      <x:c r="T77" s="366" t="n">
        <x:f>IF(OR(COUNTIFS(Strategy!$B$36:$B$90,P77)&lt;&gt;1,COUNTIFS(Strategy!$B$36:$B$90,P77,Strategy!$C$36:$C$90,"&lt;&gt;")&lt;&gt;1),"",INDEX(Strategy!$C$36:$C$90,MATCH(P77,Strategy!$B$36:$B$90,0)))</x:f>
        <x:v>2</x:v>
      </x:c>
      <x:c r="U77" s="366" t="n">
        <x:f>IF(OR(COUNTIFS(Strategy!$B$36:$B$90,P77)&lt;&gt;1,COUNTIFS(Strategy!$B$36:$B$90,P77,Strategy!$D$36:$D$90,"&lt;&gt;")&lt;&gt;1),"",INDEX(Strategy!$D$36:$D$90,MATCH(P77,Strategy!$B$36:$B$90,0)))</x:f>
        <x:v>3</x:v>
      </x:c>
      <x:c r="V77" s="366" t="n">
        <x:f>IF(OR(COUNTIFS(Strategy!$B$36:$B$90,P77)&lt;&gt;1,COUNTIFS(Strategy!$B$36:$B$90,P77,Strategy!$E$36:$E$90,"&lt;&gt;")&lt;&gt;1),"",INDEX(Strategy!$E$36:$E$90,MATCH(P77,Strategy!$B$36:$B$90,0)))</x:f>
        <x:v>10</x:v>
      </x:c>
      <x:c r="W77" s="359" t="str">
        <x:f>IF(OR(COUNTIFS(Strategy!$B$36:$B$90,P77)&lt;&gt;1,COUNTIFS(Strategy!$B$36:$B$90,P77,Strategy!$F$36:$F$90,"&lt;&gt;")&lt;&gt;1),"",INDEX(Strategy!$F$36:$F$90,MATCH(P77,Strategy!$B$36:$B$90,0)))</x:f>
        <x:v>reps/leg</x:v>
      </x:c>
      <x:c r="X77" s="369" t="n">
        <x:f>IF(OR(COUNT(R77:V77)&lt;&gt;5,Q77&lt;&gt;W77,T77&lt;0,T77&gt;10,U77&lt;=0,V77&lt;=0,R77&lt;0,R77&lt;&gt;INT(R77),S77&lt;=0),"",T77*R77*S77/(U77*V77))</x:f>
        <x:v>0.2</x:v>
      </x:c>
      <x:c r="Y77" s="373" t="str"/>
    </x:row>
    <x:row r="78" ht="15" hidden="0" customHeight="1">
      <x:c r="A78" s="327" t="n">
        <x:f>Daily!A24</x:f>
        <x:v>46357.5</x:v>
      </x:c>
      <x:c r="B78" s="322" t="str">
        <x:f>Daily!D24</x:f>
        <x:v>Handstand technique</x:v>
      </x:c>
      <x:c r="C78" s="322" t="str">
        <x:v>B · Easy chest-to-wall hold</x:v>
      </x:c>
      <x:c r="D78" s="322" t="str">
        <x:v>seconds</x:v>
      </x:c>
      <x:c r="E78" s="324" t="b">
        <x:v>1</x:v>
      </x:c>
      <x:c r="F78" s="330" t="n">
        <x:v>45</x:v>
      </x:c>
      <x:c r="G78" s="331" t="str">
        <x:f>IF(AND(OR(Daily!N24=TRUE,Daily!AB24=TRUE),COUNT(Daily!O24,Daily!P24,Daily!Q24)&gt;0),SUM(Daily!O24,Daily!P24,Daily!Q24)*86400,"")</x:f>
      </x:c>
      <x:c r="H78" s="331" t="n">
        <x:f>IF(AND(E78=TRUE,ISNUMBER(F78),F78&gt;0),100,"")</x:f>
        <x:v>100</x:v>
      </x:c>
      <x:c r="I78" s="331" t="str">
        <x:f>IF(AND(ISNUMBER(H78),ISNUMBER(G78)),IF(J78="lower",IF(G78&gt;0,100*F78/G78,""),100*G78/F78),"")</x:f>
      </x:c>
      <x:c r="J78" s="325" t="str">
        <x:v>higher</x:v>
      </x:c>
      <x:c r="N78" s="364" t="n">
        <x:f>Daily!A17</x:f>
        <x:v>46345.5</x:v>
      </x:c>
      <x:c r="O78" s="361" t="str">
        <x:f>Daily!D17</x:f>
        <x:v>Skill B + interval circuit</x:v>
      </x:c>
      <x:c r="P78" s="372" t="str">
        <x:v>Pull-up</x:v>
      </x:c>
      <x:c r="Q78" s="362" t="str">
        <x:v>seconds</x:v>
      </x:c>
      <x:c r="R78" s="367" t="n">
        <x:v>3</x:v>
      </x:c>
      <x:c r="S78" s="367" t="n">
        <x:v>30</x:v>
      </x:c>
      <x:c r="T78" s="368" t="n">
        <x:f>IF(OR(COUNTIFS(Strategy!$B$36:$B$90,P78)&lt;&gt;1,COUNTIFS(Strategy!$B$36:$B$90,P78,Strategy!$C$36:$C$90,"&lt;&gt;")&lt;&gt;1),"",INDEX(Strategy!$C$36:$C$90,MATCH(P78,Strategy!$B$36:$B$90,0)))</x:f>
        <x:v>1</x:v>
      </x:c>
      <x:c r="U78" s="368" t="n">
        <x:f>IF(OR(COUNTIFS(Strategy!$B$36:$B$90,P78)&lt;&gt;1,COUNTIFS(Strategy!$B$36:$B$90,P78,Strategy!$D$36:$D$90,"&lt;&gt;")&lt;&gt;1),"",INDEX(Strategy!$D$36:$D$90,MATCH(P78,Strategy!$B$36:$B$90,0)))</x:f>
        <x:v>5</x:v>
      </x:c>
      <x:c r="V78" s="368" t="n">
        <x:f>IF(OR(COUNTIFS(Strategy!$B$36:$B$90,P78)&lt;&gt;1,COUNTIFS(Strategy!$B$36:$B$90,P78,Strategy!$E$36:$E$90,"&lt;&gt;")&lt;&gt;1),"",INDEX(Strategy!$E$36:$E$90,MATCH(P78,Strategy!$B$36:$B$90,0)))</x:f>
        <x:v>120</x:v>
      </x:c>
      <x:c r="W78" s="361" t="str">
        <x:f>IF(OR(COUNTIFS(Strategy!$B$36:$B$90,P78)&lt;&gt;1,COUNTIFS(Strategy!$B$36:$B$90,P78,Strategy!$F$36:$F$90,"&lt;&gt;")&lt;&gt;1),"",INDEX(Strategy!$F$36:$F$90,MATCH(P78,Strategy!$B$36:$B$90,0)))</x:f>
        <x:v>seconds</x:v>
      </x:c>
      <x:c r="X78" s="370" t="n">
        <x:f>IF(OR(COUNT(R78:V78)&lt;&gt;5,Q78&lt;&gt;W78,T78&lt;0,T78&gt;10,U78&lt;=0,V78&lt;=0,R78&lt;0,R78&lt;&gt;INT(R78),S78&lt;=0),"",T78*R78*S78/(U78*V78))</x:f>
        <x:v>0.15</x:v>
      </x:c>
      <x:c r="Y78" s="374" t="str">
        <x:v>Core: one 30-second work interval per round; rest excluded.</x:v>
      </x:c>
    </x:row>
    <x:row r="79" ht="15" hidden="0" customHeight="1">
      <x:c r="A79" s="326" t="n">
        <x:f>Daily!A24</x:f>
        <x:v>46357.5</x:v>
      </x:c>
      <x:c r="B79" s="318" t="str">
        <x:f>Daily!D24</x:f>
        <x:v>Handstand technique</x:v>
      </x:c>
      <x:c r="C79" s="318" t="str">
        <x:v>C · Wall handstand line drill</x:v>
      </x:c>
      <x:c r="D79" s="318" t="str">
        <x:v>seconds</x:v>
      </x:c>
      <x:c r="E79" s="320" t="b">
        <x:v>1</x:v>
      </x:c>
      <x:c r="F79" s="328" t="n">
        <x:v>30</x:v>
      </x:c>
      <x:c r="G79" s="329" t="str">
        <x:f>IF(AND(OR(Daily!T24=TRUE,Daily!AB24=TRUE),COUNT(Daily!U24,Daily!V24)&gt;0),SUM(Daily!U24,Daily!V24)*86400,"")</x:f>
      </x:c>
      <x:c r="H79" s="329" t="n">
        <x:f>IF(AND(E79=TRUE,ISNUMBER(F79),F79&gt;0),100,"")</x:f>
        <x:v>100</x:v>
      </x:c>
      <x:c r="I79" s="329" t="str">
        <x:f>IF(AND(ISNUMBER(H79),ISNUMBER(G79)),IF(J79="lower",IF(G79&gt;0,100*F79/G79,""),100*G79/F79),"")</x:f>
      </x:c>
      <x:c r="J79" s="321" t="str">
        <x:v>higher</x:v>
      </x:c>
      <x:c r="N79" s="363" t="n">
        <x:f>Daily!A17</x:f>
        <x:v>46345.5</x:v>
      </x:c>
      <x:c r="O79" s="359" t="str">
        <x:f>Daily!D17</x:f>
        <x:v>Skill B + interval circuit</x:v>
      </x:c>
      <x:c r="P79" s="371" t="str">
        <x:v>Push-up</x:v>
      </x:c>
      <x:c r="Q79" s="360" t="str">
        <x:v>seconds</x:v>
      </x:c>
      <x:c r="R79" s="365" t="n">
        <x:v>3</x:v>
      </x:c>
      <x:c r="S79" s="365" t="n">
        <x:v>30</x:v>
      </x:c>
      <x:c r="T79" s="366" t="n">
        <x:f>IF(OR(COUNTIFS(Strategy!$B$36:$B$90,P79)&lt;&gt;1,COUNTIFS(Strategy!$B$36:$B$90,P79,Strategy!$C$36:$C$90,"&lt;&gt;")&lt;&gt;1),"",INDEX(Strategy!$C$36:$C$90,MATCH(P79,Strategy!$B$36:$B$90,0)))</x:f>
        <x:v>1</x:v>
      </x:c>
      <x:c r="U79" s="366" t="n">
        <x:f>IF(OR(COUNTIFS(Strategy!$B$36:$B$90,P79)&lt;&gt;1,COUNTIFS(Strategy!$B$36:$B$90,P79,Strategy!$D$36:$D$90,"&lt;&gt;")&lt;&gt;1),"",INDEX(Strategy!$D$36:$D$90,MATCH(P79,Strategy!$B$36:$B$90,0)))</x:f>
        <x:v>5</x:v>
      </x:c>
      <x:c r="V79" s="366" t="n">
        <x:f>IF(OR(COUNTIFS(Strategy!$B$36:$B$90,P79)&lt;&gt;1,COUNTIFS(Strategy!$B$36:$B$90,P79,Strategy!$E$36:$E$90,"&lt;&gt;")&lt;&gt;1),"",INDEX(Strategy!$E$36:$E$90,MATCH(P79,Strategy!$B$36:$B$90,0)))</x:f>
        <x:v>120</x:v>
      </x:c>
      <x:c r="W79" s="359" t="str">
        <x:f>IF(OR(COUNTIFS(Strategy!$B$36:$B$90,P79)&lt;&gt;1,COUNTIFS(Strategy!$B$36:$B$90,P79,Strategy!$F$36:$F$90,"&lt;&gt;")&lt;&gt;1),"",INDEX(Strategy!$F$36:$F$90,MATCH(P79,Strategy!$B$36:$B$90,0)))</x:f>
        <x:v>seconds</x:v>
      </x:c>
      <x:c r="X79" s="369" t="n">
        <x:f>IF(OR(COUNT(R79:V79)&lt;&gt;5,Q79&lt;&gt;W79,T79&lt;0,T79&gt;10,U79&lt;=0,V79&lt;=0,R79&lt;0,R79&lt;&gt;INT(R79),S79&lt;=0),"",T79*R79*S79/(U79*V79))</x:f>
        <x:v>0.15</x:v>
      </x:c>
      <x:c r="Y79" s="373" t="str">
        <x:v>Core: one 30-second work interval per round; rest excluded.</x:v>
      </x:c>
    </x:row>
    <x:row r="80" ht="15" hidden="0" customHeight="1">
      <x:c r="A80" s="327" t="n">
        <x:f>Daily!A25</x:f>
        <x:v>46359.5</x:v>
      </x:c>
      <x:c r="B80" s="322" t="str">
        <x:f>Daily!D25</x:f>
        <x:v>Skill B + circuit</x:v>
      </x:c>
      <x:c r="C80" s="322" t="str">
        <x:v>A · Partial wall HSPU</x:v>
      </x:c>
      <x:c r="D80" s="322" t="str">
        <x:v>reps</x:v>
      </x:c>
      <x:c r="E80" s="324" t="b">
        <x:v>1</x:v>
      </x:c>
      <x:c r="F80" s="330" t="n">
        <x:v>9</x:v>
      </x:c>
      <x:c r="G80" s="331" t="str">
        <x:f>IF(AND(OR(Daily!H25=TRUE,Daily!AB25=TRUE),COUNT(Daily!I25,Daily!J25,Daily!K25)&gt;0),SUM(Daily!I25,Daily!J25,Daily!K25),"")</x:f>
      </x:c>
      <x:c r="H80" s="331" t="n">
        <x:f>IF(AND(E80=TRUE,ISNUMBER(F80),F80&gt;0),100,"")</x:f>
        <x:v>100</x:v>
      </x:c>
      <x:c r="I80" s="331" t="str">
        <x:f>IF(AND(ISNUMBER(H80),ISNUMBER(G80)),IF(J80="lower",IF(G80&gt;0,100*F80/G80,""),100*G80/F80),"")</x:f>
      </x:c>
      <x:c r="J80" s="325" t="str">
        <x:v>higher</x:v>
      </x:c>
      <x:c r="N80" s="364" t="n">
        <x:f>Daily!A17</x:f>
        <x:v>46345.5</x:v>
      </x:c>
      <x:c r="O80" s="361" t="str">
        <x:f>Daily!D17</x:f>
        <x:v>Skill B + interval circuit</x:v>
      </x:c>
      <x:c r="P80" s="372" t="str">
        <x:v>Weighted squat</x:v>
      </x:c>
      <x:c r="Q80" s="362" t="str">
        <x:v>seconds</x:v>
      </x:c>
      <x:c r="R80" s="367" t="n">
        <x:v>3</x:v>
      </x:c>
      <x:c r="S80" s="367" t="n">
        <x:v>30</x:v>
      </x:c>
      <x:c r="T80" s="368" t="n">
        <x:f>IF(OR(COUNTIFS(Strategy!$B$36:$B$90,P80)&lt;&gt;1,COUNTIFS(Strategy!$B$36:$B$90,P80,Strategy!$C$36:$C$90,"&lt;&gt;")&lt;&gt;1),"",INDEX(Strategy!$C$36:$C$90,MATCH(P80,Strategy!$B$36:$B$90,0)))</x:f>
        <x:v>1</x:v>
      </x:c>
      <x:c r="U80" s="368" t="n">
        <x:f>IF(OR(COUNTIFS(Strategy!$B$36:$B$90,P80)&lt;&gt;1,COUNTIFS(Strategy!$B$36:$B$90,P80,Strategy!$D$36:$D$90,"&lt;&gt;")&lt;&gt;1),"",INDEX(Strategy!$D$36:$D$90,MATCH(P80,Strategy!$B$36:$B$90,0)))</x:f>
        <x:v>5</x:v>
      </x:c>
      <x:c r="V80" s="368" t="n">
        <x:f>IF(OR(COUNTIFS(Strategy!$B$36:$B$90,P80)&lt;&gt;1,COUNTIFS(Strategy!$B$36:$B$90,P80,Strategy!$E$36:$E$90,"&lt;&gt;")&lt;&gt;1),"",INDEX(Strategy!$E$36:$E$90,MATCH(P80,Strategy!$B$36:$B$90,0)))</x:f>
        <x:v>120</x:v>
      </x:c>
      <x:c r="W80" s="361" t="str">
        <x:f>IF(OR(COUNTIFS(Strategy!$B$36:$B$90,P80)&lt;&gt;1,COUNTIFS(Strategy!$B$36:$B$90,P80,Strategy!$F$36:$F$90,"&lt;&gt;")&lt;&gt;1),"",INDEX(Strategy!$F$36:$F$90,MATCH(P80,Strategy!$B$36:$B$90,0)))</x:f>
        <x:v>seconds</x:v>
      </x:c>
      <x:c r="X80" s="370" t="n">
        <x:f>IF(OR(COUNT(R80:V80)&lt;&gt;5,Q80&lt;&gt;W80,T80&lt;0,T80&gt;10,U80&lt;=0,V80&lt;=0,R80&lt;0,R80&lt;&gt;INT(R80),S80&lt;=0),"",T80*R80*S80/(U80*V80))</x:f>
        <x:v>0.15</x:v>
      </x:c>
      <x:c r="Y80" s="374" t="str">
        <x:v>Core: one 30-second work interval per round; rest excluded.</x:v>
      </x:c>
    </x:row>
    <x:row r="81" ht="15" hidden="0" customHeight="1">
      <x:c r="A81" s="326" t="n">
        <x:f>Daily!A25</x:f>
        <x:v>46359.5</x:v>
      </x:c>
      <x:c r="B81" s="318" t="str">
        <x:f>Daily!D25</x:f>
        <x:v>Skill B + circuit</x:v>
      </x:c>
      <x:c r="C81" s="318" t="str">
        <x:v>C · Light-counterweight pistol</x:v>
      </x:c>
      <x:c r="D81" s="318" t="str">
        <x:v>reps/leg</x:v>
      </x:c>
      <x:c r="E81" s="320" t="b">
        <x:v>1</x:v>
      </x:c>
      <x:c r="F81" s="328" t="n">
        <x:v>12</x:v>
      </x:c>
      <x:c r="G81" s="329" t="str">
        <x:f>IF(AND(OR(Daily!T25=TRUE,Daily!AB25=TRUE),COUNT(Daily!U25,Daily!V25,Daily!W25)&gt;0),SUM(Daily!U25,Daily!V25,Daily!W25),"")</x:f>
      </x:c>
      <x:c r="H81" s="329" t="n">
        <x:f>IF(AND(E81=TRUE,ISNUMBER(F81),F81&gt;0),100,"")</x:f>
        <x:v>100</x:v>
      </x:c>
      <x:c r="I81" s="329" t="str">
        <x:f>IF(AND(ISNUMBER(H81),ISNUMBER(G81)),IF(J81="lower",IF(G81&gt;0,100*F81/G81,""),100*G81/F81),"")</x:f>
      </x:c>
      <x:c r="J81" s="321" t="str">
        <x:v>higher</x:v>
      </x:c>
      <x:c r="N81" s="363" t="n">
        <x:f>Daily!A17</x:f>
        <x:v>46345.5</x:v>
      </x:c>
      <x:c r="O81" s="359" t="str">
        <x:f>Daily!D17</x:f>
        <x:v>Skill B + interval circuit</x:v>
      </x:c>
      <x:c r="P81" s="371" t="str">
        <x:v>Upside-down hanging shoulder/ab work</x:v>
      </x:c>
      <x:c r="Q81" s="360" t="str">
        <x:v>seconds</x:v>
      </x:c>
      <x:c r="R81" s="365" t="n">
        <x:v>3</x:v>
      </x:c>
      <x:c r="S81" s="365" t="n">
        <x:v>30</x:v>
      </x:c>
      <x:c r="T81" s="366" t="n">
        <x:f>IF(OR(COUNTIFS(Strategy!$B$36:$B$90,P81)&lt;&gt;1,COUNTIFS(Strategy!$B$36:$B$90,P81,Strategy!$C$36:$C$90,"&lt;&gt;")&lt;&gt;1),"",INDEX(Strategy!$C$36:$C$90,MATCH(P81,Strategy!$B$36:$B$90,0)))</x:f>
        <x:v>1</x:v>
      </x:c>
      <x:c r="U81" s="366" t="n">
        <x:f>IF(OR(COUNTIFS(Strategy!$B$36:$B$90,P81)&lt;&gt;1,COUNTIFS(Strategy!$B$36:$B$90,P81,Strategy!$D$36:$D$90,"&lt;&gt;")&lt;&gt;1),"",INDEX(Strategy!$D$36:$D$90,MATCH(P81,Strategy!$B$36:$B$90,0)))</x:f>
        <x:v>5</x:v>
      </x:c>
      <x:c r="V81" s="366" t="n">
        <x:f>IF(OR(COUNTIFS(Strategy!$B$36:$B$90,P81)&lt;&gt;1,COUNTIFS(Strategy!$B$36:$B$90,P81,Strategy!$E$36:$E$90,"&lt;&gt;")&lt;&gt;1),"",INDEX(Strategy!$E$36:$E$90,MATCH(P81,Strategy!$B$36:$B$90,0)))</x:f>
        <x:v>120</x:v>
      </x:c>
      <x:c r="W81" s="359" t="str">
        <x:f>IF(OR(COUNTIFS(Strategy!$B$36:$B$90,P81)&lt;&gt;1,COUNTIFS(Strategy!$B$36:$B$90,P81,Strategy!$F$36:$F$90,"&lt;&gt;")&lt;&gt;1),"",INDEX(Strategy!$F$36:$F$90,MATCH(P81,Strategy!$B$36:$B$90,0)))</x:f>
        <x:v>seconds</x:v>
      </x:c>
      <x:c r="X81" s="369" t="n">
        <x:f>IF(OR(COUNT(R81:V81)&lt;&gt;5,Q81&lt;&gt;W81,T81&lt;0,T81&gt;10,U81&lt;=0,V81&lt;=0,R81&lt;0,R81&lt;&gt;INT(R81),S81&lt;=0),"",T81*R81*S81/(U81*V81))</x:f>
        <x:v>0.15</x:v>
      </x:c>
      <x:c r="Y81" s="373" t="str">
        <x:v>Core: one 30-second work interval per round; rest excluded.</x:v>
      </x:c>
    </x:row>
    <x:row r="82" ht="15" hidden="0" customHeight="1">
      <x:c r="A82" s="327" t="n">
        <x:f>Daily!A25</x:f>
        <x:v>46359.5</x:v>
      </x:c>
      <x:c r="B82" s="322" t="str">
        <x:f>Daily!D25</x:f>
        <x:v>Skill B + circuit</x:v>
      </x:c>
      <x:c r="C82" s="322" t="str">
        <x:v>Core</x:v>
      </x:c>
      <x:c r="D82" s="322" t="str">
        <x:v>rounds</x:v>
      </x:c>
      <x:c r="E82" s="324" t="b">
        <x:v>1</x:v>
      </x:c>
      <x:c r="F82" s="330" t="n">
        <x:v>5</x:v>
      </x:c>
      <x:c r="G82" s="331" t="str">
        <x:f>IF(AND(OR(Daily!Z25=TRUE,Daily!AB25=TRUE),COUNT(Daily!AA25)&gt;0),SUM(Daily!AA25),"")</x:f>
      </x:c>
      <x:c r="H82" s="331" t="n">
        <x:f>IF(AND(E82=TRUE,ISNUMBER(F82),F82&gt;0),100,"")</x:f>
        <x:v>100</x:v>
      </x:c>
      <x:c r="I82" s="331" t="str">
        <x:f>IF(AND(ISNUMBER(H82),ISNUMBER(G82)),IF(J82="lower",IF(G82&gt;0,100*F82/G82,""),100*G82/F82),"")</x:f>
      </x:c>
      <x:c r="J82" s="325" t="str">
        <x:v>higher</x:v>
      </x:c>
      <x:c r="N82" s="364" t="n">
        <x:f>Daily!A18</x:f>
        <x:v>46347.5</x:v>
      </x:c>
      <x:c r="O82" s="361" t="str">
        <x:f>Daily!D18</x:f>
        <x:v>Skill micro-session</x:v>
      </x:c>
      <x:c r="P82" s="372" t="str">
        <x:v>Wrist/shoulder mobility</x:v>
      </x:c>
      <x:c r="Q82" s="362" t="str">
        <x:v>seconds</x:v>
      </x:c>
      <x:c r="R82" s="367" t="n">
        <x:v>1</x:v>
      </x:c>
      <x:c r="S82" s="367" t="n">
        <x:v>60</x:v>
      </x:c>
      <x:c r="T82" s="368" t="n">
        <x:f>IF(OR(COUNTIFS(Strategy!$B$36:$B$90,P82)&lt;&gt;1,COUNTIFS(Strategy!$B$36:$B$90,P82,Strategy!$C$36:$C$90,"&lt;&gt;")&lt;&gt;1),"",INDEX(Strategy!$C$36:$C$90,MATCH(P82,Strategy!$B$36:$B$90,0)))</x:f>
        <x:v>1</x:v>
      </x:c>
      <x:c r="U82" s="368" t="n">
        <x:f>IF(OR(COUNTIFS(Strategy!$B$36:$B$90,P82)&lt;&gt;1,COUNTIFS(Strategy!$B$36:$B$90,P82,Strategy!$D$36:$D$90,"&lt;&gt;")&lt;&gt;1),"",INDEX(Strategy!$D$36:$D$90,MATCH(P82,Strategy!$B$36:$B$90,0)))</x:f>
        <x:v>3</x:v>
      </x:c>
      <x:c r="V82" s="368" t="n">
        <x:f>IF(OR(COUNTIFS(Strategy!$B$36:$B$90,P82)&lt;&gt;1,COUNTIFS(Strategy!$B$36:$B$90,P82,Strategy!$E$36:$E$90,"&lt;&gt;")&lt;&gt;1),"",INDEX(Strategy!$E$36:$E$90,MATCH(P82,Strategy!$B$36:$B$90,0)))</x:f>
        <x:v>60</x:v>
      </x:c>
      <x:c r="W82" s="361" t="str">
        <x:f>IF(OR(COUNTIFS(Strategy!$B$36:$B$90,P82)&lt;&gt;1,COUNTIFS(Strategy!$B$36:$B$90,P82,Strategy!$F$36:$F$90,"&lt;&gt;")&lt;&gt;1),"",INDEX(Strategy!$F$36:$F$90,MATCH(P82,Strategy!$B$36:$B$90,0)))</x:f>
        <x:v>seconds</x:v>
      </x:c>
      <x:c r="X82" s="370" t="n">
        <x:f>IF(OR(COUNT(R82:V82)&lt;&gt;5,Q82&lt;&gt;W82,T82&lt;0,T82&gt;10,U82&lt;=0,V82&lt;=0,R82&lt;0,R82&lt;&gt;INT(R82),S82&lt;=0),"",T82*R82*S82/(U82*V82))</x:f>
        <x:v>0.3333333333333333</x:v>
      </x:c>
      <x:c r="Y82" s="374" t="str"/>
    </x:row>
    <x:row r="83" ht="15" hidden="0" customHeight="1">
      <x:c r="A83" s="326" t="n">
        <x:f>Daily!A26</x:f>
        <x:v>46361.5</x:v>
      </x:c>
      <x:c r="B83" s="318" t="str">
        <x:f>Daily!D26</x:f>
        <x:v>Skill micro-session</x:v>
      </x:c>
      <x:c r="C83" s="318" t="str">
        <x:v>A · Wrist/shoulder mobility</x:v>
      </x:c>
      <x:c r="D83" s="318" t="str">
        <x:v>seconds</x:v>
      </x:c>
      <x:c r="E83" s="320" t="b">
        <x:v>1</x:v>
      </x:c>
      <x:c r="F83" s="328" t="n">
        <x:v>120</x:v>
      </x:c>
      <x:c r="G83" s="329" t="str">
        <x:f>IF(AND(OR(Daily!H26=TRUE,Daily!AB26=TRUE),COUNT(Daily!I26)&gt;0),SUM(Daily!I26)*86400,"")</x:f>
      </x:c>
      <x:c r="H83" s="329" t="n">
        <x:f>IF(AND(E83=TRUE,ISNUMBER(F83),F83&gt;0),100,"")</x:f>
        <x:v>100</x:v>
      </x:c>
      <x:c r="I83" s="329" t="str">
        <x:f>IF(AND(ISNUMBER(H83),ISNUMBER(G83)),IF(J83="lower",IF(G83&gt;0,100*F83/G83,""),100*G83/F83),"")</x:f>
      </x:c>
      <x:c r="J83" s="321" t="str">
        <x:v>higher</x:v>
      </x:c>
      <x:c r="N83" s="363" t="n">
        <x:f>Daily!A18</x:f>
        <x:v>46347.5</x:v>
      </x:c>
      <x:c r="O83" s="359" t="str">
        <x:f>Daily!D18</x:f>
        <x:v>Skill micro-session</x:v>
      </x:c>
      <x:c r="P83" s="371" t="str">
        <x:v>Easy chest-to-wall hold</x:v>
      </x:c>
      <x:c r="Q83" s="360" t="str">
        <x:v>seconds</x:v>
      </x:c>
      <x:c r="R83" s="365" t="n">
        <x:v>2</x:v>
      </x:c>
      <x:c r="S83" s="365" t="n">
        <x:v>10</x:v>
      </x:c>
      <x:c r="T83" s="366" t="n">
        <x:f>IF(OR(COUNTIFS(Strategy!$B$36:$B$90,P83)&lt;&gt;1,COUNTIFS(Strategy!$B$36:$B$90,P83,Strategy!$C$36:$C$90,"&lt;&gt;")&lt;&gt;1),"",INDEX(Strategy!$C$36:$C$90,MATCH(P83,Strategy!$B$36:$B$90,0)))</x:f>
        <x:v>1</x:v>
      </x:c>
      <x:c r="U83" s="366" t="n">
        <x:f>IF(OR(COUNTIFS(Strategy!$B$36:$B$90,P83)&lt;&gt;1,COUNTIFS(Strategy!$B$36:$B$90,P83,Strategy!$D$36:$D$90,"&lt;&gt;")&lt;&gt;1),"",INDEX(Strategy!$D$36:$D$90,MATCH(P83,Strategy!$B$36:$B$90,0)))</x:f>
        <x:v>3</x:v>
      </x:c>
      <x:c r="V83" s="366" t="n">
        <x:f>IF(OR(COUNTIFS(Strategy!$B$36:$B$90,P83)&lt;&gt;1,COUNTIFS(Strategy!$B$36:$B$90,P83,Strategy!$E$36:$E$90,"&lt;&gt;")&lt;&gt;1),"",INDEX(Strategy!$E$36:$E$90,MATCH(P83,Strategy!$B$36:$B$90,0)))</x:f>
        <x:v>60</x:v>
      </x:c>
      <x:c r="W83" s="359" t="str">
        <x:f>IF(OR(COUNTIFS(Strategy!$B$36:$B$90,P83)&lt;&gt;1,COUNTIFS(Strategy!$B$36:$B$90,P83,Strategy!$F$36:$F$90,"&lt;&gt;")&lt;&gt;1),"",INDEX(Strategy!$F$36:$F$90,MATCH(P83,Strategy!$B$36:$B$90,0)))</x:f>
        <x:v>seconds</x:v>
      </x:c>
      <x:c r="X83" s="369" t="n">
        <x:f>IF(OR(COUNT(R83:V83)&lt;&gt;5,Q83&lt;&gt;W83,T83&lt;0,T83&gt;10,U83&lt;=0,V83&lt;=0,R83&lt;0,R83&lt;&gt;INT(R83),S83&lt;=0),"",T83*R83*S83/(U83*V83))</x:f>
        <x:v>0.1111111111111111</x:v>
      </x:c>
      <x:c r="Y83" s="373" t="str"/>
    </x:row>
    <x:row r="84" ht="15" hidden="0" customHeight="1">
      <x:c r="A84" s="327" t="n">
        <x:f>Daily!A26</x:f>
        <x:v>46361.5</x:v>
      </x:c>
      <x:c r="B84" s="322" t="str">
        <x:f>Daily!D26</x:f>
        <x:v>Skill micro-session</x:v>
      </x:c>
      <x:c r="C84" s="322" t="str">
        <x:v>B · Easy chest-to-wall hold</x:v>
      </x:c>
      <x:c r="D84" s="322" t="str">
        <x:v>seconds</x:v>
      </x:c>
      <x:c r="E84" s="324" t="b">
        <x:v>1</x:v>
      </x:c>
      <x:c r="F84" s="330" t="n">
        <x:v>45</x:v>
      </x:c>
      <x:c r="G84" s="331" t="str">
        <x:f>IF(AND(OR(Daily!N26=TRUE,Daily!AB26=TRUE),COUNT(Daily!O26,Daily!P26,Daily!Q26)&gt;0),SUM(Daily!O26,Daily!P26,Daily!Q26)*86400,"")</x:f>
      </x:c>
      <x:c r="H84" s="331" t="n">
        <x:f>IF(AND(E84=TRUE,ISNUMBER(F84),F84&gt;0),100,"")</x:f>
        <x:v>100</x:v>
      </x:c>
      <x:c r="I84" s="331" t="str">
        <x:f>IF(AND(ISNUMBER(H84),ISNUMBER(G84)),IF(J84="lower",IF(G84&gt;0,100*F84/G84,""),100*G84/F84),"")</x:f>
      </x:c>
      <x:c r="J84" s="325" t="str">
        <x:v>higher</x:v>
      </x:c>
      <x:c r="N84" s="364" t="n">
        <x:f>Daily!A18</x:f>
        <x:v>46347.5</x:v>
      </x:c>
      <x:c r="O84" s="361" t="str">
        <x:f>Daily!D18</x:f>
        <x:v>Skill micro-session</x:v>
      </x:c>
      <x:c r="P84" s="372" t="str">
        <x:v>Wall handstand line drill</x:v>
      </x:c>
      <x:c r="Q84" s="362" t="str">
        <x:v>seconds</x:v>
      </x:c>
      <x:c r="R84" s="367" t="n">
        <x:v>1</x:v>
      </x:c>
      <x:c r="S84" s="367" t="n">
        <x:v>10</x:v>
      </x:c>
      <x:c r="T84" s="368" t="n">
        <x:f>IF(OR(COUNTIFS(Strategy!$B$36:$B$90,P84)&lt;&gt;1,COUNTIFS(Strategy!$B$36:$B$90,P84,Strategy!$C$36:$C$90,"&lt;&gt;")&lt;&gt;1),"",INDEX(Strategy!$C$36:$C$90,MATCH(P84,Strategy!$B$36:$B$90,0)))</x:f>
        <x:v>1</x:v>
      </x:c>
      <x:c r="U84" s="368" t="n">
        <x:f>IF(OR(COUNTIFS(Strategy!$B$36:$B$90,P84)&lt;&gt;1,COUNTIFS(Strategy!$B$36:$B$90,P84,Strategy!$D$36:$D$90,"&lt;&gt;")&lt;&gt;1),"",INDEX(Strategy!$D$36:$D$90,MATCH(P84,Strategy!$B$36:$B$90,0)))</x:f>
        <x:v>3</x:v>
      </x:c>
      <x:c r="V84" s="368" t="n">
        <x:f>IF(OR(COUNTIFS(Strategy!$B$36:$B$90,P84)&lt;&gt;1,COUNTIFS(Strategy!$B$36:$B$90,P84,Strategy!$E$36:$E$90,"&lt;&gt;")&lt;&gt;1),"",INDEX(Strategy!$E$36:$E$90,MATCH(P84,Strategy!$B$36:$B$90,0)))</x:f>
        <x:v>60</x:v>
      </x:c>
      <x:c r="W84" s="361" t="str">
        <x:f>IF(OR(COUNTIFS(Strategy!$B$36:$B$90,P84)&lt;&gt;1,COUNTIFS(Strategy!$B$36:$B$90,P84,Strategy!$F$36:$F$90,"&lt;&gt;")&lt;&gt;1),"",INDEX(Strategy!$F$36:$F$90,MATCH(P84,Strategy!$B$36:$B$90,0)))</x:f>
        <x:v>seconds</x:v>
      </x:c>
      <x:c r="X84" s="370" t="n">
        <x:f>IF(OR(COUNT(R84:V84)&lt;&gt;5,Q84&lt;&gt;W84,T84&lt;0,T84&gt;10,U84&lt;=0,V84&lt;=0,R84&lt;0,R84&lt;&gt;INT(R84),S84&lt;=0),"",T84*R84*S84/(U84*V84))</x:f>
        <x:v>0.05555555555555555</x:v>
      </x:c>
      <x:c r="Y84" s="374" t="str"/>
    </x:row>
    <x:row r="85" ht="15" hidden="0" customHeight="1">
      <x:c r="A85" s="326" t="n">
        <x:f>Daily!A26</x:f>
        <x:v>46361.5</x:v>
      </x:c>
      <x:c r="B85" s="318" t="str">
        <x:f>Daily!D26</x:f>
        <x:v>Skill micro-session</x:v>
      </x:c>
      <x:c r="C85" s="318" t="str">
        <x:v>C · Wall handstand line drill</x:v>
      </x:c>
      <x:c r="D85" s="318" t="str">
        <x:v>seconds</x:v>
      </x:c>
      <x:c r="E85" s="320" t="b">
        <x:v>1</x:v>
      </x:c>
      <x:c r="F85" s="328" t="n">
        <x:v>45</x:v>
      </x:c>
      <x:c r="G85" s="329" t="str">
        <x:f>IF(AND(OR(Daily!T26=TRUE,Daily!AB26=TRUE),COUNT(Daily!U26,Daily!V26,Daily!W26)&gt;0),SUM(Daily!U26,Daily!V26,Daily!W26)*86400,"")</x:f>
      </x:c>
      <x:c r="H85" s="329" t="n">
        <x:f>IF(AND(E85=TRUE,ISNUMBER(F85),F85&gt;0),100,"")</x:f>
        <x:v>100</x:v>
      </x:c>
      <x:c r="I85" s="329" t="str">
        <x:f>IF(AND(ISNUMBER(H85),ISNUMBER(G85)),IF(J85="lower",IF(G85&gt;0,100*F85/G85,""),100*G85/F85),"")</x:f>
      </x:c>
      <x:c r="J85" s="321" t="str">
        <x:v>higher</x:v>
      </x:c>
      <x:c r="N85" s="363" t="n">
        <x:f>Daily!A19</x:f>
        <x:v>46349.5</x:v>
      </x:c>
      <x:c r="O85" s="359" t="str">
        <x:f>Daily!D19</x:f>
        <x:v>Skill A + interval circuit</x:v>
      </x:c>
      <x:c r="P85" s="371" t="str">
        <x:v>Chest-to-bar pull-up</x:v>
      </x:c>
      <x:c r="Q85" s="360" t="str">
        <x:v>reps</x:v>
      </x:c>
      <x:c r="R85" s="365" t="n">
        <x:v>3</x:v>
      </x:c>
      <x:c r="S85" s="365" t="n">
        <x:v>3</x:v>
      </x:c>
      <x:c r="T85" s="366" t="n">
        <x:f>IF(OR(COUNTIFS(Strategy!$B$36:$B$90,P85)&lt;&gt;1,COUNTIFS(Strategy!$B$36:$B$90,P85,Strategy!$C$36:$C$90,"&lt;&gt;")&lt;&gt;1),"",INDEX(Strategy!$C$36:$C$90,MATCH(P85,Strategy!$B$36:$B$90,0)))</x:f>
        <x:v>6</x:v>
      </x:c>
      <x:c r="U85" s="366" t="n">
        <x:f>IF(OR(COUNTIFS(Strategy!$B$36:$B$90,P85)&lt;&gt;1,COUNTIFS(Strategy!$B$36:$B$90,P85,Strategy!$D$36:$D$90,"&lt;&gt;")&lt;&gt;1),"",INDEX(Strategy!$D$36:$D$90,MATCH(P85,Strategy!$B$36:$B$90,0)))</x:f>
        <x:v>3</x:v>
      </x:c>
      <x:c r="V85" s="366" t="n">
        <x:f>IF(OR(COUNTIFS(Strategy!$B$36:$B$90,P85)&lt;&gt;1,COUNTIFS(Strategy!$B$36:$B$90,P85,Strategy!$E$36:$E$90,"&lt;&gt;")&lt;&gt;1),"",INDEX(Strategy!$E$36:$E$90,MATCH(P85,Strategy!$B$36:$B$90,0)))</x:f>
        <x:v>10</x:v>
      </x:c>
      <x:c r="W85" s="359" t="str">
        <x:f>IF(OR(COUNTIFS(Strategy!$B$36:$B$90,P85)&lt;&gt;1,COUNTIFS(Strategy!$B$36:$B$90,P85,Strategy!$F$36:$F$90,"&lt;&gt;")&lt;&gt;1),"",INDEX(Strategy!$F$36:$F$90,MATCH(P85,Strategy!$B$36:$B$90,0)))</x:f>
        <x:v>reps</x:v>
      </x:c>
      <x:c r="X85" s="369" t="n">
        <x:f>IF(OR(COUNT(R85:V85)&lt;&gt;5,Q85&lt;&gt;W85,T85&lt;0,T85&gt;10,U85&lt;=0,V85&lt;=0,R85&lt;0,R85&lt;&gt;INT(R85),S85&lt;=0),"",T85*R85*S85/(U85*V85))</x:f>
        <x:v>1.8</x:v>
      </x:c>
      <x:c r="Y85" s="373" t="str"/>
    </x:row>
    <x:row r="86" ht="15" hidden="0" customHeight="1">
      <x:c r="A86" s="327" t="n">
        <x:f>Daily!A27</x:f>
        <x:v>46363.5</x:v>
      </x:c>
      <x:c r="B86" s="322" t="str">
        <x:f>Daily!D27</x:f>
        <x:v>Skill A + interval circuit</x:v>
      </x:c>
      <x:c r="C86" s="322" t="str">
        <x:v>A · Light-band muscle-up</x:v>
      </x:c>
      <x:c r="D86" s="322" t="str">
        <x:v>reps</x:v>
      </x:c>
      <x:c r="E86" s="324" t="b">
        <x:v>1</x:v>
      </x:c>
      <x:c r="F86" s="330" t="n">
        <x:v>4</x:v>
      </x:c>
      <x:c r="G86" s="331" t="str">
        <x:f>IF(AND(OR(Daily!H27=TRUE,Daily!AB27=TRUE),COUNT(Daily!I27,Daily!J27,Daily!K27,Daily!L27)&gt;0),SUM(Daily!I27,Daily!J27,Daily!K27,Daily!L27),"")</x:f>
      </x:c>
      <x:c r="H86" s="331" t="n">
        <x:f>IF(AND(E86=TRUE,ISNUMBER(F86),F86&gt;0),100,"")</x:f>
        <x:v>100</x:v>
      </x:c>
      <x:c r="I86" s="331" t="str">
        <x:f>IF(AND(ISNUMBER(H86),ISNUMBER(G86)),IF(J86="lower",IF(G86&gt;0,100*F86/G86,""),100*G86/F86),"")</x:f>
      </x:c>
      <x:c r="J86" s="325" t="str">
        <x:v>higher</x:v>
      </x:c>
      <x:c r="N86" s="364" t="n">
        <x:f>Daily!A19</x:f>
        <x:v>46349.5</x:v>
      </x:c>
      <x:c r="O86" s="361" t="str">
        <x:f>Daily!D19</x:f>
        <x:v>Skill A + interval circuit</x:v>
      </x:c>
      <x:c r="P86" s="372" t="str">
        <x:v>Band-assisted muscle-up</x:v>
      </x:c>
      <x:c r="Q86" s="362" t="str">
        <x:v>reps</x:v>
      </x:c>
      <x:c r="R86" s="367" t="n">
        <x:v>4</x:v>
      </x:c>
      <x:c r="S86" s="367" t="n">
        <x:v>1</x:v>
      </x:c>
      <x:c r="T86" s="368" t="n">
        <x:f>IF(OR(COUNTIFS(Strategy!$B$36:$B$90,P86)&lt;&gt;1,COUNTIFS(Strategy!$B$36:$B$90,P86,Strategy!$C$36:$C$90,"&lt;&gt;")&lt;&gt;1),"",INDEX(Strategy!$C$36:$C$90,MATCH(P86,Strategy!$B$36:$B$90,0)))</x:f>
        <x:v>6</x:v>
      </x:c>
      <x:c r="U86" s="368" t="n">
        <x:f>IF(OR(COUNTIFS(Strategy!$B$36:$B$90,P86)&lt;&gt;1,COUNTIFS(Strategy!$B$36:$B$90,P86,Strategy!$D$36:$D$90,"&lt;&gt;")&lt;&gt;1),"",INDEX(Strategy!$D$36:$D$90,MATCH(P86,Strategy!$B$36:$B$90,0)))</x:f>
        <x:v>3</x:v>
      </x:c>
      <x:c r="V86" s="368" t="n">
        <x:f>IF(OR(COUNTIFS(Strategy!$B$36:$B$90,P86)&lt;&gt;1,COUNTIFS(Strategy!$B$36:$B$90,P86,Strategy!$E$36:$E$90,"&lt;&gt;")&lt;&gt;1),"",INDEX(Strategy!$E$36:$E$90,MATCH(P86,Strategy!$B$36:$B$90,0)))</x:f>
        <x:v>10</x:v>
      </x:c>
      <x:c r="W86" s="361" t="str">
        <x:f>IF(OR(COUNTIFS(Strategy!$B$36:$B$90,P86)&lt;&gt;1,COUNTIFS(Strategy!$B$36:$B$90,P86,Strategy!$F$36:$F$90,"&lt;&gt;")&lt;&gt;1),"",INDEX(Strategy!$F$36:$F$90,MATCH(P86,Strategy!$B$36:$B$90,0)))</x:f>
        <x:v>reps</x:v>
      </x:c>
      <x:c r="X86" s="370" t="n">
        <x:f>IF(OR(COUNT(R86:V86)&lt;&gt;5,Q86&lt;&gt;W86,T86&lt;0,T86&gt;10,U86&lt;=0,V86&lt;=0,R86&lt;0,R86&lt;&gt;INT(R86),S86&lt;=0),"",T86*R86*S86/(U86*V86))</x:f>
        <x:v>0.8</x:v>
      </x:c>
      <x:c r="Y86" s="374" t="str"/>
    </x:row>
    <x:row r="87" ht="15" hidden="0" customHeight="1">
      <x:c r="A87" s="326" t="n">
        <x:f>Daily!A27</x:f>
        <x:v>46363.5</x:v>
      </x:c>
      <x:c r="B87" s="318" t="str">
        <x:f>Daily!D27</x:f>
        <x:v>Skill A + interval circuit</x:v>
      </x:c>
      <x:c r="C87" s="318" t="str">
        <x:v>B · Band-assisted transition</x:v>
      </x:c>
      <x:c r="D87" s="318" t="str">
        <x:v>reps</x:v>
      </x:c>
      <x:c r="E87" s="320" t="b">
        <x:v>1</x:v>
      </x:c>
      <x:c r="F87" s="328" t="n">
        <x:v>6</x:v>
      </x:c>
      <x:c r="G87" s="329" t="str">
        <x:f>IF(AND(OR(Daily!N27=TRUE,Daily!AB27=TRUE),COUNT(Daily!O27,Daily!P27,Daily!Q27)&gt;0),SUM(Daily!O27,Daily!P27,Daily!Q27),"")</x:f>
      </x:c>
      <x:c r="H87" s="329" t="n">
        <x:f>IF(AND(E87=TRUE,ISNUMBER(F87),F87&gt;0),100,"")</x:f>
        <x:v>100</x:v>
      </x:c>
      <x:c r="I87" s="329" t="str">
        <x:f>IF(AND(ISNUMBER(H87),ISNUMBER(G87)),IF(J87="lower",IF(G87&gt;0,100*F87/G87,""),100*G87/F87),"")</x:f>
      </x:c>
      <x:c r="J87" s="321" t="str">
        <x:v>higher</x:v>
      </x:c>
      <x:c r="N87" s="363" t="n">
        <x:f>Daily!A19</x:f>
        <x:v>46349.5</x:v>
      </x:c>
      <x:c r="O87" s="359" t="str">
        <x:f>Daily!D19</x:f>
        <x:v>Skill A + interval circuit</x:v>
      </x:c>
      <x:c r="P87" s="371" t="str">
        <x:v>Counterweight pistol</x:v>
      </x:c>
      <x:c r="Q87" s="360" t="str">
        <x:v>reps/leg</x:v>
      </x:c>
      <x:c r="R87" s="365" t="n">
        <x:v>3</x:v>
      </x:c>
      <x:c r="S87" s="365" t="n">
        <x:v>4</x:v>
      </x:c>
      <x:c r="T87" s="366" t="n">
        <x:f>IF(OR(COUNTIFS(Strategy!$B$36:$B$90,P87)&lt;&gt;1,COUNTIFS(Strategy!$B$36:$B$90,P87,Strategy!$C$36:$C$90,"&lt;&gt;")&lt;&gt;1),"",INDEX(Strategy!$C$36:$C$90,MATCH(P87,Strategy!$B$36:$B$90,0)))</x:f>
        <x:v>4</x:v>
      </x:c>
      <x:c r="U87" s="366" t="n">
        <x:f>IF(OR(COUNTIFS(Strategy!$B$36:$B$90,P87)&lt;&gt;1,COUNTIFS(Strategy!$B$36:$B$90,P87,Strategy!$D$36:$D$90,"&lt;&gt;")&lt;&gt;1),"",INDEX(Strategy!$D$36:$D$90,MATCH(P87,Strategy!$B$36:$B$90,0)))</x:f>
        <x:v>3</x:v>
      </x:c>
      <x:c r="V87" s="366" t="n">
        <x:f>IF(OR(COUNTIFS(Strategy!$B$36:$B$90,P87)&lt;&gt;1,COUNTIFS(Strategy!$B$36:$B$90,P87,Strategy!$E$36:$E$90,"&lt;&gt;")&lt;&gt;1),"",INDEX(Strategy!$E$36:$E$90,MATCH(P87,Strategy!$B$36:$B$90,0)))</x:f>
        <x:v>10</x:v>
      </x:c>
      <x:c r="W87" s="359" t="str">
        <x:f>IF(OR(COUNTIFS(Strategy!$B$36:$B$90,P87)&lt;&gt;1,COUNTIFS(Strategy!$B$36:$B$90,P87,Strategy!$F$36:$F$90,"&lt;&gt;")&lt;&gt;1),"",INDEX(Strategy!$F$36:$F$90,MATCH(P87,Strategy!$B$36:$B$90,0)))</x:f>
        <x:v>reps/leg</x:v>
      </x:c>
      <x:c r="X87" s="369" t="n">
        <x:f>IF(OR(COUNT(R87:V87)&lt;&gt;5,Q87&lt;&gt;W87,T87&lt;0,T87&gt;10,U87&lt;=0,V87&lt;=0,R87&lt;0,R87&lt;&gt;INT(R87),S87&lt;=0),"",T87*R87*S87/(U87*V87))</x:f>
        <x:v>1.6</x:v>
      </x:c>
      <x:c r="Y87" s="373" t="str"/>
    </x:row>
    <x:row r="88" ht="15" hidden="0" customHeight="1">
      <x:c r="A88" s="327" t="n">
        <x:f>Daily!A27</x:f>
        <x:v>46363.5</x:v>
      </x:c>
      <x:c r="B88" s="322" t="str">
        <x:f>Daily!D27</x:f>
        <x:v>Skill A + interval circuit</x:v>
      </x:c>
      <x:c r="C88" s="322" t="str">
        <x:v>C · Unassisted pistol to target</x:v>
      </x:c>
      <x:c r="D88" s="322" t="str">
        <x:v>reps/leg</x:v>
      </x:c>
      <x:c r="E88" s="324" t="b">
        <x:v>1</x:v>
      </x:c>
      <x:c r="F88" s="330" t="n">
        <x:v>3</x:v>
      </x:c>
      <x:c r="G88" s="331" t="str">
        <x:f>IF(AND(OR(Daily!T27=TRUE,Daily!AB27=TRUE),COUNT(Daily!U27,Daily!V27,Daily!W27)&gt;0),SUM(Daily!U27,Daily!V27,Daily!W27),"")</x:f>
      </x:c>
      <x:c r="H88" s="331" t="n">
        <x:f>IF(AND(E88=TRUE,ISNUMBER(F88),F88&gt;0),100,"")</x:f>
        <x:v>100</x:v>
      </x:c>
      <x:c r="I88" s="331" t="str">
        <x:f>IF(AND(ISNUMBER(H88),ISNUMBER(G88)),IF(J88="lower",IF(G88&gt;0,100*F88/G88,""),100*G88/F88),"")</x:f>
      </x:c>
      <x:c r="J88" s="325" t="str">
        <x:v>higher</x:v>
      </x:c>
      <x:c r="N88" s="364" t="n">
        <x:f>Daily!A19</x:f>
        <x:v>46349.5</x:v>
      </x:c>
      <x:c r="O88" s="361" t="str">
        <x:f>Daily!D19</x:f>
        <x:v>Skill A + interval circuit</x:v>
      </x:c>
      <x:c r="P88" s="372" t="str">
        <x:v>Pull-up</x:v>
      </x:c>
      <x:c r="Q88" s="362" t="str">
        <x:v>seconds</x:v>
      </x:c>
      <x:c r="R88" s="367" t="n">
        <x:v>5</x:v>
      </x:c>
      <x:c r="S88" s="367" t="n">
        <x:v>30</x:v>
      </x:c>
      <x:c r="T88" s="368" t="n">
        <x:f>IF(OR(COUNTIFS(Strategy!$B$36:$B$90,P88)&lt;&gt;1,COUNTIFS(Strategy!$B$36:$B$90,P88,Strategy!$C$36:$C$90,"&lt;&gt;")&lt;&gt;1),"",INDEX(Strategy!$C$36:$C$90,MATCH(P88,Strategy!$B$36:$B$90,0)))</x:f>
        <x:v>1</x:v>
      </x:c>
      <x:c r="U88" s="368" t="n">
        <x:f>IF(OR(COUNTIFS(Strategy!$B$36:$B$90,P88)&lt;&gt;1,COUNTIFS(Strategy!$B$36:$B$90,P88,Strategy!$D$36:$D$90,"&lt;&gt;")&lt;&gt;1),"",INDEX(Strategy!$D$36:$D$90,MATCH(P88,Strategy!$B$36:$B$90,0)))</x:f>
        <x:v>5</x:v>
      </x:c>
      <x:c r="V88" s="368" t="n">
        <x:f>IF(OR(COUNTIFS(Strategy!$B$36:$B$90,P88)&lt;&gt;1,COUNTIFS(Strategy!$B$36:$B$90,P88,Strategy!$E$36:$E$90,"&lt;&gt;")&lt;&gt;1),"",INDEX(Strategy!$E$36:$E$90,MATCH(P88,Strategy!$B$36:$B$90,0)))</x:f>
        <x:v>120</x:v>
      </x:c>
      <x:c r="W88" s="361" t="str">
        <x:f>IF(OR(COUNTIFS(Strategy!$B$36:$B$90,P88)&lt;&gt;1,COUNTIFS(Strategy!$B$36:$B$90,P88,Strategy!$F$36:$F$90,"&lt;&gt;")&lt;&gt;1),"",INDEX(Strategy!$F$36:$F$90,MATCH(P88,Strategy!$B$36:$B$90,0)))</x:f>
        <x:v>seconds</x:v>
      </x:c>
      <x:c r="X88" s="370" t="n">
        <x:f>IF(OR(COUNT(R88:V88)&lt;&gt;5,Q88&lt;&gt;W88,T88&lt;0,T88&gt;10,U88&lt;=0,V88&lt;=0,R88&lt;0,R88&lt;&gt;INT(R88),S88&lt;=0),"",T88*R88*S88/(U88*V88))</x:f>
        <x:v>0.25</x:v>
      </x:c>
      <x:c r="Y88" s="374" t="str">
        <x:v>Core: one 30-second work interval per round; rest excluded.</x:v>
      </x:c>
    </x:row>
    <x:row r="89" ht="15" hidden="0" customHeight="1">
      <x:c r="A89" s="326" t="n">
        <x:f>Daily!A27</x:f>
        <x:v>46363.5</x:v>
      </x:c>
      <x:c r="B89" s="318" t="str">
        <x:f>Daily!D27</x:f>
        <x:v>Skill A + interval circuit</x:v>
      </x:c>
      <x:c r="C89" s="318" t="str">
        <x:v>Core</x:v>
      </x:c>
      <x:c r="D89" s="318" t="str">
        <x:v>rounds</x:v>
      </x:c>
      <x:c r="E89" s="320" t="b">
        <x:v>1</x:v>
      </x:c>
      <x:c r="F89" s="328" t="n">
        <x:v>5</x:v>
      </x:c>
      <x:c r="G89" s="329" t="str">
        <x:f>IF(AND(OR(Daily!Z27=TRUE,Daily!AB27=TRUE),COUNT(Daily!AA27)&gt;0),SUM(Daily!AA27),"")</x:f>
      </x:c>
      <x:c r="H89" s="329" t="n">
        <x:f>IF(AND(E89=TRUE,ISNUMBER(F89),F89&gt;0),100,"")</x:f>
        <x:v>100</x:v>
      </x:c>
      <x:c r="I89" s="329" t="str">
        <x:f>IF(AND(ISNUMBER(H89),ISNUMBER(G89)),IF(J89="lower",IF(G89&gt;0,100*F89/G89,""),100*G89/F89),"")</x:f>
      </x:c>
      <x:c r="J89" s="321" t="str">
        <x:v>higher</x:v>
      </x:c>
      <x:c r="N89" s="363" t="n">
        <x:f>Daily!A19</x:f>
        <x:v>46349.5</x:v>
      </x:c>
      <x:c r="O89" s="359" t="str">
        <x:f>Daily!D19</x:f>
        <x:v>Skill A + interval circuit</x:v>
      </x:c>
      <x:c r="P89" s="371" t="str">
        <x:v>Push-up</x:v>
      </x:c>
      <x:c r="Q89" s="360" t="str">
        <x:v>seconds</x:v>
      </x:c>
      <x:c r="R89" s="365" t="n">
        <x:v>5</x:v>
      </x:c>
      <x:c r="S89" s="365" t="n">
        <x:v>30</x:v>
      </x:c>
      <x:c r="T89" s="366" t="n">
        <x:f>IF(OR(COUNTIFS(Strategy!$B$36:$B$90,P89)&lt;&gt;1,COUNTIFS(Strategy!$B$36:$B$90,P89,Strategy!$C$36:$C$90,"&lt;&gt;")&lt;&gt;1),"",INDEX(Strategy!$C$36:$C$90,MATCH(P89,Strategy!$B$36:$B$90,0)))</x:f>
        <x:v>1</x:v>
      </x:c>
      <x:c r="U89" s="366" t="n">
        <x:f>IF(OR(COUNTIFS(Strategy!$B$36:$B$90,P89)&lt;&gt;1,COUNTIFS(Strategy!$B$36:$B$90,P89,Strategy!$D$36:$D$90,"&lt;&gt;")&lt;&gt;1),"",INDEX(Strategy!$D$36:$D$90,MATCH(P89,Strategy!$B$36:$B$90,0)))</x:f>
        <x:v>5</x:v>
      </x:c>
      <x:c r="V89" s="366" t="n">
        <x:f>IF(OR(COUNTIFS(Strategy!$B$36:$B$90,P89)&lt;&gt;1,COUNTIFS(Strategy!$B$36:$B$90,P89,Strategy!$E$36:$E$90,"&lt;&gt;")&lt;&gt;1),"",INDEX(Strategy!$E$36:$E$90,MATCH(P89,Strategy!$B$36:$B$90,0)))</x:f>
        <x:v>120</x:v>
      </x:c>
      <x:c r="W89" s="359" t="str">
        <x:f>IF(OR(COUNTIFS(Strategy!$B$36:$B$90,P89)&lt;&gt;1,COUNTIFS(Strategy!$B$36:$B$90,P89,Strategy!$F$36:$F$90,"&lt;&gt;")&lt;&gt;1),"",INDEX(Strategy!$F$36:$F$90,MATCH(P89,Strategy!$B$36:$B$90,0)))</x:f>
        <x:v>seconds</x:v>
      </x:c>
      <x:c r="X89" s="369" t="n">
        <x:f>IF(OR(COUNT(R89:V89)&lt;&gt;5,Q89&lt;&gt;W89,T89&lt;0,T89&gt;10,U89&lt;=0,V89&lt;=0,R89&lt;0,R89&lt;&gt;INT(R89),S89&lt;=0),"",T89*R89*S89/(U89*V89))</x:f>
        <x:v>0.25</x:v>
      </x:c>
      <x:c r="Y89" s="373" t="str">
        <x:v>Core: one 30-second work interval per round; rest excluded.</x:v>
      </x:c>
    </x:row>
    <x:row r="90" ht="15" hidden="0" customHeight="1">
      <x:c r="A90" s="327" t="n">
        <x:f>Daily!A28</x:f>
        <x:v>46364.5</x:v>
      </x:c>
      <x:c r="B90" s="322" t="str">
        <x:f>Daily!D28</x:f>
        <x:v>Handstand technique</x:v>
      </x:c>
      <x:c r="C90" s="322" t="str">
        <x:v>A · Wrist/shoulder mobility</x:v>
      </x:c>
      <x:c r="D90" s="322" t="str">
        <x:v>seconds</x:v>
      </x:c>
      <x:c r="E90" s="324" t="b">
        <x:v>1</x:v>
      </x:c>
      <x:c r="F90" s="330" t="n">
        <x:v>120</x:v>
      </x:c>
      <x:c r="G90" s="331" t="str">
        <x:f>IF(AND(OR(Daily!H28=TRUE,Daily!AB28=TRUE),COUNT(Daily!I28)&gt;0),SUM(Daily!I28)*86400,"")</x:f>
      </x:c>
      <x:c r="H90" s="331" t="n">
        <x:f>IF(AND(E90=TRUE,ISNUMBER(F90),F90&gt;0),100,"")</x:f>
        <x:v>100</x:v>
      </x:c>
      <x:c r="I90" s="331" t="str">
        <x:f>IF(AND(ISNUMBER(H90),ISNUMBER(G90)),IF(J90="lower",IF(G90&gt;0,100*F90/G90,""),100*G90/F90),"")</x:f>
      </x:c>
      <x:c r="J90" s="325" t="str">
        <x:v>higher</x:v>
      </x:c>
      <x:c r="N90" s="364" t="n">
        <x:f>Daily!A19</x:f>
        <x:v>46349.5</x:v>
      </x:c>
      <x:c r="O90" s="361" t="str">
        <x:f>Daily!D19</x:f>
        <x:v>Skill A + interval circuit</x:v>
      </x:c>
      <x:c r="P90" s="372" t="str">
        <x:v>Weighted squat</x:v>
      </x:c>
      <x:c r="Q90" s="362" t="str">
        <x:v>seconds</x:v>
      </x:c>
      <x:c r="R90" s="367" t="n">
        <x:v>5</x:v>
      </x:c>
      <x:c r="S90" s="367" t="n">
        <x:v>30</x:v>
      </x:c>
      <x:c r="T90" s="368" t="n">
        <x:f>IF(OR(COUNTIFS(Strategy!$B$36:$B$90,P90)&lt;&gt;1,COUNTIFS(Strategy!$B$36:$B$90,P90,Strategy!$C$36:$C$90,"&lt;&gt;")&lt;&gt;1),"",INDEX(Strategy!$C$36:$C$90,MATCH(P90,Strategy!$B$36:$B$90,0)))</x:f>
        <x:v>1</x:v>
      </x:c>
      <x:c r="U90" s="368" t="n">
        <x:f>IF(OR(COUNTIFS(Strategy!$B$36:$B$90,P90)&lt;&gt;1,COUNTIFS(Strategy!$B$36:$B$90,P90,Strategy!$D$36:$D$90,"&lt;&gt;")&lt;&gt;1),"",INDEX(Strategy!$D$36:$D$90,MATCH(P90,Strategy!$B$36:$B$90,0)))</x:f>
        <x:v>5</x:v>
      </x:c>
      <x:c r="V90" s="368" t="n">
        <x:f>IF(OR(COUNTIFS(Strategy!$B$36:$B$90,P90)&lt;&gt;1,COUNTIFS(Strategy!$B$36:$B$90,P90,Strategy!$E$36:$E$90,"&lt;&gt;")&lt;&gt;1),"",INDEX(Strategy!$E$36:$E$90,MATCH(P90,Strategy!$B$36:$B$90,0)))</x:f>
        <x:v>120</x:v>
      </x:c>
      <x:c r="W90" s="361" t="str">
        <x:f>IF(OR(COUNTIFS(Strategy!$B$36:$B$90,P90)&lt;&gt;1,COUNTIFS(Strategy!$B$36:$B$90,P90,Strategy!$F$36:$F$90,"&lt;&gt;")&lt;&gt;1),"",INDEX(Strategy!$F$36:$F$90,MATCH(P90,Strategy!$B$36:$B$90,0)))</x:f>
        <x:v>seconds</x:v>
      </x:c>
      <x:c r="X90" s="370" t="n">
        <x:f>IF(OR(COUNT(R90:V90)&lt;&gt;5,Q90&lt;&gt;W90,T90&lt;0,T90&gt;10,U90&lt;=0,V90&lt;=0,R90&lt;0,R90&lt;&gt;INT(R90),S90&lt;=0),"",T90*R90*S90/(U90*V90))</x:f>
        <x:v>0.25</x:v>
      </x:c>
      <x:c r="Y90" s="374" t="str">
        <x:v>Core: one 30-second work interval per round; rest excluded.</x:v>
      </x:c>
    </x:row>
    <x:row r="91" ht="15" hidden="0" customHeight="1">
      <x:c r="A91" s="326" t="n">
        <x:f>Daily!A28</x:f>
        <x:v>46364.5</x:v>
      </x:c>
      <x:c r="B91" s="318" t="str">
        <x:f>Daily!D28</x:f>
        <x:v>Handstand technique</x:v>
      </x:c>
      <x:c r="C91" s="318" t="str">
        <x:v>B · Easy chest-to-wall hold</x:v>
      </x:c>
      <x:c r="D91" s="318" t="str">
        <x:v>seconds</x:v>
      </x:c>
      <x:c r="E91" s="320" t="b">
        <x:v>1</x:v>
      </x:c>
      <x:c r="F91" s="328" t="n">
        <x:v>45</x:v>
      </x:c>
      <x:c r="G91" s="329" t="str">
        <x:f>IF(AND(OR(Daily!N28=TRUE,Daily!AB28=TRUE),COUNT(Daily!O28,Daily!P28,Daily!Q28)&gt;0),SUM(Daily!O28,Daily!P28,Daily!Q28)*86400,"")</x:f>
      </x:c>
      <x:c r="H91" s="329" t="n">
        <x:f>IF(AND(E91=TRUE,ISNUMBER(F91),F91&gt;0),100,"")</x:f>
        <x:v>100</x:v>
      </x:c>
      <x:c r="I91" s="329" t="str">
        <x:f>IF(AND(ISNUMBER(H91),ISNUMBER(G91)),IF(J91="lower",IF(G91&gt;0,100*F91/G91,""),100*G91/F91),"")</x:f>
      </x:c>
      <x:c r="J91" s="321" t="str">
        <x:v>higher</x:v>
      </x:c>
      <x:c r="N91" s="363" t="n">
        <x:f>Daily!A19</x:f>
        <x:v>46349.5</x:v>
      </x:c>
      <x:c r="O91" s="359" t="str">
        <x:f>Daily!D19</x:f>
        <x:v>Skill A + interval circuit</x:v>
      </x:c>
      <x:c r="P91" s="371" t="str">
        <x:v>Upside-down hanging shoulder/ab work</x:v>
      </x:c>
      <x:c r="Q91" s="360" t="str">
        <x:v>seconds</x:v>
      </x:c>
      <x:c r="R91" s="365" t="n">
        <x:v>5</x:v>
      </x:c>
      <x:c r="S91" s="365" t="n">
        <x:v>30</x:v>
      </x:c>
      <x:c r="T91" s="366" t="n">
        <x:f>IF(OR(COUNTIFS(Strategy!$B$36:$B$90,P91)&lt;&gt;1,COUNTIFS(Strategy!$B$36:$B$90,P91,Strategy!$C$36:$C$90,"&lt;&gt;")&lt;&gt;1),"",INDEX(Strategy!$C$36:$C$90,MATCH(P91,Strategy!$B$36:$B$90,0)))</x:f>
        <x:v>1</x:v>
      </x:c>
      <x:c r="U91" s="366" t="n">
        <x:f>IF(OR(COUNTIFS(Strategy!$B$36:$B$90,P91)&lt;&gt;1,COUNTIFS(Strategy!$B$36:$B$90,P91,Strategy!$D$36:$D$90,"&lt;&gt;")&lt;&gt;1),"",INDEX(Strategy!$D$36:$D$90,MATCH(P91,Strategy!$B$36:$B$90,0)))</x:f>
        <x:v>5</x:v>
      </x:c>
      <x:c r="V91" s="366" t="n">
        <x:f>IF(OR(COUNTIFS(Strategy!$B$36:$B$90,P91)&lt;&gt;1,COUNTIFS(Strategy!$B$36:$B$90,P91,Strategy!$E$36:$E$90,"&lt;&gt;")&lt;&gt;1),"",INDEX(Strategy!$E$36:$E$90,MATCH(P91,Strategy!$B$36:$B$90,0)))</x:f>
        <x:v>120</x:v>
      </x:c>
      <x:c r="W91" s="359" t="str">
        <x:f>IF(OR(COUNTIFS(Strategy!$B$36:$B$90,P91)&lt;&gt;1,COUNTIFS(Strategy!$B$36:$B$90,P91,Strategy!$F$36:$F$90,"&lt;&gt;")&lt;&gt;1),"",INDEX(Strategy!$F$36:$F$90,MATCH(P91,Strategy!$B$36:$B$90,0)))</x:f>
        <x:v>seconds</x:v>
      </x:c>
      <x:c r="X91" s="369" t="n">
        <x:f>IF(OR(COUNT(R91:V91)&lt;&gt;5,Q91&lt;&gt;W91,T91&lt;0,T91&gt;10,U91&lt;=0,V91&lt;=0,R91&lt;0,R91&lt;&gt;INT(R91),S91&lt;=0),"",T91*R91*S91/(U91*V91))</x:f>
        <x:v>0.25</x:v>
      </x:c>
      <x:c r="Y91" s="373" t="str">
        <x:v>Core: one 30-second work interval per round; rest excluded.</x:v>
      </x:c>
    </x:row>
    <x:row r="92" ht="15" hidden="0" customHeight="1">
      <x:c r="A92" s="327" t="n">
        <x:f>Daily!A28</x:f>
        <x:v>46364.5</x:v>
      </x:c>
      <x:c r="B92" s="322" t="str">
        <x:f>Daily!D28</x:f>
        <x:v>Handstand technique</x:v>
      </x:c>
      <x:c r="C92" s="322" t="str">
        <x:v>C · Wall handstand line drill</x:v>
      </x:c>
      <x:c r="D92" s="322" t="str">
        <x:v>seconds</x:v>
      </x:c>
      <x:c r="E92" s="324" t="b">
        <x:v>1</x:v>
      </x:c>
      <x:c r="F92" s="330" t="n">
        <x:v>30</x:v>
      </x:c>
      <x:c r="G92" s="331" t="str">
        <x:f>IF(AND(OR(Daily!T28=TRUE,Daily!AB28=TRUE),COUNT(Daily!U28,Daily!V28)&gt;0),SUM(Daily!U28,Daily!V28)*86400,"")</x:f>
      </x:c>
      <x:c r="H92" s="331" t="n">
        <x:f>IF(AND(E92=TRUE,ISNUMBER(F92),F92&gt;0),100,"")</x:f>
        <x:v>100</x:v>
      </x:c>
      <x:c r="I92" s="331" t="str">
        <x:f>IF(AND(ISNUMBER(H92),ISNUMBER(G92)),IF(J92="lower",IF(G92&gt;0,100*F92/G92,""),100*G92/F92),"")</x:f>
      </x:c>
      <x:c r="J92" s="325" t="str">
        <x:v>higher</x:v>
      </x:c>
      <x:c r="N92" s="364" t="n">
        <x:f>Daily!A20</x:f>
        <x:v>46350.5</x:v>
      </x:c>
      <x:c r="O92" s="361" t="str">
        <x:f>Daily!D20</x:f>
        <x:v>Handstand technique</x:v>
      </x:c>
      <x:c r="P92" s="372" t="str">
        <x:v>Wrist/shoulder mobility</x:v>
      </x:c>
      <x:c r="Q92" s="362" t="str">
        <x:v>seconds</x:v>
      </x:c>
      <x:c r="R92" s="367" t="n">
        <x:v>1</x:v>
      </x:c>
      <x:c r="S92" s="367" t="n">
        <x:v>120</x:v>
      </x:c>
      <x:c r="T92" s="368" t="n">
        <x:f>IF(OR(COUNTIFS(Strategy!$B$36:$B$90,P92)&lt;&gt;1,COUNTIFS(Strategy!$B$36:$B$90,P92,Strategy!$C$36:$C$90,"&lt;&gt;")&lt;&gt;1),"",INDEX(Strategy!$C$36:$C$90,MATCH(P92,Strategy!$B$36:$B$90,0)))</x:f>
        <x:v>1</x:v>
      </x:c>
      <x:c r="U92" s="368" t="n">
        <x:f>IF(OR(COUNTIFS(Strategy!$B$36:$B$90,P92)&lt;&gt;1,COUNTIFS(Strategy!$B$36:$B$90,P92,Strategy!$D$36:$D$90,"&lt;&gt;")&lt;&gt;1),"",INDEX(Strategy!$D$36:$D$90,MATCH(P92,Strategy!$B$36:$B$90,0)))</x:f>
        <x:v>3</x:v>
      </x:c>
      <x:c r="V92" s="368" t="n">
        <x:f>IF(OR(COUNTIFS(Strategy!$B$36:$B$90,P92)&lt;&gt;1,COUNTIFS(Strategy!$B$36:$B$90,P92,Strategy!$E$36:$E$90,"&lt;&gt;")&lt;&gt;1),"",INDEX(Strategy!$E$36:$E$90,MATCH(P92,Strategy!$B$36:$B$90,0)))</x:f>
        <x:v>60</x:v>
      </x:c>
      <x:c r="W92" s="361" t="str">
        <x:f>IF(OR(COUNTIFS(Strategy!$B$36:$B$90,P92)&lt;&gt;1,COUNTIFS(Strategy!$B$36:$B$90,P92,Strategy!$F$36:$F$90,"&lt;&gt;")&lt;&gt;1),"",INDEX(Strategy!$F$36:$F$90,MATCH(P92,Strategy!$B$36:$B$90,0)))</x:f>
        <x:v>seconds</x:v>
      </x:c>
      <x:c r="X92" s="370" t="n">
        <x:f>IF(OR(COUNT(R92:V92)&lt;&gt;5,Q92&lt;&gt;W92,T92&lt;0,T92&gt;10,U92&lt;=0,V92&lt;=0,R92&lt;0,R92&lt;&gt;INT(R92),S92&lt;=0),"",T92*R92*S92/(U92*V92))</x:f>
        <x:v>0.6666666666666666</x:v>
      </x:c>
      <x:c r="Y92" s="374" t="str"/>
    </x:row>
    <x:row r="93" ht="15" hidden="0" customHeight="1">
      <x:c r="A93" s="326" t="n">
        <x:f>Daily!A29</x:f>
        <x:v>46366.5</x:v>
      </x:c>
      <x:c r="B93" s="318" t="str">
        <x:f>Daily!D29</x:f>
        <x:v>Skill B + circuit</x:v>
      </x:c>
      <x:c r="C93" s="318" t="str">
        <x:v>A · Deeper wall HSPU</x:v>
      </x:c>
      <x:c r="D93" s="318" t="str">
        <x:v>reps</x:v>
      </x:c>
      <x:c r="E93" s="320" t="b">
        <x:v>1</x:v>
      </x:c>
      <x:c r="F93" s="328" t="n">
        <x:v>6</x:v>
      </x:c>
      <x:c r="G93" s="329" t="str">
        <x:f>IF(AND(OR(Daily!H29=TRUE,Daily!AB29=TRUE),COUNT(Daily!I29,Daily!J29,Daily!K29)&gt;0),SUM(Daily!I29,Daily!J29,Daily!K29),"")</x:f>
      </x:c>
      <x:c r="H93" s="329" t="n">
        <x:f>IF(AND(E93=TRUE,ISNUMBER(F93),F93&gt;0),100,"")</x:f>
        <x:v>100</x:v>
      </x:c>
      <x:c r="I93" s="329" t="str">
        <x:f>IF(AND(ISNUMBER(H93),ISNUMBER(G93)),IF(J93="lower",IF(G93&gt;0,100*F93/G93,""),100*G93/F93),"")</x:f>
      </x:c>
      <x:c r="J93" s="321" t="str">
        <x:v>higher</x:v>
      </x:c>
      <x:c r="N93" s="363" t="n">
        <x:f>Daily!A20</x:f>
        <x:v>46350.5</x:v>
      </x:c>
      <x:c r="O93" s="359" t="str">
        <x:f>Daily!D20</x:f>
        <x:v>Handstand technique</x:v>
      </x:c>
      <x:c r="P93" s="371" t="str">
        <x:v>Easy chest-to-wall hold</x:v>
      </x:c>
      <x:c r="Q93" s="360" t="str">
        <x:v>seconds</x:v>
      </x:c>
      <x:c r="R93" s="365" t="n">
        <x:v>3</x:v>
      </x:c>
      <x:c r="S93" s="365" t="n">
        <x:v>15</x:v>
      </x:c>
      <x:c r="T93" s="366" t="n">
        <x:f>IF(OR(COUNTIFS(Strategy!$B$36:$B$90,P93)&lt;&gt;1,COUNTIFS(Strategy!$B$36:$B$90,P93,Strategy!$C$36:$C$90,"&lt;&gt;")&lt;&gt;1),"",INDEX(Strategy!$C$36:$C$90,MATCH(P93,Strategy!$B$36:$B$90,0)))</x:f>
        <x:v>1</x:v>
      </x:c>
      <x:c r="U93" s="366" t="n">
        <x:f>IF(OR(COUNTIFS(Strategy!$B$36:$B$90,P93)&lt;&gt;1,COUNTIFS(Strategy!$B$36:$B$90,P93,Strategy!$D$36:$D$90,"&lt;&gt;")&lt;&gt;1),"",INDEX(Strategy!$D$36:$D$90,MATCH(P93,Strategy!$B$36:$B$90,0)))</x:f>
        <x:v>3</x:v>
      </x:c>
      <x:c r="V93" s="366" t="n">
        <x:f>IF(OR(COUNTIFS(Strategy!$B$36:$B$90,P93)&lt;&gt;1,COUNTIFS(Strategy!$B$36:$B$90,P93,Strategy!$E$36:$E$90,"&lt;&gt;")&lt;&gt;1),"",INDEX(Strategy!$E$36:$E$90,MATCH(P93,Strategy!$B$36:$B$90,0)))</x:f>
        <x:v>60</x:v>
      </x:c>
      <x:c r="W93" s="359" t="str">
        <x:f>IF(OR(COUNTIFS(Strategy!$B$36:$B$90,P93)&lt;&gt;1,COUNTIFS(Strategy!$B$36:$B$90,P93,Strategy!$F$36:$F$90,"&lt;&gt;")&lt;&gt;1),"",INDEX(Strategy!$F$36:$F$90,MATCH(P93,Strategy!$B$36:$B$90,0)))</x:f>
        <x:v>seconds</x:v>
      </x:c>
      <x:c r="X93" s="369" t="n">
        <x:f>IF(OR(COUNT(R93:V93)&lt;&gt;5,Q93&lt;&gt;W93,T93&lt;0,T93&gt;10,U93&lt;=0,V93&lt;=0,R93&lt;0,R93&lt;&gt;INT(R93),S93&lt;=0),"",T93*R93*S93/(U93*V93))</x:f>
        <x:v>0.25</x:v>
      </x:c>
      <x:c r="Y93" s="373" t="str"/>
    </x:row>
    <x:row r="94" ht="15" hidden="0" customHeight="1">
      <x:c r="A94" s="327" t="n">
        <x:f>Daily!A29</x:f>
        <x:v>46366.5</x:v>
      </x:c>
      <x:c r="B94" s="322" t="str">
        <x:f>Daily!D29</x:f>
        <x:v>Skill B + circuit</x:v>
      </x:c>
      <x:c r="C94" s="322" t="str">
        <x:v>B · Easy wall handstand</x:v>
      </x:c>
      <x:c r="D94" s="322" t="str">
        <x:v>seconds</x:v>
      </x:c>
      <x:c r="E94" s="324" t="b">
        <x:v>1</x:v>
      </x:c>
      <x:c r="F94" s="330" t="n">
        <x:v>40</x:v>
      </x:c>
      <x:c r="G94" s="331" t="str">
        <x:f>IF(AND(OR(Daily!N29=TRUE,Daily!AB29=TRUE),COUNT(Daily!O29,Daily!P29)&gt;0),SUM(Daily!O29,Daily!P29)*86400,"")</x:f>
      </x:c>
      <x:c r="H94" s="331" t="n">
        <x:f>IF(AND(E94=TRUE,ISNUMBER(F94),F94&gt;0),100,"")</x:f>
        <x:v>100</x:v>
      </x:c>
      <x:c r="I94" s="331" t="str">
        <x:f>IF(AND(ISNUMBER(H94),ISNUMBER(G94)),IF(J94="lower",IF(G94&gt;0,100*F94/G94,""),100*G94/F94),"")</x:f>
      </x:c>
      <x:c r="J94" s="325" t="str">
        <x:v>higher</x:v>
      </x:c>
      <x:c r="N94" s="364" t="n">
        <x:f>Daily!A20</x:f>
        <x:v>46350.5</x:v>
      </x:c>
      <x:c r="O94" s="361" t="str">
        <x:f>Daily!D20</x:f>
        <x:v>Handstand technique</x:v>
      </x:c>
      <x:c r="P94" s="372" t="str">
        <x:v>Wall handstand line drill</x:v>
      </x:c>
      <x:c r="Q94" s="362" t="str">
        <x:v>seconds</x:v>
      </x:c>
      <x:c r="R94" s="367" t="n">
        <x:v>2</x:v>
      </x:c>
      <x:c r="S94" s="367" t="n">
        <x:v>15</x:v>
      </x:c>
      <x:c r="T94" s="368" t="n">
        <x:f>IF(OR(COUNTIFS(Strategy!$B$36:$B$90,P94)&lt;&gt;1,COUNTIFS(Strategy!$B$36:$B$90,P94,Strategy!$C$36:$C$90,"&lt;&gt;")&lt;&gt;1),"",INDEX(Strategy!$C$36:$C$90,MATCH(P94,Strategy!$B$36:$B$90,0)))</x:f>
        <x:v>1</x:v>
      </x:c>
      <x:c r="U94" s="368" t="n">
        <x:f>IF(OR(COUNTIFS(Strategy!$B$36:$B$90,P94)&lt;&gt;1,COUNTIFS(Strategy!$B$36:$B$90,P94,Strategy!$D$36:$D$90,"&lt;&gt;")&lt;&gt;1),"",INDEX(Strategy!$D$36:$D$90,MATCH(P94,Strategy!$B$36:$B$90,0)))</x:f>
        <x:v>3</x:v>
      </x:c>
      <x:c r="V94" s="368" t="n">
        <x:f>IF(OR(COUNTIFS(Strategy!$B$36:$B$90,P94)&lt;&gt;1,COUNTIFS(Strategy!$B$36:$B$90,P94,Strategy!$E$36:$E$90,"&lt;&gt;")&lt;&gt;1),"",INDEX(Strategy!$E$36:$E$90,MATCH(P94,Strategy!$B$36:$B$90,0)))</x:f>
        <x:v>60</x:v>
      </x:c>
      <x:c r="W94" s="361" t="str">
        <x:f>IF(OR(COUNTIFS(Strategy!$B$36:$B$90,P94)&lt;&gt;1,COUNTIFS(Strategy!$B$36:$B$90,P94,Strategy!$F$36:$F$90,"&lt;&gt;")&lt;&gt;1),"",INDEX(Strategy!$F$36:$F$90,MATCH(P94,Strategy!$B$36:$B$90,0)))</x:f>
        <x:v>seconds</x:v>
      </x:c>
      <x:c r="X94" s="370" t="n">
        <x:f>IF(OR(COUNT(R94:V94)&lt;&gt;5,Q94&lt;&gt;W94,T94&lt;0,T94&gt;10,U94&lt;=0,V94&lt;=0,R94&lt;0,R94&lt;&gt;INT(R94),S94&lt;=0),"",T94*R94*S94/(U94*V94))</x:f>
        <x:v>0.16666666666666666</x:v>
      </x:c>
      <x:c r="Y94" s="374" t="str"/>
    </x:row>
    <x:row r="95" ht="15" hidden="0" customHeight="1">
      <x:c r="A95" s="326" t="n">
        <x:f>Daily!A29</x:f>
        <x:v>46366.5</x:v>
      </x:c>
      <x:c r="B95" s="318" t="str">
        <x:f>Daily!D29</x:f>
        <x:v>Skill B + circuit</x:v>
      </x:c>
      <x:c r="C95" s="318" t="str">
        <x:v>C · Unassisted pistol to target</x:v>
      </x:c>
      <x:c r="D95" s="318" t="str">
        <x:v>reps/leg</x:v>
      </x:c>
      <x:c r="E95" s="320" t="b">
        <x:v>1</x:v>
      </x:c>
      <x:c r="F95" s="328" t="n">
        <x:v>3</x:v>
      </x:c>
      <x:c r="G95" s="329" t="str">
        <x:f>IF(AND(OR(Daily!T29=TRUE,Daily!AB29=TRUE),COUNT(Daily!U29,Daily!V29,Daily!W29)&gt;0),SUM(Daily!U29,Daily!V29,Daily!W29),"")</x:f>
      </x:c>
      <x:c r="H95" s="329" t="n">
        <x:f>IF(AND(E95=TRUE,ISNUMBER(F95),F95&gt;0),100,"")</x:f>
        <x:v>100</x:v>
      </x:c>
      <x:c r="I95" s="329" t="str">
        <x:f>IF(AND(ISNUMBER(H95),ISNUMBER(G95)),IF(J95="lower",IF(G95&gt;0,100*F95/G95,""),100*G95/F95),"")</x:f>
      </x:c>
      <x:c r="J95" s="321" t="str">
        <x:v>higher</x:v>
      </x:c>
      <x:c r="N95" s="363" t="n">
        <x:f>Daily!A21</x:f>
        <x:v>46352.5</x:v>
      </x:c>
      <x:c r="O95" s="359" t="str">
        <x:f>Daily!D21</x:f>
        <x:v>Skill B + circuit</x:v>
      </x:c>
      <x:c r="P95" s="371" t="str">
        <x:v>Deficit pike push-up</x:v>
      </x:c>
      <x:c r="Q95" s="360" t="str">
        <x:v>reps</x:v>
      </x:c>
      <x:c r="R95" s="365" t="n">
        <x:v>3</x:v>
      </x:c>
      <x:c r="S95" s="365" t="n">
        <x:v>4</x:v>
      </x:c>
      <x:c r="T95" s="366" t="n">
        <x:f>IF(OR(COUNTIFS(Strategy!$B$36:$B$90,P95)&lt;&gt;1,COUNTIFS(Strategy!$B$36:$B$90,P95,Strategy!$C$36:$C$90,"&lt;&gt;")&lt;&gt;1),"",INDEX(Strategy!$C$36:$C$90,MATCH(P95,Strategy!$B$36:$B$90,0)))</x:f>
        <x:v>6</x:v>
      </x:c>
      <x:c r="U95" s="366" t="n">
        <x:f>IF(OR(COUNTIFS(Strategy!$B$36:$B$90,P95)&lt;&gt;1,COUNTIFS(Strategy!$B$36:$B$90,P95,Strategy!$D$36:$D$90,"&lt;&gt;")&lt;&gt;1),"",INDEX(Strategy!$D$36:$D$90,MATCH(P95,Strategy!$B$36:$B$90,0)))</x:f>
        <x:v>3</x:v>
      </x:c>
      <x:c r="V95" s="366" t="n">
        <x:f>IF(OR(COUNTIFS(Strategy!$B$36:$B$90,P95)&lt;&gt;1,COUNTIFS(Strategy!$B$36:$B$90,P95,Strategy!$E$36:$E$90,"&lt;&gt;")&lt;&gt;1),"",INDEX(Strategy!$E$36:$E$90,MATCH(P95,Strategy!$B$36:$B$90,0)))</x:f>
        <x:v>10</x:v>
      </x:c>
      <x:c r="W95" s="359" t="str">
        <x:f>IF(OR(COUNTIFS(Strategy!$B$36:$B$90,P95)&lt;&gt;1,COUNTIFS(Strategy!$B$36:$B$90,P95,Strategy!$F$36:$F$90,"&lt;&gt;")&lt;&gt;1),"",INDEX(Strategy!$F$36:$F$90,MATCH(P95,Strategy!$B$36:$B$90,0)))</x:f>
        <x:v>reps</x:v>
      </x:c>
      <x:c r="X95" s="369" t="n">
        <x:f>IF(OR(COUNT(R95:V95)&lt;&gt;5,Q95&lt;&gt;W95,T95&lt;0,T95&gt;10,U95&lt;=0,V95&lt;=0,R95&lt;0,R95&lt;&gt;INT(R95),S95&lt;=0),"",T95*R95*S95/(U95*V95))</x:f>
        <x:v>2.4</x:v>
      </x:c>
      <x:c r="Y95" s="373" t="str"/>
    </x:row>
    <x:row r="96" ht="15" hidden="0" customHeight="1">
      <x:c r="A96" s="327" t="n">
        <x:f>Daily!A29</x:f>
        <x:v>46366.5</x:v>
      </x:c>
      <x:c r="B96" s="322" t="str">
        <x:f>Daily!D29</x:f>
        <x:v>Skill B + circuit</x:v>
      </x:c>
      <x:c r="C96" s="322" t="str">
        <x:v>Core</x:v>
      </x:c>
      <x:c r="D96" s="322" t="str">
        <x:v>rounds</x:v>
      </x:c>
      <x:c r="E96" s="324" t="b">
        <x:v>1</x:v>
      </x:c>
      <x:c r="F96" s="330" t="n">
        <x:v>5</x:v>
      </x:c>
      <x:c r="G96" s="331" t="str">
        <x:f>IF(AND(OR(Daily!Z29=TRUE,Daily!AB29=TRUE),COUNT(Daily!AA29)&gt;0),SUM(Daily!AA29),"")</x:f>
      </x:c>
      <x:c r="H96" s="331" t="n">
        <x:f>IF(AND(E96=TRUE,ISNUMBER(F96),F96&gt;0),100,"")</x:f>
        <x:v>100</x:v>
      </x:c>
      <x:c r="I96" s="331" t="str">
        <x:f>IF(AND(ISNUMBER(H96),ISNUMBER(G96)),IF(J96="lower",IF(G96&gt;0,100*F96/G96,""),100*G96/F96),"")</x:f>
      </x:c>
      <x:c r="J96" s="325" t="str">
        <x:v>higher</x:v>
      </x:c>
      <x:c r="N96" s="364" t="n">
        <x:f>Daily!A21</x:f>
        <x:v>46352.5</x:v>
      </x:c>
      <x:c r="O96" s="361" t="str">
        <x:f>Daily!D21</x:f>
        <x:v>Skill B + circuit</x:v>
      </x:c>
      <x:c r="P96" s="372" t="str">
        <x:v>Wall HSPU negative</x:v>
      </x:c>
      <x:c r="Q96" s="362" t="str">
        <x:v>reps</x:v>
      </x:c>
      <x:c r="R96" s="367" t="n">
        <x:v>3</x:v>
      </x:c>
      <x:c r="S96" s="367" t="n">
        <x:v>2</x:v>
      </x:c>
      <x:c r="T96" s="368" t="n">
        <x:f>IF(OR(COUNTIFS(Strategy!$B$36:$B$90,P96)&lt;&gt;1,COUNTIFS(Strategy!$B$36:$B$90,P96,Strategy!$C$36:$C$90,"&lt;&gt;")&lt;&gt;1),"",INDEX(Strategy!$C$36:$C$90,MATCH(P96,Strategy!$B$36:$B$90,0)))</x:f>
        <x:v>7</x:v>
      </x:c>
      <x:c r="U96" s="368" t="n">
        <x:f>IF(OR(COUNTIFS(Strategy!$B$36:$B$90,P96)&lt;&gt;1,COUNTIFS(Strategy!$B$36:$B$90,P96,Strategy!$D$36:$D$90,"&lt;&gt;")&lt;&gt;1),"",INDEX(Strategy!$D$36:$D$90,MATCH(P96,Strategy!$B$36:$B$90,0)))</x:f>
        <x:v>3</x:v>
      </x:c>
      <x:c r="V96" s="368" t="n">
        <x:f>IF(OR(COUNTIFS(Strategy!$B$36:$B$90,P96)&lt;&gt;1,COUNTIFS(Strategy!$B$36:$B$90,P96,Strategy!$E$36:$E$90,"&lt;&gt;")&lt;&gt;1),"",INDEX(Strategy!$E$36:$E$90,MATCH(P96,Strategy!$B$36:$B$90,0)))</x:f>
        <x:v>10</x:v>
      </x:c>
      <x:c r="W96" s="361" t="str">
        <x:f>IF(OR(COUNTIFS(Strategy!$B$36:$B$90,P96)&lt;&gt;1,COUNTIFS(Strategy!$B$36:$B$90,P96,Strategy!$F$36:$F$90,"&lt;&gt;")&lt;&gt;1),"",INDEX(Strategy!$F$36:$F$90,MATCH(P96,Strategy!$B$36:$B$90,0)))</x:f>
        <x:v>reps</x:v>
      </x:c>
      <x:c r="X96" s="370" t="n">
        <x:f>IF(OR(COUNT(R96:V96)&lt;&gt;5,Q96&lt;&gt;W96,T96&lt;0,T96&gt;10,U96&lt;=0,V96&lt;=0,R96&lt;0,R96&lt;&gt;INT(R96),S96&lt;=0),"",T96*R96*S96/(U96*V96))</x:f>
        <x:v>1.4</x:v>
      </x:c>
      <x:c r="Y96" s="374" t="str">
        <x:v>Count reps; the 3-second lowering tempo is not added as hold time.</x:v>
      </x:c>
    </x:row>
    <x:row r="97" ht="15" hidden="0" customHeight="1">
      <x:c r="A97" s="326" t="n">
        <x:f>Daily!A30</x:f>
        <x:v>46368.5</x:v>
      </x:c>
      <x:c r="B97" s="318" t="str">
        <x:f>Daily!D30</x:f>
        <x:v>Skill micro-session</x:v>
      </x:c>
      <x:c r="C97" s="318" t="str">
        <x:v>A · Wrist/shoulder mobility</x:v>
      </x:c>
      <x:c r="D97" s="318" t="str">
        <x:v>seconds</x:v>
      </x:c>
      <x:c r="E97" s="320" t="b">
        <x:v>1</x:v>
      </x:c>
      <x:c r="F97" s="328" t="n">
        <x:v>120</x:v>
      </x:c>
      <x:c r="G97" s="329" t="str">
        <x:f>IF(AND(OR(Daily!H30=TRUE,Daily!AB30=TRUE),COUNT(Daily!I30)&gt;0),SUM(Daily!I30)*86400,"")</x:f>
      </x:c>
      <x:c r="H97" s="329" t="n">
        <x:f>IF(AND(E97=TRUE,ISNUMBER(F97),F97&gt;0),100,"")</x:f>
        <x:v>100</x:v>
      </x:c>
      <x:c r="I97" s="329" t="str">
        <x:f>IF(AND(ISNUMBER(H97),ISNUMBER(G97)),IF(J97="lower",IF(G97&gt;0,100*F97/G97,""),100*G97/F97),"")</x:f>
      </x:c>
      <x:c r="J97" s="321" t="str">
        <x:v>higher</x:v>
      </x:c>
      <x:c r="N97" s="363" t="n">
        <x:f>Daily!A21</x:f>
        <x:v>46352.5</x:v>
      </x:c>
      <x:c r="O97" s="359" t="str">
        <x:f>Daily!D21</x:f>
        <x:v>Skill B + circuit</x:v>
      </x:c>
      <x:c r="P97" s="371" t="str">
        <x:v>Counterweight pistol</x:v>
      </x:c>
      <x:c r="Q97" s="360" t="str">
        <x:v>reps/leg</x:v>
      </x:c>
      <x:c r="R97" s="365" t="n">
        <x:v>3</x:v>
      </x:c>
      <x:c r="S97" s="365" t="n">
        <x:v>4</x:v>
      </x:c>
      <x:c r="T97" s="366" t="n">
        <x:f>IF(OR(COUNTIFS(Strategy!$B$36:$B$90,P97)&lt;&gt;1,COUNTIFS(Strategy!$B$36:$B$90,P97,Strategy!$C$36:$C$90,"&lt;&gt;")&lt;&gt;1),"",INDEX(Strategy!$C$36:$C$90,MATCH(P97,Strategy!$B$36:$B$90,0)))</x:f>
        <x:v>4</x:v>
      </x:c>
      <x:c r="U97" s="366" t="n">
        <x:f>IF(OR(COUNTIFS(Strategy!$B$36:$B$90,P97)&lt;&gt;1,COUNTIFS(Strategy!$B$36:$B$90,P97,Strategy!$D$36:$D$90,"&lt;&gt;")&lt;&gt;1),"",INDEX(Strategy!$D$36:$D$90,MATCH(P97,Strategy!$B$36:$B$90,0)))</x:f>
        <x:v>3</x:v>
      </x:c>
      <x:c r="V97" s="366" t="n">
        <x:f>IF(OR(COUNTIFS(Strategy!$B$36:$B$90,P97)&lt;&gt;1,COUNTIFS(Strategy!$B$36:$B$90,P97,Strategy!$E$36:$E$90,"&lt;&gt;")&lt;&gt;1),"",INDEX(Strategy!$E$36:$E$90,MATCH(P97,Strategy!$B$36:$B$90,0)))</x:f>
        <x:v>10</x:v>
      </x:c>
      <x:c r="W97" s="359" t="str">
        <x:f>IF(OR(COUNTIFS(Strategy!$B$36:$B$90,P97)&lt;&gt;1,COUNTIFS(Strategy!$B$36:$B$90,P97,Strategy!$F$36:$F$90,"&lt;&gt;")&lt;&gt;1),"",INDEX(Strategy!$F$36:$F$90,MATCH(P97,Strategy!$B$36:$B$90,0)))</x:f>
        <x:v>reps/leg</x:v>
      </x:c>
      <x:c r="X97" s="369" t="n">
        <x:f>IF(OR(COUNT(R97:V97)&lt;&gt;5,Q97&lt;&gt;W97,T97&lt;0,T97&gt;10,U97&lt;=0,V97&lt;=0,R97&lt;0,R97&lt;&gt;INT(R97),S97&lt;=0),"",T97*R97*S97/(U97*V97))</x:f>
        <x:v>1.6</x:v>
      </x:c>
      <x:c r="Y97" s="373" t="str"/>
    </x:row>
    <x:row r="98" ht="15" hidden="0" customHeight="1">
      <x:c r="A98" s="327" t="n">
        <x:f>Daily!A30</x:f>
        <x:v>46368.5</x:v>
      </x:c>
      <x:c r="B98" s="322" t="str">
        <x:f>Daily!D30</x:f>
        <x:v>Skill micro-session</x:v>
      </x:c>
      <x:c r="C98" s="322" t="str">
        <x:v>B · Easy chest-to-wall hold</x:v>
      </x:c>
      <x:c r="D98" s="322" t="str">
        <x:v>seconds</x:v>
      </x:c>
      <x:c r="E98" s="324" t="b">
        <x:v>1</x:v>
      </x:c>
      <x:c r="F98" s="330" t="n">
        <x:v>45</x:v>
      </x:c>
      <x:c r="G98" s="331" t="str">
        <x:f>IF(AND(OR(Daily!N30=TRUE,Daily!AB30=TRUE),COUNT(Daily!O30,Daily!P30,Daily!Q30)&gt;0),SUM(Daily!O30,Daily!P30,Daily!Q30)*86400,"")</x:f>
      </x:c>
      <x:c r="H98" s="331" t="n">
        <x:f>IF(AND(E98=TRUE,ISNUMBER(F98),F98&gt;0),100,"")</x:f>
        <x:v>100</x:v>
      </x:c>
      <x:c r="I98" s="331" t="str">
        <x:f>IF(AND(ISNUMBER(H98),ISNUMBER(G98)),IF(J98="lower",IF(G98&gt;0,100*F98/G98,""),100*G98/F98),"")</x:f>
      </x:c>
      <x:c r="J98" s="325" t="str">
        <x:v>higher</x:v>
      </x:c>
      <x:c r="N98" s="364" t="n">
        <x:f>Daily!A21</x:f>
        <x:v>46352.5</x:v>
      </x:c>
      <x:c r="O98" s="361" t="str">
        <x:f>Daily!D21</x:f>
        <x:v>Skill B + circuit</x:v>
      </x:c>
      <x:c r="P98" s="372" t="str">
        <x:v>Pull-up</x:v>
      </x:c>
      <x:c r="Q98" s="362" t="str">
        <x:v>seconds</x:v>
      </x:c>
      <x:c r="R98" s="367" t="n">
        <x:v>5</x:v>
      </x:c>
      <x:c r="S98" s="367" t="n">
        <x:v>30</x:v>
      </x:c>
      <x:c r="T98" s="368" t="n">
        <x:f>IF(OR(COUNTIFS(Strategy!$B$36:$B$90,P98)&lt;&gt;1,COUNTIFS(Strategy!$B$36:$B$90,P98,Strategy!$C$36:$C$90,"&lt;&gt;")&lt;&gt;1),"",INDEX(Strategy!$C$36:$C$90,MATCH(P98,Strategy!$B$36:$B$90,0)))</x:f>
        <x:v>1</x:v>
      </x:c>
      <x:c r="U98" s="368" t="n">
        <x:f>IF(OR(COUNTIFS(Strategy!$B$36:$B$90,P98)&lt;&gt;1,COUNTIFS(Strategy!$B$36:$B$90,P98,Strategy!$D$36:$D$90,"&lt;&gt;")&lt;&gt;1),"",INDEX(Strategy!$D$36:$D$90,MATCH(P98,Strategy!$B$36:$B$90,0)))</x:f>
        <x:v>5</x:v>
      </x:c>
      <x:c r="V98" s="368" t="n">
        <x:f>IF(OR(COUNTIFS(Strategy!$B$36:$B$90,P98)&lt;&gt;1,COUNTIFS(Strategy!$B$36:$B$90,P98,Strategy!$E$36:$E$90,"&lt;&gt;")&lt;&gt;1),"",INDEX(Strategy!$E$36:$E$90,MATCH(P98,Strategy!$B$36:$B$90,0)))</x:f>
        <x:v>120</x:v>
      </x:c>
      <x:c r="W98" s="361" t="str">
        <x:f>IF(OR(COUNTIFS(Strategy!$B$36:$B$90,P98)&lt;&gt;1,COUNTIFS(Strategy!$B$36:$B$90,P98,Strategy!$F$36:$F$90,"&lt;&gt;")&lt;&gt;1),"",INDEX(Strategy!$F$36:$F$90,MATCH(P98,Strategy!$B$36:$B$90,0)))</x:f>
        <x:v>seconds</x:v>
      </x:c>
      <x:c r="X98" s="370" t="n">
        <x:f>IF(OR(COUNT(R98:V98)&lt;&gt;5,Q98&lt;&gt;W98,T98&lt;0,T98&gt;10,U98&lt;=0,V98&lt;=0,R98&lt;0,R98&lt;&gt;INT(R98),S98&lt;=0),"",T98*R98*S98/(U98*V98))</x:f>
        <x:v>0.25</x:v>
      </x:c>
      <x:c r="Y98" s="374" t="str">
        <x:v>Core: one 30-second work interval per round; rest excluded.</x:v>
      </x:c>
    </x:row>
    <x:row r="99" ht="15" hidden="0" customHeight="1">
      <x:c r="A99" s="326" t="n">
        <x:f>Daily!A30</x:f>
        <x:v>46368.5</x:v>
      </x:c>
      <x:c r="B99" s="318" t="str">
        <x:f>Daily!D30</x:f>
        <x:v>Skill micro-session</x:v>
      </x:c>
      <x:c r="C99" s="318" t="str">
        <x:v>C · Wall handstand line drill</x:v>
      </x:c>
      <x:c r="D99" s="318" t="str">
        <x:v>seconds</x:v>
      </x:c>
      <x:c r="E99" s="320" t="b">
        <x:v>1</x:v>
      </x:c>
      <x:c r="F99" s="328" t="n">
        <x:v>45</x:v>
      </x:c>
      <x:c r="G99" s="329" t="str">
        <x:f>IF(AND(OR(Daily!T30=TRUE,Daily!AB30=TRUE),COUNT(Daily!U30,Daily!V30,Daily!W30)&gt;0),SUM(Daily!U30,Daily!V30,Daily!W30)*86400,"")</x:f>
      </x:c>
      <x:c r="H99" s="329" t="n">
        <x:f>IF(AND(E99=TRUE,ISNUMBER(F99),F99&gt;0),100,"")</x:f>
        <x:v>100</x:v>
      </x:c>
      <x:c r="I99" s="329" t="str">
        <x:f>IF(AND(ISNUMBER(H99),ISNUMBER(G99)),IF(J99="lower",IF(G99&gt;0,100*F99/G99,""),100*G99/F99),"")</x:f>
      </x:c>
      <x:c r="J99" s="321" t="str">
        <x:v>higher</x:v>
      </x:c>
      <x:c r="N99" s="363" t="n">
        <x:f>Daily!A21</x:f>
        <x:v>46352.5</x:v>
      </x:c>
      <x:c r="O99" s="359" t="str">
        <x:f>Daily!D21</x:f>
        <x:v>Skill B + circuit</x:v>
      </x:c>
      <x:c r="P99" s="371" t="str">
        <x:v>Push-up</x:v>
      </x:c>
      <x:c r="Q99" s="360" t="str">
        <x:v>seconds</x:v>
      </x:c>
      <x:c r="R99" s="365" t="n">
        <x:v>5</x:v>
      </x:c>
      <x:c r="S99" s="365" t="n">
        <x:v>30</x:v>
      </x:c>
      <x:c r="T99" s="366" t="n">
        <x:f>IF(OR(COUNTIFS(Strategy!$B$36:$B$90,P99)&lt;&gt;1,COUNTIFS(Strategy!$B$36:$B$90,P99,Strategy!$C$36:$C$90,"&lt;&gt;")&lt;&gt;1),"",INDEX(Strategy!$C$36:$C$90,MATCH(P99,Strategy!$B$36:$B$90,0)))</x:f>
        <x:v>1</x:v>
      </x:c>
      <x:c r="U99" s="366" t="n">
        <x:f>IF(OR(COUNTIFS(Strategy!$B$36:$B$90,P99)&lt;&gt;1,COUNTIFS(Strategy!$B$36:$B$90,P99,Strategy!$D$36:$D$90,"&lt;&gt;")&lt;&gt;1),"",INDEX(Strategy!$D$36:$D$90,MATCH(P99,Strategy!$B$36:$B$90,0)))</x:f>
        <x:v>5</x:v>
      </x:c>
      <x:c r="V99" s="366" t="n">
        <x:f>IF(OR(COUNTIFS(Strategy!$B$36:$B$90,P99)&lt;&gt;1,COUNTIFS(Strategy!$B$36:$B$90,P99,Strategy!$E$36:$E$90,"&lt;&gt;")&lt;&gt;1),"",INDEX(Strategy!$E$36:$E$90,MATCH(P99,Strategy!$B$36:$B$90,0)))</x:f>
        <x:v>120</x:v>
      </x:c>
      <x:c r="W99" s="359" t="str">
        <x:f>IF(OR(COUNTIFS(Strategy!$B$36:$B$90,P99)&lt;&gt;1,COUNTIFS(Strategy!$B$36:$B$90,P99,Strategy!$F$36:$F$90,"&lt;&gt;")&lt;&gt;1),"",INDEX(Strategy!$F$36:$F$90,MATCH(P99,Strategy!$B$36:$B$90,0)))</x:f>
        <x:v>seconds</x:v>
      </x:c>
      <x:c r="X99" s="369" t="n">
        <x:f>IF(OR(COUNT(R99:V99)&lt;&gt;5,Q99&lt;&gt;W99,T99&lt;0,T99&gt;10,U99&lt;=0,V99&lt;=0,R99&lt;0,R99&lt;&gt;INT(R99),S99&lt;=0),"",T99*R99*S99/(U99*V99))</x:f>
        <x:v>0.25</x:v>
      </x:c>
      <x:c r="Y99" s="373" t="str">
        <x:v>Core: one 30-second work interval per round; rest excluded.</x:v>
      </x:c>
    </x:row>
    <x:row r="100" ht="15" hidden="0" customHeight="1">
      <x:c r="A100" s="327" t="n">
        <x:f>Daily!A31</x:f>
        <x:v>46370.5</x:v>
      </x:c>
      <x:c r="B100" s="322" t="str">
        <x:f>Daily!D31</x:f>
        <x:v>Skill A + interval circuit</x:v>
      </x:c>
      <x:c r="C100" s="322" t="str">
        <x:v>A · Easy high pull</x:v>
      </x:c>
      <x:c r="D100" s="322" t="str">
        <x:v>reps</x:v>
      </x:c>
      <x:c r="E100" s="324" t="b">
        <x:v>1</x:v>
      </x:c>
      <x:c r="F100" s="330" t="n">
        <x:v>3</x:v>
      </x:c>
      <x:c r="G100" s="331" t="str">
        <x:f>IF(AND(OR(Daily!H31=TRUE,Daily!AB31=TRUE),COUNT(Daily!I31)&gt;0),SUM(Daily!I31),"")</x:f>
      </x:c>
      <x:c r="H100" s="331" t="n">
        <x:f>IF(AND(E100=TRUE,ISNUMBER(F100),F100&gt;0),100,"")</x:f>
        <x:v>100</x:v>
      </x:c>
      <x:c r="I100" s="331" t="str">
        <x:f>IF(AND(ISNUMBER(H100),ISNUMBER(G100)),IF(J100="lower",IF(G100&gt;0,100*F100/G100,""),100*G100/F100),"")</x:f>
      </x:c>
      <x:c r="J100" s="325" t="str">
        <x:v>higher</x:v>
      </x:c>
      <x:c r="N100" s="364" t="n">
        <x:f>Daily!A21</x:f>
        <x:v>46352.5</x:v>
      </x:c>
      <x:c r="O100" s="361" t="str">
        <x:f>Daily!D21</x:f>
        <x:v>Skill B + circuit</x:v>
      </x:c>
      <x:c r="P100" s="372" t="str">
        <x:v>Weighted squat</x:v>
      </x:c>
      <x:c r="Q100" s="362" t="str">
        <x:v>seconds</x:v>
      </x:c>
      <x:c r="R100" s="367" t="n">
        <x:v>5</x:v>
      </x:c>
      <x:c r="S100" s="367" t="n">
        <x:v>30</x:v>
      </x:c>
      <x:c r="T100" s="368" t="n">
        <x:f>IF(OR(COUNTIFS(Strategy!$B$36:$B$90,P100)&lt;&gt;1,COUNTIFS(Strategy!$B$36:$B$90,P100,Strategy!$C$36:$C$90,"&lt;&gt;")&lt;&gt;1),"",INDEX(Strategy!$C$36:$C$90,MATCH(P100,Strategy!$B$36:$B$90,0)))</x:f>
        <x:v>1</x:v>
      </x:c>
      <x:c r="U100" s="368" t="n">
        <x:f>IF(OR(COUNTIFS(Strategy!$B$36:$B$90,P100)&lt;&gt;1,COUNTIFS(Strategy!$B$36:$B$90,P100,Strategy!$D$36:$D$90,"&lt;&gt;")&lt;&gt;1),"",INDEX(Strategy!$D$36:$D$90,MATCH(P100,Strategy!$B$36:$B$90,0)))</x:f>
        <x:v>5</x:v>
      </x:c>
      <x:c r="V100" s="368" t="n">
        <x:f>IF(OR(COUNTIFS(Strategy!$B$36:$B$90,P100)&lt;&gt;1,COUNTIFS(Strategy!$B$36:$B$90,P100,Strategy!$E$36:$E$90,"&lt;&gt;")&lt;&gt;1),"",INDEX(Strategy!$E$36:$E$90,MATCH(P100,Strategy!$B$36:$B$90,0)))</x:f>
        <x:v>120</x:v>
      </x:c>
      <x:c r="W100" s="361" t="str">
        <x:f>IF(OR(COUNTIFS(Strategy!$B$36:$B$90,P100)&lt;&gt;1,COUNTIFS(Strategy!$B$36:$B$90,P100,Strategy!$F$36:$F$90,"&lt;&gt;")&lt;&gt;1),"",INDEX(Strategy!$F$36:$F$90,MATCH(P100,Strategy!$B$36:$B$90,0)))</x:f>
        <x:v>seconds</x:v>
      </x:c>
      <x:c r="X100" s="370" t="n">
        <x:f>IF(OR(COUNT(R100:V100)&lt;&gt;5,Q100&lt;&gt;W100,T100&lt;0,T100&gt;10,U100&lt;=0,V100&lt;=0,R100&lt;0,R100&lt;&gt;INT(R100),S100&lt;=0),"",T100*R100*S100/(U100*V100))</x:f>
        <x:v>0.25</x:v>
      </x:c>
      <x:c r="Y100" s="374" t="str">
        <x:v>Core: one 30-second work interval per round; rest excluded.</x:v>
      </x:c>
    </x:row>
    <x:row r="101" ht="15" hidden="0" customHeight="1">
      <x:c r="A101" s="326" t="n">
        <x:f>Daily!A31</x:f>
        <x:v>46370.5</x:v>
      </x:c>
      <x:c r="B101" s="318" t="str">
        <x:f>Daily!D31</x:f>
        <x:v>Skill A + interval circuit</x:v>
      </x:c>
      <x:c r="C101" s="318" t="str">
        <x:v>B · Easy low-bar transition</x:v>
      </x:c>
      <x:c r="D101" s="318" t="str">
        <x:v>reps</x:v>
      </x:c>
      <x:c r="E101" s="320" t="b">
        <x:v>1</x:v>
      </x:c>
      <x:c r="F101" s="328" t="n">
        <x:v>3</x:v>
      </x:c>
      <x:c r="G101" s="329" t="str">
        <x:f>IF(AND(OR(Daily!N31=TRUE,Daily!AB31=TRUE),COUNT(Daily!O31)&gt;0),SUM(Daily!O31),"")</x:f>
      </x:c>
      <x:c r="H101" s="329" t="n">
        <x:f>IF(AND(E101=TRUE,ISNUMBER(F101),F101&gt;0),100,"")</x:f>
        <x:v>100</x:v>
      </x:c>
      <x:c r="I101" s="329" t="str">
        <x:f>IF(AND(ISNUMBER(H101),ISNUMBER(G101)),IF(J101="lower",IF(G101&gt;0,100*F101/G101,""),100*G101/F101),"")</x:f>
      </x:c>
      <x:c r="J101" s="321" t="str">
        <x:v>higher</x:v>
      </x:c>
      <x:c r="N101" s="363" t="n">
        <x:f>Daily!A21</x:f>
        <x:v>46352.5</x:v>
      </x:c>
      <x:c r="O101" s="359" t="str">
        <x:f>Daily!D21</x:f>
        <x:v>Skill B + circuit</x:v>
      </x:c>
      <x:c r="P101" s="371" t="str">
        <x:v>Upside-down hanging shoulder/ab work</x:v>
      </x:c>
      <x:c r="Q101" s="360" t="str">
        <x:v>seconds</x:v>
      </x:c>
      <x:c r="R101" s="365" t="n">
        <x:v>5</x:v>
      </x:c>
      <x:c r="S101" s="365" t="n">
        <x:v>30</x:v>
      </x:c>
      <x:c r="T101" s="366" t="n">
        <x:f>IF(OR(COUNTIFS(Strategy!$B$36:$B$90,P101)&lt;&gt;1,COUNTIFS(Strategy!$B$36:$B$90,P101,Strategy!$C$36:$C$90,"&lt;&gt;")&lt;&gt;1),"",INDEX(Strategy!$C$36:$C$90,MATCH(P101,Strategy!$B$36:$B$90,0)))</x:f>
        <x:v>1</x:v>
      </x:c>
      <x:c r="U101" s="366" t="n">
        <x:f>IF(OR(COUNTIFS(Strategy!$B$36:$B$90,P101)&lt;&gt;1,COUNTIFS(Strategy!$B$36:$B$90,P101,Strategy!$D$36:$D$90,"&lt;&gt;")&lt;&gt;1),"",INDEX(Strategy!$D$36:$D$90,MATCH(P101,Strategy!$B$36:$B$90,0)))</x:f>
        <x:v>5</x:v>
      </x:c>
      <x:c r="V101" s="366" t="n">
        <x:f>IF(OR(COUNTIFS(Strategy!$B$36:$B$90,P101)&lt;&gt;1,COUNTIFS(Strategy!$B$36:$B$90,P101,Strategy!$E$36:$E$90,"&lt;&gt;")&lt;&gt;1),"",INDEX(Strategy!$E$36:$E$90,MATCH(P101,Strategy!$B$36:$B$90,0)))</x:f>
        <x:v>120</x:v>
      </x:c>
      <x:c r="W101" s="359" t="str">
        <x:f>IF(OR(COUNTIFS(Strategy!$B$36:$B$90,P101)&lt;&gt;1,COUNTIFS(Strategy!$B$36:$B$90,P101,Strategy!$F$36:$F$90,"&lt;&gt;")&lt;&gt;1),"",INDEX(Strategy!$F$36:$F$90,MATCH(P101,Strategy!$B$36:$B$90,0)))</x:f>
        <x:v>seconds</x:v>
      </x:c>
      <x:c r="X101" s="369" t="n">
        <x:f>IF(OR(COUNT(R101:V101)&lt;&gt;5,Q101&lt;&gt;W101,T101&lt;0,T101&gt;10,U101&lt;=0,V101&lt;=0,R101&lt;0,R101&lt;&gt;INT(R101),S101&lt;=0),"",T101*R101*S101/(U101*V101))</x:f>
        <x:v>0.25</x:v>
      </x:c>
      <x:c r="Y101" s="373" t="str">
        <x:v>Core: one 30-second work interval per round; rest excluded.</x:v>
      </x:c>
    </x:row>
    <x:row r="102" ht="15" hidden="0" customHeight="1">
      <x:c r="A102" s="327" t="n">
        <x:f>Daily!A31</x:f>
        <x:v>46370.5</x:v>
      </x:c>
      <x:c r="B102" s="322" t="str">
        <x:f>Daily!D31</x:f>
        <x:v>Skill A + interval circuit</x:v>
      </x:c>
      <x:c r="C102" s="322" t="str">
        <x:v>C · Assisted smooth pistol</x:v>
      </x:c>
      <x:c r="D102" s="322" t="str">
        <x:v>reps/leg</x:v>
      </x:c>
      <x:c r="E102" s="324" t="b">
        <x:v>1</x:v>
      </x:c>
      <x:c r="F102" s="330" t="n">
        <x:v>3</x:v>
      </x:c>
      <x:c r="G102" s="331" t="str">
        <x:f>IF(AND(OR(Daily!T31=TRUE,Daily!AB31=TRUE),COUNT(Daily!U31)&gt;0),SUM(Daily!U31),"")</x:f>
      </x:c>
      <x:c r="H102" s="331" t="n">
        <x:f>IF(AND(E102=TRUE,ISNUMBER(F102),F102&gt;0),100,"")</x:f>
        <x:v>100</x:v>
      </x:c>
      <x:c r="I102" s="331" t="str">
        <x:f>IF(AND(ISNUMBER(H102),ISNUMBER(G102)),IF(J102="lower",IF(G102&gt;0,100*F102/G102,""),100*G102/F102),"")</x:f>
      </x:c>
      <x:c r="J102" s="325" t="str">
        <x:v>higher</x:v>
      </x:c>
      <x:c r="N102" s="364" t="n">
        <x:f>Daily!A22</x:f>
        <x:v>46354.5</x:v>
      </x:c>
      <x:c r="O102" s="361" t="str">
        <x:f>Daily!D22</x:f>
        <x:v>Skill micro-session</x:v>
      </x:c>
      <x:c r="P102" s="372" t="str">
        <x:v>Wrist/shoulder mobility</x:v>
      </x:c>
      <x:c r="Q102" s="362" t="str">
        <x:v>seconds</x:v>
      </x:c>
      <x:c r="R102" s="367" t="n">
        <x:v>1</x:v>
      </x:c>
      <x:c r="S102" s="367" t="n">
        <x:v>120</x:v>
      </x:c>
      <x:c r="T102" s="368" t="n">
        <x:f>IF(OR(COUNTIFS(Strategy!$B$36:$B$90,P102)&lt;&gt;1,COUNTIFS(Strategy!$B$36:$B$90,P102,Strategy!$C$36:$C$90,"&lt;&gt;")&lt;&gt;1),"",INDEX(Strategy!$C$36:$C$90,MATCH(P102,Strategy!$B$36:$B$90,0)))</x:f>
        <x:v>1</x:v>
      </x:c>
      <x:c r="U102" s="368" t="n">
        <x:f>IF(OR(COUNTIFS(Strategy!$B$36:$B$90,P102)&lt;&gt;1,COUNTIFS(Strategy!$B$36:$B$90,P102,Strategy!$D$36:$D$90,"&lt;&gt;")&lt;&gt;1),"",INDEX(Strategy!$D$36:$D$90,MATCH(P102,Strategy!$B$36:$B$90,0)))</x:f>
        <x:v>3</x:v>
      </x:c>
      <x:c r="V102" s="368" t="n">
        <x:f>IF(OR(COUNTIFS(Strategy!$B$36:$B$90,P102)&lt;&gt;1,COUNTIFS(Strategy!$B$36:$B$90,P102,Strategy!$E$36:$E$90,"&lt;&gt;")&lt;&gt;1),"",INDEX(Strategy!$E$36:$E$90,MATCH(P102,Strategy!$B$36:$B$90,0)))</x:f>
        <x:v>60</x:v>
      </x:c>
      <x:c r="W102" s="361" t="str">
        <x:f>IF(OR(COUNTIFS(Strategy!$B$36:$B$90,P102)&lt;&gt;1,COUNTIFS(Strategy!$B$36:$B$90,P102,Strategy!$F$36:$F$90,"&lt;&gt;")&lt;&gt;1),"",INDEX(Strategy!$F$36:$F$90,MATCH(P102,Strategy!$B$36:$B$90,0)))</x:f>
        <x:v>seconds</x:v>
      </x:c>
      <x:c r="X102" s="370" t="n">
        <x:f>IF(OR(COUNT(R102:V102)&lt;&gt;5,Q102&lt;&gt;W102,T102&lt;0,T102&gt;10,U102&lt;=0,V102&lt;=0,R102&lt;0,R102&lt;&gt;INT(R102),S102&lt;=0),"",T102*R102*S102/(U102*V102))</x:f>
        <x:v>0.6666666666666666</x:v>
      </x:c>
      <x:c r="Y102" s="374" t="str"/>
    </x:row>
    <x:row r="103" ht="15" hidden="0" customHeight="1">
      <x:c r="A103" s="326" t="n">
        <x:f>Daily!A31</x:f>
        <x:v>46370.5</x:v>
      </x:c>
      <x:c r="B103" s="318" t="str">
        <x:f>Daily!D31</x:f>
        <x:v>Skill A + interval circuit</x:v>
      </x:c>
      <x:c r="C103" s="318" t="str">
        <x:v>Core</x:v>
      </x:c>
      <x:c r="D103" s="318" t="str">
        <x:v>rounds</x:v>
      </x:c>
      <x:c r="E103" s="320" t="b">
        <x:v>1</x:v>
      </x:c>
      <x:c r="F103" s="328" t="n">
        <x:v>3</x:v>
      </x:c>
      <x:c r="G103" s="329" t="str">
        <x:f>IF(AND(OR(Daily!Z31=TRUE,Daily!AB31=TRUE),COUNT(Daily!AA31)&gt;0),SUM(Daily!AA31),"")</x:f>
      </x:c>
      <x:c r="H103" s="329" t="n">
        <x:f>IF(AND(E103=TRUE,ISNUMBER(F103),F103&gt;0),100,"")</x:f>
        <x:v>100</x:v>
      </x:c>
      <x:c r="I103" s="329" t="str">
        <x:f>IF(AND(ISNUMBER(H103),ISNUMBER(G103)),IF(J103="lower",IF(G103&gt;0,100*F103/G103,""),100*G103/F103),"")</x:f>
      </x:c>
      <x:c r="J103" s="321" t="str">
        <x:v>higher</x:v>
      </x:c>
      <x:c r="N103" s="363" t="n">
        <x:f>Daily!A22</x:f>
        <x:v>46354.5</x:v>
      </x:c>
      <x:c r="O103" s="359" t="str">
        <x:f>Daily!D22</x:f>
        <x:v>Skill micro-session</x:v>
      </x:c>
      <x:c r="P103" s="371" t="str">
        <x:v>Easy chest-to-wall hold</x:v>
      </x:c>
      <x:c r="Q103" s="360" t="str">
        <x:v>seconds</x:v>
      </x:c>
      <x:c r="R103" s="365" t="n">
        <x:v>3</x:v>
      </x:c>
      <x:c r="S103" s="365" t="n">
        <x:v>15</x:v>
      </x:c>
      <x:c r="T103" s="366" t="n">
        <x:f>IF(OR(COUNTIFS(Strategy!$B$36:$B$90,P103)&lt;&gt;1,COUNTIFS(Strategy!$B$36:$B$90,P103,Strategy!$C$36:$C$90,"&lt;&gt;")&lt;&gt;1),"",INDEX(Strategy!$C$36:$C$90,MATCH(P103,Strategy!$B$36:$B$90,0)))</x:f>
        <x:v>1</x:v>
      </x:c>
      <x:c r="U103" s="366" t="n">
        <x:f>IF(OR(COUNTIFS(Strategy!$B$36:$B$90,P103)&lt;&gt;1,COUNTIFS(Strategy!$B$36:$B$90,P103,Strategy!$D$36:$D$90,"&lt;&gt;")&lt;&gt;1),"",INDEX(Strategy!$D$36:$D$90,MATCH(P103,Strategy!$B$36:$B$90,0)))</x:f>
        <x:v>3</x:v>
      </x:c>
      <x:c r="V103" s="366" t="n">
        <x:f>IF(OR(COUNTIFS(Strategy!$B$36:$B$90,P103)&lt;&gt;1,COUNTIFS(Strategy!$B$36:$B$90,P103,Strategy!$E$36:$E$90,"&lt;&gt;")&lt;&gt;1),"",INDEX(Strategy!$E$36:$E$90,MATCH(P103,Strategy!$B$36:$B$90,0)))</x:f>
        <x:v>60</x:v>
      </x:c>
      <x:c r="W103" s="359" t="str">
        <x:f>IF(OR(COUNTIFS(Strategy!$B$36:$B$90,P103)&lt;&gt;1,COUNTIFS(Strategy!$B$36:$B$90,P103,Strategy!$F$36:$F$90,"&lt;&gt;")&lt;&gt;1),"",INDEX(Strategy!$F$36:$F$90,MATCH(P103,Strategy!$B$36:$B$90,0)))</x:f>
        <x:v>seconds</x:v>
      </x:c>
      <x:c r="X103" s="369" t="n">
        <x:f>IF(OR(COUNT(R103:V103)&lt;&gt;5,Q103&lt;&gt;W103,T103&lt;0,T103&gt;10,U103&lt;=0,V103&lt;=0,R103&lt;0,R103&lt;&gt;INT(R103),S103&lt;=0),"",T103*R103*S103/(U103*V103))</x:f>
        <x:v>0.25</x:v>
      </x:c>
      <x:c r="Y103" s="373" t="str"/>
    </x:row>
    <x:row r="104" ht="15" hidden="0" customHeight="1">
      <x:c r="A104" s="327" t="n">
        <x:f>Daily!A32</x:f>
        <x:v>46371.5</x:v>
      </x:c>
      <x:c r="B104" s="322" t="str">
        <x:f>Daily!D32</x:f>
        <x:v>Handstand technique</x:v>
      </x:c>
      <x:c r="C104" s="322" t="str">
        <x:v>A · Wrist/shoulder mobility</x:v>
      </x:c>
      <x:c r="D104" s="322" t="str">
        <x:v>seconds</x:v>
      </x:c>
      <x:c r="E104" s="324" t="b">
        <x:v>1</x:v>
      </x:c>
      <x:c r="F104" s="330" t="n">
        <x:v>60</x:v>
      </x:c>
      <x:c r="G104" s="331" t="str">
        <x:f>IF(AND(OR(Daily!H32=TRUE,Daily!AB32=TRUE),COUNT(Daily!I32)&gt;0),SUM(Daily!I32)*86400,"")</x:f>
      </x:c>
      <x:c r="H104" s="331" t="n">
        <x:f>IF(AND(E104=TRUE,ISNUMBER(F104),F104&gt;0),100,"")</x:f>
        <x:v>100</x:v>
      </x:c>
      <x:c r="I104" s="331" t="str">
        <x:f>IF(AND(ISNUMBER(H104),ISNUMBER(G104)),IF(J104="lower",IF(G104&gt;0,100*F104/G104,""),100*G104/F104),"")</x:f>
      </x:c>
      <x:c r="J104" s="325" t="str">
        <x:v>higher</x:v>
      </x:c>
      <x:c r="N104" s="364" t="n">
        <x:f>Daily!A22</x:f>
        <x:v>46354.5</x:v>
      </x:c>
      <x:c r="O104" s="361" t="str">
        <x:f>Daily!D22</x:f>
        <x:v>Skill micro-session</x:v>
      </x:c>
      <x:c r="P104" s="372" t="str">
        <x:v>Wall handstand line drill</x:v>
      </x:c>
      <x:c r="Q104" s="362" t="str">
        <x:v>seconds</x:v>
      </x:c>
      <x:c r="R104" s="367" t="n">
        <x:v>3</x:v>
      </x:c>
      <x:c r="S104" s="367" t="n">
        <x:v>15</x:v>
      </x:c>
      <x:c r="T104" s="368" t="n">
        <x:f>IF(OR(COUNTIFS(Strategy!$B$36:$B$90,P104)&lt;&gt;1,COUNTIFS(Strategy!$B$36:$B$90,P104,Strategy!$C$36:$C$90,"&lt;&gt;")&lt;&gt;1),"",INDEX(Strategy!$C$36:$C$90,MATCH(P104,Strategy!$B$36:$B$90,0)))</x:f>
        <x:v>1</x:v>
      </x:c>
      <x:c r="U104" s="368" t="n">
        <x:f>IF(OR(COUNTIFS(Strategy!$B$36:$B$90,P104)&lt;&gt;1,COUNTIFS(Strategy!$B$36:$B$90,P104,Strategy!$D$36:$D$90,"&lt;&gt;")&lt;&gt;1),"",INDEX(Strategy!$D$36:$D$90,MATCH(P104,Strategy!$B$36:$B$90,0)))</x:f>
        <x:v>3</x:v>
      </x:c>
      <x:c r="V104" s="368" t="n">
        <x:f>IF(OR(COUNTIFS(Strategy!$B$36:$B$90,P104)&lt;&gt;1,COUNTIFS(Strategy!$B$36:$B$90,P104,Strategy!$E$36:$E$90,"&lt;&gt;")&lt;&gt;1),"",INDEX(Strategy!$E$36:$E$90,MATCH(P104,Strategy!$B$36:$B$90,0)))</x:f>
        <x:v>60</x:v>
      </x:c>
      <x:c r="W104" s="361" t="str">
        <x:f>IF(OR(COUNTIFS(Strategy!$B$36:$B$90,P104)&lt;&gt;1,COUNTIFS(Strategy!$B$36:$B$90,P104,Strategy!$F$36:$F$90,"&lt;&gt;")&lt;&gt;1),"",INDEX(Strategy!$F$36:$F$90,MATCH(P104,Strategy!$B$36:$B$90,0)))</x:f>
        <x:v>seconds</x:v>
      </x:c>
      <x:c r="X104" s="370" t="n">
        <x:f>IF(OR(COUNT(R104:V104)&lt;&gt;5,Q104&lt;&gt;W104,T104&lt;0,T104&gt;10,U104&lt;=0,V104&lt;=0,R104&lt;0,R104&lt;&gt;INT(R104),S104&lt;=0),"",T104*R104*S104/(U104*V104))</x:f>
        <x:v>0.25</x:v>
      </x:c>
      <x:c r="Y104" s="374" t="str"/>
    </x:row>
    <x:row r="105" ht="15" hidden="0" customHeight="1">
      <x:c r="A105" s="326" t="n">
        <x:f>Daily!A32</x:f>
        <x:v>46371.5</x:v>
      </x:c>
      <x:c r="B105" s="318" t="str">
        <x:f>Daily!D32</x:f>
        <x:v>Handstand technique</x:v>
      </x:c>
      <x:c r="C105" s="318" t="str">
        <x:v>B · Easy chest-to-wall hold</x:v>
      </x:c>
      <x:c r="D105" s="318" t="str">
        <x:v>seconds</x:v>
      </x:c>
      <x:c r="E105" s="320" t="b">
        <x:v>1</x:v>
      </x:c>
      <x:c r="F105" s="328" t="n">
        <x:v>20</x:v>
      </x:c>
      <x:c r="G105" s="329" t="str">
        <x:f>IF(AND(OR(Daily!N32=TRUE,Daily!AB32=TRUE),COUNT(Daily!O32,Daily!P32)&gt;0),SUM(Daily!O32,Daily!P32)*86400,"")</x:f>
      </x:c>
      <x:c r="H105" s="329" t="n">
        <x:f>IF(AND(E105=TRUE,ISNUMBER(F105),F105&gt;0),100,"")</x:f>
        <x:v>100</x:v>
      </x:c>
      <x:c r="I105" s="329" t="str">
        <x:f>IF(AND(ISNUMBER(H105),ISNUMBER(G105)),IF(J105="lower",IF(G105&gt;0,100*F105/G105,""),100*G105/F105),"")</x:f>
      </x:c>
      <x:c r="J105" s="321" t="str">
        <x:v>higher</x:v>
      </x:c>
      <x:c r="N105" s="363" t="n">
        <x:f>Daily!A23</x:f>
        <x:v>46356.5</x:v>
      </x:c>
      <x:c r="O105" s="359" t="str">
        <x:f>Daily!D23</x:f>
        <x:v>Skill A + interval circuit</x:v>
      </x:c>
      <x:c r="P105" s="371" t="str">
        <x:v>Jumping muscle-up</x:v>
      </x:c>
      <x:c r="Q105" s="360" t="str">
        <x:v>reps</x:v>
      </x:c>
      <x:c r="R105" s="365" t="n">
        <x:v>3</x:v>
      </x:c>
      <x:c r="S105" s="365" t="n">
        <x:v>3</x:v>
      </x:c>
      <x:c r="T105" s="366" t="n">
        <x:f>IF(OR(COUNTIFS(Strategy!$B$36:$B$90,P105)&lt;&gt;1,COUNTIFS(Strategy!$B$36:$B$90,P105,Strategy!$C$36:$C$90,"&lt;&gt;")&lt;&gt;1),"",INDEX(Strategy!$C$36:$C$90,MATCH(P105,Strategy!$B$36:$B$90,0)))</x:f>
        <x:v>4</x:v>
      </x:c>
      <x:c r="U105" s="366" t="n">
        <x:f>IF(OR(COUNTIFS(Strategy!$B$36:$B$90,P105)&lt;&gt;1,COUNTIFS(Strategy!$B$36:$B$90,P105,Strategy!$D$36:$D$90,"&lt;&gt;")&lt;&gt;1),"",INDEX(Strategy!$D$36:$D$90,MATCH(P105,Strategy!$B$36:$B$90,0)))</x:f>
        <x:v>3</x:v>
      </x:c>
      <x:c r="V105" s="366" t="n">
        <x:f>IF(OR(COUNTIFS(Strategy!$B$36:$B$90,P105)&lt;&gt;1,COUNTIFS(Strategy!$B$36:$B$90,P105,Strategy!$E$36:$E$90,"&lt;&gt;")&lt;&gt;1),"",INDEX(Strategy!$E$36:$E$90,MATCH(P105,Strategy!$B$36:$B$90,0)))</x:f>
        <x:v>10</x:v>
      </x:c>
      <x:c r="W105" s="359" t="str">
        <x:f>IF(OR(COUNTIFS(Strategy!$B$36:$B$90,P105)&lt;&gt;1,COUNTIFS(Strategy!$B$36:$B$90,P105,Strategy!$F$36:$F$90,"&lt;&gt;")&lt;&gt;1),"",INDEX(Strategy!$F$36:$F$90,MATCH(P105,Strategy!$B$36:$B$90,0)))</x:f>
        <x:v>reps</x:v>
      </x:c>
      <x:c r="X105" s="369" t="n">
        <x:f>IF(OR(COUNT(R105:V105)&lt;&gt;5,Q105&lt;&gt;W105,T105&lt;0,T105&gt;10,U105&lt;=0,V105&lt;=0,R105&lt;0,R105&lt;&gt;INT(R105),S105&lt;=0),"",T105*R105*S105/(U105*V105))</x:f>
        <x:v>1.2</x:v>
      </x:c>
      <x:c r="Y105" s="373" t="str"/>
    </x:row>
    <x:row r="106" ht="15" hidden="0" customHeight="1">
      <x:c r="A106" s="327" t="n">
        <x:f>Daily!A32</x:f>
        <x:v>46371.5</x:v>
      </x:c>
      <x:c r="B106" s="322" t="str">
        <x:f>Daily!D32</x:f>
        <x:v>Handstand technique</x:v>
      </x:c>
      <x:c r="C106" s="322" t="str">
        <x:v>C · Wall handstand line drill</x:v>
      </x:c>
      <x:c r="D106" s="322" t="str">
        <x:v>seconds</x:v>
      </x:c>
      <x:c r="E106" s="324" t="b">
        <x:v>1</x:v>
      </x:c>
      <x:c r="F106" s="330" t="n">
        <x:v>10</x:v>
      </x:c>
      <x:c r="G106" s="331" t="str">
        <x:f>IF(AND(OR(Daily!T32=TRUE,Daily!AB32=TRUE),COUNT(Daily!U32)&gt;0),SUM(Daily!U32)*86400,"")</x:f>
      </x:c>
      <x:c r="H106" s="331" t="n">
        <x:f>IF(AND(E106=TRUE,ISNUMBER(F106),F106&gt;0),100,"")</x:f>
        <x:v>100</x:v>
      </x:c>
      <x:c r="I106" s="331" t="str">
        <x:f>IF(AND(ISNUMBER(H106),ISNUMBER(G106)),IF(J106="lower",IF(G106&gt;0,100*F106/G106,""),100*G106/F106),"")</x:f>
      </x:c>
      <x:c r="J106" s="325" t="str">
        <x:v>higher</x:v>
      </x:c>
      <x:c r="N106" s="364" t="n">
        <x:f>Daily!A23</x:f>
        <x:v>46356.5</x:v>
      </x:c>
      <x:c r="O106" s="361" t="str">
        <x:f>Daily!D23</x:f>
        <x:v>Skill A + interval circuit</x:v>
      </x:c>
      <x:c r="P106" s="372" t="str">
        <x:v>Low-bar slow transition</x:v>
      </x:c>
      <x:c r="Q106" s="362" t="str">
        <x:v>reps</x:v>
      </x:c>
      <x:c r="R106" s="367" t="n">
        <x:v>3</x:v>
      </x:c>
      <x:c r="S106" s="367" t="n">
        <x:v>3</x:v>
      </x:c>
      <x:c r="T106" s="368" t="n">
        <x:f>IF(OR(COUNTIFS(Strategy!$B$36:$B$90,P106)&lt;&gt;1,COUNTIFS(Strategy!$B$36:$B$90,P106,Strategy!$C$36:$C$90,"&lt;&gt;")&lt;&gt;1),"",INDEX(Strategy!$C$36:$C$90,MATCH(P106,Strategy!$B$36:$B$90,0)))</x:f>
        <x:v>4</x:v>
      </x:c>
      <x:c r="U106" s="368" t="n">
        <x:f>IF(OR(COUNTIFS(Strategy!$B$36:$B$90,P106)&lt;&gt;1,COUNTIFS(Strategy!$B$36:$B$90,P106,Strategy!$D$36:$D$90,"&lt;&gt;")&lt;&gt;1),"",INDEX(Strategy!$D$36:$D$90,MATCH(P106,Strategy!$B$36:$B$90,0)))</x:f>
        <x:v>3</x:v>
      </x:c>
      <x:c r="V106" s="368" t="n">
        <x:f>IF(OR(COUNTIFS(Strategy!$B$36:$B$90,P106)&lt;&gt;1,COUNTIFS(Strategy!$B$36:$B$90,P106,Strategy!$E$36:$E$90,"&lt;&gt;")&lt;&gt;1),"",INDEX(Strategy!$E$36:$E$90,MATCH(P106,Strategy!$B$36:$B$90,0)))</x:f>
        <x:v>10</x:v>
      </x:c>
      <x:c r="W106" s="361" t="str">
        <x:f>IF(OR(COUNTIFS(Strategy!$B$36:$B$90,P106)&lt;&gt;1,COUNTIFS(Strategy!$B$36:$B$90,P106,Strategy!$F$36:$F$90,"&lt;&gt;")&lt;&gt;1),"",INDEX(Strategy!$F$36:$F$90,MATCH(P106,Strategy!$B$36:$B$90,0)))</x:f>
        <x:v>reps</x:v>
      </x:c>
      <x:c r="X106" s="370" t="n">
        <x:f>IF(OR(COUNT(R106:V106)&lt;&gt;5,Q106&lt;&gt;W106,T106&lt;0,T106&gt;10,U106&lt;=0,V106&lt;=0,R106&lt;0,R106&lt;&gt;INT(R106),S106&lt;=0),"",T106*R106*S106/(U106*V106))</x:f>
        <x:v>1.2</x:v>
      </x:c>
      <x:c r="Y106" s="374" t="str"/>
    </x:row>
    <x:row r="107" ht="15" hidden="0" customHeight="1">
      <x:c r="A107" s="326" t="n">
        <x:f>Daily!A33</x:f>
        <x:v>46373.5</x:v>
      </x:c>
      <x:c r="B107" s="318" t="str">
        <x:f>Daily!D33</x:f>
        <x:v>Skill B + interval circuit</x:v>
      </x:c>
      <x:c r="C107" s="318" t="str">
        <x:v>A · Easy wall handstand</x:v>
      </x:c>
      <x:c r="D107" s="318" t="str">
        <x:v>seconds</x:v>
      </x:c>
      <x:c r="E107" s="320" t="b">
        <x:v>1</x:v>
      </x:c>
      <x:c r="F107" s="328" t="n">
        <x:v>15</x:v>
      </x:c>
      <x:c r="G107" s="329" t="str">
        <x:f>IF(AND(OR(Daily!H33=TRUE,Daily!AB33=TRUE),COUNT(Daily!I33)&gt;0),SUM(Daily!I33)*86400,"")</x:f>
      </x:c>
      <x:c r="H107" s="329" t="n">
        <x:f>IF(AND(E107=TRUE,ISNUMBER(F107),F107&gt;0),100,"")</x:f>
        <x:v>100</x:v>
      </x:c>
      <x:c r="I107" s="329" t="str">
        <x:f>IF(AND(ISNUMBER(H107),ISNUMBER(G107)),IF(J107="lower",IF(G107&gt;0,100*F107/G107,""),100*G107/F107),"")</x:f>
      </x:c>
      <x:c r="J107" s="321" t="str">
        <x:v>higher</x:v>
      </x:c>
      <x:c r="N107" s="363" t="n">
        <x:f>Daily!A23</x:f>
        <x:v>46356.5</x:v>
      </x:c>
      <x:c r="O107" s="359" t="str">
        <x:f>Daily!D23</x:f>
        <x:v>Skill A + interval circuit</x:v>
      </x:c>
      <x:c r="P107" s="371" t="str">
        <x:v>Light-counterweight pistol</x:v>
      </x:c>
      <x:c r="Q107" s="360" t="str">
        <x:v>reps/leg</x:v>
      </x:c>
      <x:c r="R107" s="365" t="n">
        <x:v>3</x:v>
      </x:c>
      <x:c r="S107" s="365" t="n">
        <x:v>4</x:v>
      </x:c>
      <x:c r="T107" s="366" t="n">
        <x:f>IF(OR(COUNTIFS(Strategy!$B$36:$B$90,P107)&lt;&gt;1,COUNTIFS(Strategy!$B$36:$B$90,P107,Strategy!$C$36:$C$90,"&lt;&gt;")&lt;&gt;1),"",INDEX(Strategy!$C$36:$C$90,MATCH(P107,Strategy!$B$36:$B$90,0)))</x:f>
        <x:v>4</x:v>
      </x:c>
      <x:c r="U107" s="366" t="n">
        <x:f>IF(OR(COUNTIFS(Strategy!$B$36:$B$90,P107)&lt;&gt;1,COUNTIFS(Strategy!$B$36:$B$90,P107,Strategy!$D$36:$D$90,"&lt;&gt;")&lt;&gt;1),"",INDEX(Strategy!$D$36:$D$90,MATCH(P107,Strategy!$B$36:$B$90,0)))</x:f>
        <x:v>3</x:v>
      </x:c>
      <x:c r="V107" s="366" t="n">
        <x:f>IF(OR(COUNTIFS(Strategy!$B$36:$B$90,P107)&lt;&gt;1,COUNTIFS(Strategy!$B$36:$B$90,P107,Strategy!$E$36:$E$90,"&lt;&gt;")&lt;&gt;1),"",INDEX(Strategy!$E$36:$E$90,MATCH(P107,Strategy!$B$36:$B$90,0)))</x:f>
        <x:v>10</x:v>
      </x:c>
      <x:c r="W107" s="359" t="str">
        <x:f>IF(OR(COUNTIFS(Strategy!$B$36:$B$90,P107)&lt;&gt;1,COUNTIFS(Strategy!$B$36:$B$90,P107,Strategy!$F$36:$F$90,"&lt;&gt;")&lt;&gt;1),"",INDEX(Strategy!$F$36:$F$90,MATCH(P107,Strategy!$B$36:$B$90,0)))</x:f>
        <x:v>reps/leg</x:v>
      </x:c>
      <x:c r="X107" s="369" t="n">
        <x:f>IF(OR(COUNT(R107:V107)&lt;&gt;5,Q107&lt;&gt;W107,T107&lt;0,T107&gt;10,U107&lt;=0,V107&lt;=0,R107&lt;0,R107&lt;&gt;INT(R107),S107&lt;=0),"",T107*R107*S107/(U107*V107))</x:f>
        <x:v>1.6</x:v>
      </x:c>
      <x:c r="Y107" s="373" t="str"/>
    </x:row>
    <x:row r="108" ht="15" hidden="0" customHeight="1">
      <x:c r="A108" s="327" t="n">
        <x:f>Daily!A33</x:f>
        <x:v>46373.5</x:v>
      </x:c>
      <x:c r="B108" s="322" t="str">
        <x:f>Daily!D33</x:f>
        <x:v>Skill B + interval circuit</x:v>
      </x:c>
      <x:c r="C108" s="322" t="str">
        <x:v>B · Easy pike push-up</x:v>
      </x:c>
      <x:c r="D108" s="322" t="str">
        <x:v>reps</x:v>
      </x:c>
      <x:c r="E108" s="324" t="b">
        <x:v>1</x:v>
      </x:c>
      <x:c r="F108" s="330" t="n">
        <x:v>4</x:v>
      </x:c>
      <x:c r="G108" s="331" t="str">
        <x:f>IF(AND(OR(Daily!N33=TRUE,Daily!AB33=TRUE),COUNT(Daily!O33)&gt;0),SUM(Daily!O33),"")</x:f>
      </x:c>
      <x:c r="H108" s="331" t="n">
        <x:f>IF(AND(E108=TRUE,ISNUMBER(F108),F108&gt;0),100,"")</x:f>
        <x:v>100</x:v>
      </x:c>
      <x:c r="I108" s="331" t="str">
        <x:f>IF(AND(ISNUMBER(H108),ISNUMBER(G108)),IF(J108="lower",IF(G108&gt;0,100*F108/G108,""),100*G108/F108),"")</x:f>
      </x:c>
      <x:c r="J108" s="325" t="str">
        <x:v>higher</x:v>
      </x:c>
      <x:c r="N108" s="364" t="n">
        <x:f>Daily!A23</x:f>
        <x:v>46356.5</x:v>
      </x:c>
      <x:c r="O108" s="361" t="str">
        <x:f>Daily!D23</x:f>
        <x:v>Skill A + interval circuit</x:v>
      </x:c>
      <x:c r="P108" s="372" t="str">
        <x:v>Pull-up</x:v>
      </x:c>
      <x:c r="Q108" s="362" t="str">
        <x:v>seconds</x:v>
      </x:c>
      <x:c r="R108" s="367" t="n">
        <x:v>5</x:v>
      </x:c>
      <x:c r="S108" s="367" t="n">
        <x:v>30</x:v>
      </x:c>
      <x:c r="T108" s="368" t="n">
        <x:f>IF(OR(COUNTIFS(Strategy!$B$36:$B$90,P108)&lt;&gt;1,COUNTIFS(Strategy!$B$36:$B$90,P108,Strategy!$C$36:$C$90,"&lt;&gt;")&lt;&gt;1),"",INDEX(Strategy!$C$36:$C$90,MATCH(P108,Strategy!$B$36:$B$90,0)))</x:f>
        <x:v>1</x:v>
      </x:c>
      <x:c r="U108" s="368" t="n">
        <x:f>IF(OR(COUNTIFS(Strategy!$B$36:$B$90,P108)&lt;&gt;1,COUNTIFS(Strategy!$B$36:$B$90,P108,Strategy!$D$36:$D$90,"&lt;&gt;")&lt;&gt;1),"",INDEX(Strategy!$D$36:$D$90,MATCH(P108,Strategy!$B$36:$B$90,0)))</x:f>
        <x:v>5</x:v>
      </x:c>
      <x:c r="V108" s="368" t="n">
        <x:f>IF(OR(COUNTIFS(Strategy!$B$36:$B$90,P108)&lt;&gt;1,COUNTIFS(Strategy!$B$36:$B$90,P108,Strategy!$E$36:$E$90,"&lt;&gt;")&lt;&gt;1),"",INDEX(Strategy!$E$36:$E$90,MATCH(P108,Strategy!$B$36:$B$90,0)))</x:f>
        <x:v>120</x:v>
      </x:c>
      <x:c r="W108" s="361" t="str">
        <x:f>IF(OR(COUNTIFS(Strategy!$B$36:$B$90,P108)&lt;&gt;1,COUNTIFS(Strategy!$B$36:$B$90,P108,Strategy!$F$36:$F$90,"&lt;&gt;")&lt;&gt;1),"",INDEX(Strategy!$F$36:$F$90,MATCH(P108,Strategy!$B$36:$B$90,0)))</x:f>
        <x:v>seconds</x:v>
      </x:c>
      <x:c r="X108" s="370" t="n">
        <x:f>IF(OR(COUNT(R108:V108)&lt;&gt;5,Q108&lt;&gt;W108,T108&lt;0,T108&gt;10,U108&lt;=0,V108&lt;=0,R108&lt;0,R108&lt;&gt;INT(R108),S108&lt;=0),"",T108*R108*S108/(U108*V108))</x:f>
        <x:v>0.25</x:v>
      </x:c>
      <x:c r="Y108" s="374" t="str">
        <x:v>Core: one 30-second work interval per round; rest excluded.</x:v>
      </x:c>
    </x:row>
    <x:row r="109" ht="15" hidden="0" customHeight="1">
      <x:c r="A109" s="326" t="n">
        <x:f>Daily!A33</x:f>
        <x:v>46373.5</x:v>
      </x:c>
      <x:c r="B109" s="318" t="str">
        <x:f>Daily!D33</x:f>
        <x:v>Skill B + interval circuit</x:v>
      </x:c>
      <x:c r="C109" s="318" t="str">
        <x:v>C · Assisted smooth pistol</x:v>
      </x:c>
      <x:c r="D109" s="318" t="str">
        <x:v>reps/leg</x:v>
      </x:c>
      <x:c r="E109" s="320" t="b">
        <x:v>1</x:v>
      </x:c>
      <x:c r="F109" s="328" t="n">
        <x:v>3</x:v>
      </x:c>
      <x:c r="G109" s="329" t="str">
        <x:f>IF(AND(OR(Daily!T33=TRUE,Daily!AB33=TRUE),COUNT(Daily!U33)&gt;0),SUM(Daily!U33),"")</x:f>
      </x:c>
      <x:c r="H109" s="329" t="n">
        <x:f>IF(AND(E109=TRUE,ISNUMBER(F109),F109&gt;0),100,"")</x:f>
        <x:v>100</x:v>
      </x:c>
      <x:c r="I109" s="329" t="str">
        <x:f>IF(AND(ISNUMBER(H109),ISNUMBER(G109)),IF(J109="lower",IF(G109&gt;0,100*F109/G109,""),100*G109/F109),"")</x:f>
      </x:c>
      <x:c r="J109" s="321" t="str">
        <x:v>higher</x:v>
      </x:c>
      <x:c r="N109" s="363" t="n">
        <x:f>Daily!A23</x:f>
        <x:v>46356.5</x:v>
      </x:c>
      <x:c r="O109" s="359" t="str">
        <x:f>Daily!D23</x:f>
        <x:v>Skill A + interval circuit</x:v>
      </x:c>
      <x:c r="P109" s="371" t="str">
        <x:v>Push-up</x:v>
      </x:c>
      <x:c r="Q109" s="360" t="str">
        <x:v>seconds</x:v>
      </x:c>
      <x:c r="R109" s="365" t="n">
        <x:v>5</x:v>
      </x:c>
      <x:c r="S109" s="365" t="n">
        <x:v>30</x:v>
      </x:c>
      <x:c r="T109" s="366" t="n">
        <x:f>IF(OR(COUNTIFS(Strategy!$B$36:$B$90,P109)&lt;&gt;1,COUNTIFS(Strategy!$B$36:$B$90,P109,Strategy!$C$36:$C$90,"&lt;&gt;")&lt;&gt;1),"",INDEX(Strategy!$C$36:$C$90,MATCH(P109,Strategy!$B$36:$B$90,0)))</x:f>
        <x:v>1</x:v>
      </x:c>
      <x:c r="U109" s="366" t="n">
        <x:f>IF(OR(COUNTIFS(Strategy!$B$36:$B$90,P109)&lt;&gt;1,COUNTIFS(Strategy!$B$36:$B$90,P109,Strategy!$D$36:$D$90,"&lt;&gt;")&lt;&gt;1),"",INDEX(Strategy!$D$36:$D$90,MATCH(P109,Strategy!$B$36:$B$90,0)))</x:f>
        <x:v>5</x:v>
      </x:c>
      <x:c r="V109" s="366" t="n">
        <x:f>IF(OR(COUNTIFS(Strategy!$B$36:$B$90,P109)&lt;&gt;1,COUNTIFS(Strategy!$B$36:$B$90,P109,Strategy!$E$36:$E$90,"&lt;&gt;")&lt;&gt;1),"",INDEX(Strategy!$E$36:$E$90,MATCH(P109,Strategy!$B$36:$B$90,0)))</x:f>
        <x:v>120</x:v>
      </x:c>
      <x:c r="W109" s="359" t="str">
        <x:f>IF(OR(COUNTIFS(Strategy!$B$36:$B$90,P109)&lt;&gt;1,COUNTIFS(Strategy!$B$36:$B$90,P109,Strategy!$F$36:$F$90,"&lt;&gt;")&lt;&gt;1),"",INDEX(Strategy!$F$36:$F$90,MATCH(P109,Strategy!$B$36:$B$90,0)))</x:f>
        <x:v>seconds</x:v>
      </x:c>
      <x:c r="X109" s="369" t="n">
        <x:f>IF(OR(COUNT(R109:V109)&lt;&gt;5,Q109&lt;&gt;W109,T109&lt;0,T109&gt;10,U109&lt;=0,V109&lt;=0,R109&lt;0,R109&lt;&gt;INT(R109),S109&lt;=0),"",T109*R109*S109/(U109*V109))</x:f>
        <x:v>0.25</x:v>
      </x:c>
      <x:c r="Y109" s="373" t="str">
        <x:v>Core: one 30-second work interval per round; rest excluded.</x:v>
      </x:c>
    </x:row>
    <x:row r="110" ht="15" hidden="0" customHeight="1">
      <x:c r="A110" s="327" t="n">
        <x:f>Daily!A33</x:f>
        <x:v>46373.5</x:v>
      </x:c>
      <x:c r="B110" s="322" t="str">
        <x:f>Daily!D33</x:f>
        <x:v>Skill B + interval circuit</x:v>
      </x:c>
      <x:c r="C110" s="322" t="str">
        <x:v>Core</x:v>
      </x:c>
      <x:c r="D110" s="322" t="str">
        <x:v>rounds</x:v>
      </x:c>
      <x:c r="E110" s="324" t="b">
        <x:v>1</x:v>
      </x:c>
      <x:c r="F110" s="330" t="n">
        <x:v>3</x:v>
      </x:c>
      <x:c r="G110" s="331" t="str">
        <x:f>IF(AND(OR(Daily!Z33=TRUE,Daily!AB33=TRUE),COUNT(Daily!AA33)&gt;0),SUM(Daily!AA33),"")</x:f>
      </x:c>
      <x:c r="H110" s="331" t="n">
        <x:f>IF(AND(E110=TRUE,ISNUMBER(F110),F110&gt;0),100,"")</x:f>
        <x:v>100</x:v>
      </x:c>
      <x:c r="I110" s="331" t="str">
        <x:f>IF(AND(ISNUMBER(H110),ISNUMBER(G110)),IF(J110="lower",IF(G110&gt;0,100*F110/G110,""),100*G110/F110),"")</x:f>
      </x:c>
      <x:c r="J110" s="325" t="str">
        <x:v>higher</x:v>
      </x:c>
      <x:c r="N110" s="364" t="n">
        <x:f>Daily!A23</x:f>
        <x:v>46356.5</x:v>
      </x:c>
      <x:c r="O110" s="361" t="str">
        <x:f>Daily!D23</x:f>
        <x:v>Skill A + interval circuit</x:v>
      </x:c>
      <x:c r="P110" s="372" t="str">
        <x:v>Weighted squat</x:v>
      </x:c>
      <x:c r="Q110" s="362" t="str">
        <x:v>seconds</x:v>
      </x:c>
      <x:c r="R110" s="367" t="n">
        <x:v>5</x:v>
      </x:c>
      <x:c r="S110" s="367" t="n">
        <x:v>30</x:v>
      </x:c>
      <x:c r="T110" s="368" t="n">
        <x:f>IF(OR(COUNTIFS(Strategy!$B$36:$B$90,P110)&lt;&gt;1,COUNTIFS(Strategy!$B$36:$B$90,P110,Strategy!$C$36:$C$90,"&lt;&gt;")&lt;&gt;1),"",INDEX(Strategy!$C$36:$C$90,MATCH(P110,Strategy!$B$36:$B$90,0)))</x:f>
        <x:v>1</x:v>
      </x:c>
      <x:c r="U110" s="368" t="n">
        <x:f>IF(OR(COUNTIFS(Strategy!$B$36:$B$90,P110)&lt;&gt;1,COUNTIFS(Strategy!$B$36:$B$90,P110,Strategy!$D$36:$D$90,"&lt;&gt;")&lt;&gt;1),"",INDEX(Strategy!$D$36:$D$90,MATCH(P110,Strategy!$B$36:$B$90,0)))</x:f>
        <x:v>5</x:v>
      </x:c>
      <x:c r="V110" s="368" t="n">
        <x:f>IF(OR(COUNTIFS(Strategy!$B$36:$B$90,P110)&lt;&gt;1,COUNTIFS(Strategy!$B$36:$B$90,P110,Strategy!$E$36:$E$90,"&lt;&gt;")&lt;&gt;1),"",INDEX(Strategy!$E$36:$E$90,MATCH(P110,Strategy!$B$36:$B$90,0)))</x:f>
        <x:v>120</x:v>
      </x:c>
      <x:c r="W110" s="361" t="str">
        <x:f>IF(OR(COUNTIFS(Strategy!$B$36:$B$90,P110)&lt;&gt;1,COUNTIFS(Strategy!$B$36:$B$90,P110,Strategy!$F$36:$F$90,"&lt;&gt;")&lt;&gt;1),"",INDEX(Strategy!$F$36:$F$90,MATCH(P110,Strategy!$B$36:$B$90,0)))</x:f>
        <x:v>seconds</x:v>
      </x:c>
      <x:c r="X110" s="370" t="n">
        <x:f>IF(OR(COUNT(R110:V110)&lt;&gt;5,Q110&lt;&gt;W110,T110&lt;0,T110&gt;10,U110&lt;=0,V110&lt;=0,R110&lt;0,R110&lt;&gt;INT(R110),S110&lt;=0),"",T110*R110*S110/(U110*V110))</x:f>
        <x:v>0.25</x:v>
      </x:c>
      <x:c r="Y110" s="374" t="str">
        <x:v>Core: one 30-second work interval per round; rest excluded.</x:v>
      </x:c>
    </x:row>
    <x:row r="111" ht="15" hidden="0" customHeight="1">
      <x:c r="A111" s="326" t="n">
        <x:f>Daily!A34</x:f>
        <x:v>46375.5</x:v>
      </x:c>
      <x:c r="B111" s="318" t="str">
        <x:f>Daily!D34</x:f>
        <x:v>Skill micro-session</x:v>
      </x:c>
      <x:c r="C111" s="318" t="str">
        <x:v>A · Wrist/shoulder mobility</x:v>
      </x:c>
      <x:c r="D111" s="318" t="str">
        <x:v>seconds</x:v>
      </x:c>
      <x:c r="E111" s="320" t="b">
        <x:v>1</x:v>
      </x:c>
      <x:c r="F111" s="328" t="n">
        <x:v>60</x:v>
      </x:c>
      <x:c r="G111" s="329" t="str">
        <x:f>IF(AND(OR(Daily!H34=TRUE,Daily!AB34=TRUE),COUNT(Daily!I34)&gt;0),SUM(Daily!I34)*86400,"")</x:f>
      </x:c>
      <x:c r="H111" s="329" t="n">
        <x:f>IF(AND(E111=TRUE,ISNUMBER(F111),F111&gt;0),100,"")</x:f>
        <x:v>100</x:v>
      </x:c>
      <x:c r="I111" s="329" t="str">
        <x:f>IF(AND(ISNUMBER(H111),ISNUMBER(G111)),IF(J111="lower",IF(G111&gt;0,100*F111/G111,""),100*G111/F111),"")</x:f>
      </x:c>
      <x:c r="J111" s="321" t="str">
        <x:v>higher</x:v>
      </x:c>
      <x:c r="N111" s="363" t="n">
        <x:f>Daily!A23</x:f>
        <x:v>46356.5</x:v>
      </x:c>
      <x:c r="O111" s="359" t="str">
        <x:f>Daily!D23</x:f>
        <x:v>Skill A + interval circuit</x:v>
      </x:c>
      <x:c r="P111" s="371" t="str">
        <x:v>Upside-down hanging shoulder/ab work</x:v>
      </x:c>
      <x:c r="Q111" s="360" t="str">
        <x:v>seconds</x:v>
      </x:c>
      <x:c r="R111" s="365" t="n">
        <x:v>5</x:v>
      </x:c>
      <x:c r="S111" s="365" t="n">
        <x:v>30</x:v>
      </x:c>
      <x:c r="T111" s="366" t="n">
        <x:f>IF(OR(COUNTIFS(Strategy!$B$36:$B$90,P111)&lt;&gt;1,COUNTIFS(Strategy!$B$36:$B$90,P111,Strategy!$C$36:$C$90,"&lt;&gt;")&lt;&gt;1),"",INDEX(Strategy!$C$36:$C$90,MATCH(P111,Strategy!$B$36:$B$90,0)))</x:f>
        <x:v>1</x:v>
      </x:c>
      <x:c r="U111" s="366" t="n">
        <x:f>IF(OR(COUNTIFS(Strategy!$B$36:$B$90,P111)&lt;&gt;1,COUNTIFS(Strategy!$B$36:$B$90,P111,Strategy!$D$36:$D$90,"&lt;&gt;")&lt;&gt;1),"",INDEX(Strategy!$D$36:$D$90,MATCH(P111,Strategy!$B$36:$B$90,0)))</x:f>
        <x:v>5</x:v>
      </x:c>
      <x:c r="V111" s="366" t="n">
        <x:f>IF(OR(COUNTIFS(Strategy!$B$36:$B$90,P111)&lt;&gt;1,COUNTIFS(Strategy!$B$36:$B$90,P111,Strategy!$E$36:$E$90,"&lt;&gt;")&lt;&gt;1),"",INDEX(Strategy!$E$36:$E$90,MATCH(P111,Strategy!$B$36:$B$90,0)))</x:f>
        <x:v>120</x:v>
      </x:c>
      <x:c r="W111" s="359" t="str">
        <x:f>IF(OR(COUNTIFS(Strategy!$B$36:$B$90,P111)&lt;&gt;1,COUNTIFS(Strategy!$B$36:$B$90,P111,Strategy!$F$36:$F$90,"&lt;&gt;")&lt;&gt;1),"",INDEX(Strategy!$F$36:$F$90,MATCH(P111,Strategy!$B$36:$B$90,0)))</x:f>
        <x:v>seconds</x:v>
      </x:c>
      <x:c r="X111" s="369" t="n">
        <x:f>IF(OR(COUNT(R111:V111)&lt;&gt;5,Q111&lt;&gt;W111,T111&lt;0,T111&gt;10,U111&lt;=0,V111&lt;=0,R111&lt;0,R111&lt;&gt;INT(R111),S111&lt;=0),"",T111*R111*S111/(U111*V111))</x:f>
        <x:v>0.25</x:v>
      </x:c>
      <x:c r="Y111" s="373" t="str">
        <x:v>Core: one 30-second work interval per round; rest excluded.</x:v>
      </x:c>
    </x:row>
    <x:row r="112" ht="15" hidden="0" customHeight="1">
      <x:c r="A112" s="327" t="n">
        <x:f>Daily!A34</x:f>
        <x:v>46375.5</x:v>
      </x:c>
      <x:c r="B112" s="322" t="str">
        <x:f>Daily!D34</x:f>
        <x:v>Skill micro-session</x:v>
      </x:c>
      <x:c r="C112" s="322" t="str">
        <x:v>B · Easy chest-to-wall hold</x:v>
      </x:c>
      <x:c r="D112" s="322" t="str">
        <x:v>seconds</x:v>
      </x:c>
      <x:c r="E112" s="324" t="b">
        <x:v>1</x:v>
      </x:c>
      <x:c r="F112" s="330" t="n">
        <x:v>20</x:v>
      </x:c>
      <x:c r="G112" s="331" t="str">
        <x:f>IF(AND(OR(Daily!N34=TRUE,Daily!AB34=TRUE),COUNT(Daily!O34,Daily!P34)&gt;0),SUM(Daily!O34,Daily!P34)*86400,"")</x:f>
      </x:c>
      <x:c r="H112" s="331" t="n">
        <x:f>IF(AND(E112=TRUE,ISNUMBER(F112),F112&gt;0),100,"")</x:f>
        <x:v>100</x:v>
      </x:c>
      <x:c r="I112" s="331" t="str">
        <x:f>IF(AND(ISNUMBER(H112),ISNUMBER(G112)),IF(J112="lower",IF(G112&gt;0,100*F112/G112,""),100*G112/F112),"")</x:f>
      </x:c>
      <x:c r="J112" s="325" t="str">
        <x:v>higher</x:v>
      </x:c>
      <x:c r="N112" s="364" t="n">
        <x:f>Daily!A24</x:f>
        <x:v>46357.5</x:v>
      </x:c>
      <x:c r="O112" s="361" t="str">
        <x:f>Daily!D24</x:f>
        <x:v>Handstand technique</x:v>
      </x:c>
      <x:c r="P112" s="372" t="str">
        <x:v>Wrist/shoulder mobility</x:v>
      </x:c>
      <x:c r="Q112" s="362" t="str">
        <x:v>seconds</x:v>
      </x:c>
      <x:c r="R112" s="367" t="n">
        <x:v>1</x:v>
      </x:c>
      <x:c r="S112" s="367" t="n">
        <x:v>120</x:v>
      </x:c>
      <x:c r="T112" s="368" t="n">
        <x:f>IF(OR(COUNTIFS(Strategy!$B$36:$B$90,P112)&lt;&gt;1,COUNTIFS(Strategy!$B$36:$B$90,P112,Strategy!$C$36:$C$90,"&lt;&gt;")&lt;&gt;1),"",INDEX(Strategy!$C$36:$C$90,MATCH(P112,Strategy!$B$36:$B$90,0)))</x:f>
        <x:v>1</x:v>
      </x:c>
      <x:c r="U112" s="368" t="n">
        <x:f>IF(OR(COUNTIFS(Strategy!$B$36:$B$90,P112)&lt;&gt;1,COUNTIFS(Strategy!$B$36:$B$90,P112,Strategy!$D$36:$D$90,"&lt;&gt;")&lt;&gt;1),"",INDEX(Strategy!$D$36:$D$90,MATCH(P112,Strategy!$B$36:$B$90,0)))</x:f>
        <x:v>3</x:v>
      </x:c>
      <x:c r="V112" s="368" t="n">
        <x:f>IF(OR(COUNTIFS(Strategy!$B$36:$B$90,P112)&lt;&gt;1,COUNTIFS(Strategy!$B$36:$B$90,P112,Strategy!$E$36:$E$90,"&lt;&gt;")&lt;&gt;1),"",INDEX(Strategy!$E$36:$E$90,MATCH(P112,Strategy!$B$36:$B$90,0)))</x:f>
        <x:v>60</x:v>
      </x:c>
      <x:c r="W112" s="361" t="str">
        <x:f>IF(OR(COUNTIFS(Strategy!$B$36:$B$90,P112)&lt;&gt;1,COUNTIFS(Strategy!$B$36:$B$90,P112,Strategy!$F$36:$F$90,"&lt;&gt;")&lt;&gt;1),"",INDEX(Strategy!$F$36:$F$90,MATCH(P112,Strategy!$B$36:$B$90,0)))</x:f>
        <x:v>seconds</x:v>
      </x:c>
      <x:c r="X112" s="370" t="n">
        <x:f>IF(OR(COUNT(R112:V112)&lt;&gt;5,Q112&lt;&gt;W112,T112&lt;0,T112&gt;10,U112&lt;=0,V112&lt;=0,R112&lt;0,R112&lt;&gt;INT(R112),S112&lt;=0),"",T112*R112*S112/(U112*V112))</x:f>
        <x:v>0.6666666666666666</x:v>
      </x:c>
      <x:c r="Y112" s="374" t="str"/>
    </x:row>
    <x:row r="113" ht="15" hidden="0" customHeight="1">
      <x:c r="A113" s="326" t="n">
        <x:f>Daily!A34</x:f>
        <x:v>46375.5</x:v>
      </x:c>
      <x:c r="B113" s="318" t="str">
        <x:f>Daily!D34</x:f>
        <x:v>Skill micro-session</x:v>
      </x:c>
      <x:c r="C113" s="318" t="str">
        <x:v>C · Wall handstand line drill</x:v>
      </x:c>
      <x:c r="D113" s="318" t="str">
        <x:v>seconds</x:v>
      </x:c>
      <x:c r="E113" s="320" t="b">
        <x:v>1</x:v>
      </x:c>
      <x:c r="F113" s="328" t="n">
        <x:v>10</x:v>
      </x:c>
      <x:c r="G113" s="329" t="str">
        <x:f>IF(AND(OR(Daily!T34=TRUE,Daily!AB34=TRUE),COUNT(Daily!U34)&gt;0),SUM(Daily!U34)*86400,"")</x:f>
      </x:c>
      <x:c r="H113" s="329" t="n">
        <x:f>IF(AND(E113=TRUE,ISNUMBER(F113),F113&gt;0),100,"")</x:f>
        <x:v>100</x:v>
      </x:c>
      <x:c r="I113" s="329" t="str">
        <x:f>IF(AND(ISNUMBER(H113),ISNUMBER(G113)),IF(J113="lower",IF(G113&gt;0,100*F113/G113,""),100*G113/F113),"")</x:f>
      </x:c>
      <x:c r="J113" s="321" t="str">
        <x:v>higher</x:v>
      </x:c>
      <x:c r="N113" s="363" t="n">
        <x:f>Daily!A24</x:f>
        <x:v>46357.5</x:v>
      </x:c>
      <x:c r="O113" s="359" t="str">
        <x:f>Daily!D24</x:f>
        <x:v>Handstand technique</x:v>
      </x:c>
      <x:c r="P113" s="371" t="str">
        <x:v>Easy chest-to-wall hold</x:v>
      </x:c>
      <x:c r="Q113" s="360" t="str">
        <x:v>seconds</x:v>
      </x:c>
      <x:c r="R113" s="365" t="n">
        <x:v>3</x:v>
      </x:c>
      <x:c r="S113" s="365" t="n">
        <x:v>15</x:v>
      </x:c>
      <x:c r="T113" s="366" t="n">
        <x:f>IF(OR(COUNTIFS(Strategy!$B$36:$B$90,P113)&lt;&gt;1,COUNTIFS(Strategy!$B$36:$B$90,P113,Strategy!$C$36:$C$90,"&lt;&gt;")&lt;&gt;1),"",INDEX(Strategy!$C$36:$C$90,MATCH(P113,Strategy!$B$36:$B$90,0)))</x:f>
        <x:v>1</x:v>
      </x:c>
      <x:c r="U113" s="366" t="n">
        <x:f>IF(OR(COUNTIFS(Strategy!$B$36:$B$90,P113)&lt;&gt;1,COUNTIFS(Strategy!$B$36:$B$90,P113,Strategy!$D$36:$D$90,"&lt;&gt;")&lt;&gt;1),"",INDEX(Strategy!$D$36:$D$90,MATCH(P113,Strategy!$B$36:$B$90,0)))</x:f>
        <x:v>3</x:v>
      </x:c>
      <x:c r="V113" s="366" t="n">
        <x:f>IF(OR(COUNTIFS(Strategy!$B$36:$B$90,P113)&lt;&gt;1,COUNTIFS(Strategy!$B$36:$B$90,P113,Strategy!$E$36:$E$90,"&lt;&gt;")&lt;&gt;1),"",INDEX(Strategy!$E$36:$E$90,MATCH(P113,Strategy!$B$36:$B$90,0)))</x:f>
        <x:v>60</x:v>
      </x:c>
      <x:c r="W113" s="359" t="str">
        <x:f>IF(OR(COUNTIFS(Strategy!$B$36:$B$90,P113)&lt;&gt;1,COUNTIFS(Strategy!$B$36:$B$90,P113,Strategy!$F$36:$F$90,"&lt;&gt;")&lt;&gt;1),"",INDEX(Strategy!$F$36:$F$90,MATCH(P113,Strategy!$B$36:$B$90,0)))</x:f>
        <x:v>seconds</x:v>
      </x:c>
      <x:c r="X113" s="369" t="n">
        <x:f>IF(OR(COUNT(R113:V113)&lt;&gt;5,Q113&lt;&gt;W113,T113&lt;0,T113&gt;10,U113&lt;=0,V113&lt;=0,R113&lt;0,R113&lt;&gt;INT(R113),S113&lt;=0),"",T113*R113*S113/(U113*V113))</x:f>
        <x:v>0.25</x:v>
      </x:c>
      <x:c r="Y113" s="373" t="str"/>
    </x:row>
    <x:row r="114" ht="15" hidden="0" customHeight="1">
      <x:c r="A114" s="327" t="n">
        <x:f>Daily!A35</x:f>
        <x:v>46377.5</x:v>
      </x:c>
      <x:c r="B114" s="322" t="str">
        <x:f>Daily!D35</x:f>
        <x:v>Skill A + interval circuit</x:v>
      </x:c>
      <x:c r="C114" s="322" t="str">
        <x:v>A · Light-band or strict muscle-up</x:v>
      </x:c>
      <x:c r="D114" s="322" t="str">
        <x:v>reps</x:v>
      </x:c>
      <x:c r="E114" s="324" t="b">
        <x:v>1</x:v>
      </x:c>
      <x:c r="F114" s="330" t="n">
        <x:v>3</x:v>
      </x:c>
      <x:c r="G114" s="331" t="str">
        <x:f>IF(AND(OR(Daily!H35=TRUE,Daily!AB35=TRUE),COUNT(Daily!I35,Daily!J35,Daily!K35)&gt;0),SUM(Daily!I35,Daily!J35,Daily!K35),"")</x:f>
      </x:c>
      <x:c r="H114" s="331" t="n">
        <x:f>IF(AND(E114=TRUE,ISNUMBER(F114),F114&gt;0),100,"")</x:f>
        <x:v>100</x:v>
      </x:c>
      <x:c r="I114" s="331" t="str">
        <x:f>IF(AND(ISNUMBER(H114),ISNUMBER(G114)),IF(J114="lower",IF(G114&gt;0,100*F114/G114,""),100*G114/F114),"")</x:f>
      </x:c>
      <x:c r="J114" s="325" t="str">
        <x:v>higher</x:v>
      </x:c>
      <x:c r="N114" s="364" t="n">
        <x:f>Daily!A24</x:f>
        <x:v>46357.5</x:v>
      </x:c>
      <x:c r="O114" s="361" t="str">
        <x:f>Daily!D24</x:f>
        <x:v>Handstand technique</x:v>
      </x:c>
      <x:c r="P114" s="372" t="str">
        <x:v>Wall handstand line drill</x:v>
      </x:c>
      <x:c r="Q114" s="362" t="str">
        <x:v>seconds</x:v>
      </x:c>
      <x:c r="R114" s="367" t="n">
        <x:v>2</x:v>
      </x:c>
      <x:c r="S114" s="367" t="n">
        <x:v>15</x:v>
      </x:c>
      <x:c r="T114" s="368" t="n">
        <x:f>IF(OR(COUNTIFS(Strategy!$B$36:$B$90,P114)&lt;&gt;1,COUNTIFS(Strategy!$B$36:$B$90,P114,Strategy!$C$36:$C$90,"&lt;&gt;")&lt;&gt;1),"",INDEX(Strategy!$C$36:$C$90,MATCH(P114,Strategy!$B$36:$B$90,0)))</x:f>
        <x:v>1</x:v>
      </x:c>
      <x:c r="U114" s="368" t="n">
        <x:f>IF(OR(COUNTIFS(Strategy!$B$36:$B$90,P114)&lt;&gt;1,COUNTIFS(Strategy!$B$36:$B$90,P114,Strategy!$D$36:$D$90,"&lt;&gt;")&lt;&gt;1),"",INDEX(Strategy!$D$36:$D$90,MATCH(P114,Strategy!$B$36:$B$90,0)))</x:f>
        <x:v>3</x:v>
      </x:c>
      <x:c r="V114" s="368" t="n">
        <x:f>IF(OR(COUNTIFS(Strategy!$B$36:$B$90,P114)&lt;&gt;1,COUNTIFS(Strategy!$B$36:$B$90,P114,Strategy!$E$36:$E$90,"&lt;&gt;")&lt;&gt;1),"",INDEX(Strategy!$E$36:$E$90,MATCH(P114,Strategy!$B$36:$B$90,0)))</x:f>
        <x:v>60</x:v>
      </x:c>
      <x:c r="W114" s="361" t="str">
        <x:f>IF(OR(COUNTIFS(Strategy!$B$36:$B$90,P114)&lt;&gt;1,COUNTIFS(Strategy!$B$36:$B$90,P114,Strategy!$F$36:$F$90,"&lt;&gt;")&lt;&gt;1),"",INDEX(Strategy!$F$36:$F$90,MATCH(P114,Strategy!$B$36:$B$90,0)))</x:f>
        <x:v>seconds</x:v>
      </x:c>
      <x:c r="X114" s="370" t="n">
        <x:f>IF(OR(COUNT(R114:V114)&lt;&gt;5,Q114&lt;&gt;W114,T114&lt;0,T114&gt;10,U114&lt;=0,V114&lt;=0,R114&lt;0,R114&lt;&gt;INT(R114),S114&lt;=0),"",T114*R114*S114/(U114*V114))</x:f>
        <x:v>0.16666666666666666</x:v>
      </x:c>
      <x:c r="Y114" s="374" t="str"/>
    </x:row>
    <x:row r="115" ht="15" hidden="0" customHeight="1">
      <x:c r="A115" s="326" t="n">
        <x:f>Daily!A35</x:f>
        <x:v>46377.5</x:v>
      </x:c>
      <x:c r="B115" s="318" t="str">
        <x:f>Daily!D35</x:f>
        <x:v>Skill A + interval circuit</x:v>
      </x:c>
      <x:c r="C115" s="318" t="str">
        <x:v>B · Stronger-band back-off muscle-up</x:v>
      </x:c>
      <x:c r="D115" s="318" t="str">
        <x:v>reps</x:v>
      </x:c>
      <x:c r="E115" s="320" t="b">
        <x:v>1</x:v>
      </x:c>
      <x:c r="F115" s="328" t="n">
        <x:v>4</x:v>
      </x:c>
      <x:c r="G115" s="329" t="str">
        <x:f>IF(AND(OR(Daily!N35=TRUE,Daily!AB35=TRUE),COUNT(Daily!O35,Daily!P35)&gt;0),SUM(Daily!O35,Daily!P35),"")</x:f>
      </x:c>
      <x:c r="H115" s="329" t="n">
        <x:f>IF(AND(E115=TRUE,ISNUMBER(F115),F115&gt;0),100,"")</x:f>
        <x:v>100</x:v>
      </x:c>
      <x:c r="I115" s="329" t="str">
        <x:f>IF(AND(ISNUMBER(H115),ISNUMBER(G115)),IF(J115="lower",IF(G115&gt;0,100*F115/G115,""),100*G115/F115),"")</x:f>
      </x:c>
      <x:c r="J115" s="321" t="str">
        <x:v>higher</x:v>
      </x:c>
      <x:c r="N115" s="363" t="n">
        <x:f>Daily!A25</x:f>
        <x:v>46359.5</x:v>
      </x:c>
      <x:c r="O115" s="359" t="str">
        <x:f>Daily!D25</x:f>
        <x:v>Skill B + circuit</x:v>
      </x:c>
      <x:c r="P115" s="371" t="str">
        <x:v>Partial wall HSPU</x:v>
      </x:c>
      <x:c r="Q115" s="360" t="str">
        <x:v>reps</x:v>
      </x:c>
      <x:c r="R115" s="365" t="n">
        <x:v>3</x:v>
      </x:c>
      <x:c r="S115" s="365" t="n">
        <x:v>3</x:v>
      </x:c>
      <x:c r="T115" s="366" t="n">
        <x:f>IF(OR(COUNTIFS(Strategy!$B$36:$B$90,P115)&lt;&gt;1,COUNTIFS(Strategy!$B$36:$B$90,P115,Strategy!$C$36:$C$90,"&lt;&gt;")&lt;&gt;1),"",INDEX(Strategy!$C$36:$C$90,MATCH(P115,Strategy!$B$36:$B$90,0)))</x:f>
        <x:v>4</x:v>
      </x:c>
      <x:c r="U115" s="366" t="n">
        <x:f>IF(OR(COUNTIFS(Strategy!$B$36:$B$90,P115)&lt;&gt;1,COUNTIFS(Strategy!$B$36:$B$90,P115,Strategy!$D$36:$D$90,"&lt;&gt;")&lt;&gt;1),"",INDEX(Strategy!$D$36:$D$90,MATCH(P115,Strategy!$B$36:$B$90,0)))</x:f>
        <x:v>3</x:v>
      </x:c>
      <x:c r="V115" s="366" t="n">
        <x:f>IF(OR(COUNTIFS(Strategy!$B$36:$B$90,P115)&lt;&gt;1,COUNTIFS(Strategy!$B$36:$B$90,P115,Strategy!$E$36:$E$90,"&lt;&gt;")&lt;&gt;1),"",INDEX(Strategy!$E$36:$E$90,MATCH(P115,Strategy!$B$36:$B$90,0)))</x:f>
        <x:v>10</x:v>
      </x:c>
      <x:c r="W115" s="359" t="str">
        <x:f>IF(OR(COUNTIFS(Strategy!$B$36:$B$90,P115)&lt;&gt;1,COUNTIFS(Strategy!$B$36:$B$90,P115,Strategy!$F$36:$F$90,"&lt;&gt;")&lt;&gt;1),"",INDEX(Strategy!$F$36:$F$90,MATCH(P115,Strategy!$B$36:$B$90,0)))</x:f>
        <x:v>reps</x:v>
      </x:c>
      <x:c r="X115" s="369" t="n">
        <x:f>IF(OR(COUNT(R115:V115)&lt;&gt;5,Q115&lt;&gt;W115,T115&lt;0,T115&gt;10,U115&lt;=0,V115&lt;=0,R115&lt;0,R115&lt;&gt;INT(R115),S115&lt;=0),"",T115*R115*S115/(U115*V115))</x:f>
        <x:v>1.2</x:v>
      </x:c>
      <x:c r="Y115" s="373" t="str"/>
    </x:row>
    <x:row r="116" ht="15" hidden="0" customHeight="1">
      <x:c r="A116" s="327" t="n">
        <x:f>Daily!A35</x:f>
        <x:v>46377.5</x:v>
      </x:c>
      <x:c r="B116" s="322" t="str">
        <x:f>Daily!D35</x:f>
        <x:v>Skill A + interval circuit</x:v>
      </x:c>
      <x:c r="C116" s="322" t="str">
        <x:v>C · Unassisted pistol</x:v>
      </x:c>
      <x:c r="D116" s="322" t="str">
        <x:v>reps/leg</x:v>
      </x:c>
      <x:c r="E116" s="324" t="b">
        <x:v>1</x:v>
      </x:c>
      <x:c r="F116" s="330" t="n">
        <x:v>3</x:v>
      </x:c>
      <x:c r="G116" s="331" t="str">
        <x:f>IF(AND(OR(Daily!T35=TRUE,Daily!AB35=TRUE),COUNT(Daily!U35,Daily!V35,Daily!W35)&gt;0),SUM(Daily!U35,Daily!V35,Daily!W35),"")</x:f>
      </x:c>
      <x:c r="H116" s="331" t="n">
        <x:f>IF(AND(E116=TRUE,ISNUMBER(F116),F116&gt;0),100,"")</x:f>
        <x:v>100</x:v>
      </x:c>
      <x:c r="I116" s="331" t="str">
        <x:f>IF(AND(ISNUMBER(H116),ISNUMBER(G116)),IF(J116="lower",IF(G116&gt;0,100*F116/G116,""),100*G116/F116),"")</x:f>
      </x:c>
      <x:c r="J116" s="325" t="str">
        <x:v>higher</x:v>
      </x:c>
      <x:c r="N116" s="364" t="n">
        <x:f>Daily!A25</x:f>
        <x:v>46359.5</x:v>
      </x:c>
      <x:c r="O116" s="361" t="str">
        <x:f>Daily!D25</x:f>
        <x:v>Skill B + circuit</x:v>
      </x:c>
      <x:c r="P116" s="372" t="str">
        <x:v>Wall HSPU negative</x:v>
      </x:c>
      <x:c r="Q116" s="362" t="str">
        <x:v>reps</x:v>
      </x:c>
      <x:c r="R116" s="367" t="n">
        <x:v>3</x:v>
      </x:c>
      <x:c r="S116" s="367" t="n">
        <x:v>2</x:v>
      </x:c>
      <x:c r="T116" s="368" t="n">
        <x:f>IF(OR(COUNTIFS(Strategy!$B$36:$B$90,P116)&lt;&gt;1,COUNTIFS(Strategy!$B$36:$B$90,P116,Strategy!$C$36:$C$90,"&lt;&gt;")&lt;&gt;1),"",INDEX(Strategy!$C$36:$C$90,MATCH(P116,Strategy!$B$36:$B$90,0)))</x:f>
        <x:v>7</x:v>
      </x:c>
      <x:c r="U116" s="368" t="n">
        <x:f>IF(OR(COUNTIFS(Strategy!$B$36:$B$90,P116)&lt;&gt;1,COUNTIFS(Strategy!$B$36:$B$90,P116,Strategy!$D$36:$D$90,"&lt;&gt;")&lt;&gt;1),"",INDEX(Strategy!$D$36:$D$90,MATCH(P116,Strategy!$B$36:$B$90,0)))</x:f>
        <x:v>3</x:v>
      </x:c>
      <x:c r="V116" s="368" t="n">
        <x:f>IF(OR(COUNTIFS(Strategy!$B$36:$B$90,P116)&lt;&gt;1,COUNTIFS(Strategy!$B$36:$B$90,P116,Strategy!$E$36:$E$90,"&lt;&gt;")&lt;&gt;1),"",INDEX(Strategy!$E$36:$E$90,MATCH(P116,Strategy!$B$36:$B$90,0)))</x:f>
        <x:v>10</x:v>
      </x:c>
      <x:c r="W116" s="361" t="str">
        <x:f>IF(OR(COUNTIFS(Strategy!$B$36:$B$90,P116)&lt;&gt;1,COUNTIFS(Strategy!$B$36:$B$90,P116,Strategy!$F$36:$F$90,"&lt;&gt;")&lt;&gt;1),"",INDEX(Strategy!$F$36:$F$90,MATCH(P116,Strategy!$B$36:$B$90,0)))</x:f>
        <x:v>reps</x:v>
      </x:c>
      <x:c r="X116" s="370" t="n">
        <x:f>IF(OR(COUNT(R116:V116)&lt;&gt;5,Q116&lt;&gt;W116,T116&lt;0,T116&gt;10,U116&lt;=0,V116&lt;=0,R116&lt;0,R116&lt;&gt;INT(R116),S116&lt;=0),"",T116*R116*S116/(U116*V116))</x:f>
        <x:v>1.4</x:v>
      </x:c>
      <x:c r="Y116" s="374" t="str">
        <x:v>Count reps; the 3-second lowering tempo is not added as hold time.</x:v>
      </x:c>
    </x:row>
    <x:row r="117" ht="15" hidden="0" customHeight="1">
      <x:c r="A117" s="326" t="n">
        <x:f>Daily!A35</x:f>
        <x:v>46377.5</x:v>
      </x:c>
      <x:c r="B117" s="318" t="str">
        <x:f>Daily!D35</x:f>
        <x:v>Skill A + interval circuit</x:v>
      </x:c>
      <x:c r="C117" s="318" t="str">
        <x:v>Core</x:v>
      </x:c>
      <x:c r="D117" s="318" t="str">
        <x:v>rounds</x:v>
      </x:c>
      <x:c r="E117" s="320" t="b">
        <x:v>1</x:v>
      </x:c>
      <x:c r="F117" s="328" t="n">
        <x:v>5</x:v>
      </x:c>
      <x:c r="G117" s="329" t="str">
        <x:f>IF(AND(OR(Daily!Z35=TRUE,Daily!AB35=TRUE),COUNT(Daily!AA35)&gt;0),SUM(Daily!AA35),"")</x:f>
      </x:c>
      <x:c r="H117" s="329" t="n">
        <x:f>IF(AND(E117=TRUE,ISNUMBER(F117),F117&gt;0),100,"")</x:f>
        <x:v>100</x:v>
      </x:c>
      <x:c r="I117" s="329" t="str">
        <x:f>IF(AND(ISNUMBER(H117),ISNUMBER(G117)),IF(J117="lower",IF(G117&gt;0,100*F117/G117,""),100*G117/F117),"")</x:f>
      </x:c>
      <x:c r="J117" s="321" t="str">
        <x:v>higher</x:v>
      </x:c>
      <x:c r="N117" s="363" t="n">
        <x:f>Daily!A25</x:f>
        <x:v>46359.5</x:v>
      </x:c>
      <x:c r="O117" s="359" t="str">
        <x:f>Daily!D25</x:f>
        <x:v>Skill B + circuit</x:v>
      </x:c>
      <x:c r="P117" s="371" t="str">
        <x:v>Light-counterweight pistol</x:v>
      </x:c>
      <x:c r="Q117" s="360" t="str">
        <x:v>reps/leg</x:v>
      </x:c>
      <x:c r="R117" s="365" t="n">
        <x:v>3</x:v>
      </x:c>
      <x:c r="S117" s="365" t="n">
        <x:v>4</x:v>
      </x:c>
      <x:c r="T117" s="366" t="n">
        <x:f>IF(OR(COUNTIFS(Strategy!$B$36:$B$90,P117)&lt;&gt;1,COUNTIFS(Strategy!$B$36:$B$90,P117,Strategy!$C$36:$C$90,"&lt;&gt;")&lt;&gt;1),"",INDEX(Strategy!$C$36:$C$90,MATCH(P117,Strategy!$B$36:$B$90,0)))</x:f>
        <x:v>4</x:v>
      </x:c>
      <x:c r="U117" s="366" t="n">
        <x:f>IF(OR(COUNTIFS(Strategy!$B$36:$B$90,P117)&lt;&gt;1,COUNTIFS(Strategy!$B$36:$B$90,P117,Strategy!$D$36:$D$90,"&lt;&gt;")&lt;&gt;1),"",INDEX(Strategy!$D$36:$D$90,MATCH(P117,Strategy!$B$36:$B$90,0)))</x:f>
        <x:v>3</x:v>
      </x:c>
      <x:c r="V117" s="366" t="n">
        <x:f>IF(OR(COUNTIFS(Strategy!$B$36:$B$90,P117)&lt;&gt;1,COUNTIFS(Strategy!$B$36:$B$90,P117,Strategy!$E$36:$E$90,"&lt;&gt;")&lt;&gt;1),"",INDEX(Strategy!$E$36:$E$90,MATCH(P117,Strategy!$B$36:$B$90,0)))</x:f>
        <x:v>10</x:v>
      </x:c>
      <x:c r="W117" s="359" t="str">
        <x:f>IF(OR(COUNTIFS(Strategy!$B$36:$B$90,P117)&lt;&gt;1,COUNTIFS(Strategy!$B$36:$B$90,P117,Strategy!$F$36:$F$90,"&lt;&gt;")&lt;&gt;1),"",INDEX(Strategy!$F$36:$F$90,MATCH(P117,Strategy!$B$36:$B$90,0)))</x:f>
        <x:v>reps/leg</x:v>
      </x:c>
      <x:c r="X117" s="369" t="n">
        <x:f>IF(OR(COUNT(R117:V117)&lt;&gt;5,Q117&lt;&gt;W117,T117&lt;0,T117&gt;10,U117&lt;=0,V117&lt;=0,R117&lt;0,R117&lt;&gt;INT(R117),S117&lt;=0),"",T117*R117*S117/(U117*V117))</x:f>
        <x:v>1.6</x:v>
      </x:c>
      <x:c r="Y117" s="373" t="str"/>
    </x:row>
    <x:row r="118" ht="15" hidden="0" customHeight="1">
      <x:c r="A118" s="327" t="n">
        <x:f>Daily!A36</x:f>
        <x:v>46378.5</x:v>
      </x:c>
      <x:c r="B118" s="322" t="str">
        <x:f>Daily!D36</x:f>
        <x:v>Handstand technique</x:v>
      </x:c>
      <x:c r="C118" s="322" t="str">
        <x:v>A · Wrist/shoulder mobility</x:v>
      </x:c>
      <x:c r="D118" s="322" t="str">
        <x:v>seconds</x:v>
      </x:c>
      <x:c r="E118" s="324" t="b">
        <x:v>1</x:v>
      </x:c>
      <x:c r="F118" s="330" t="n">
        <x:v>120</x:v>
      </x:c>
      <x:c r="G118" s="331" t="str">
        <x:f>IF(AND(OR(Daily!H36=TRUE,Daily!AB36=TRUE),COUNT(Daily!I36)&gt;0),SUM(Daily!I36)*86400,"")</x:f>
      </x:c>
      <x:c r="H118" s="331" t="n">
        <x:f>IF(AND(E118=TRUE,ISNUMBER(F118),F118&gt;0),100,"")</x:f>
        <x:v>100</x:v>
      </x:c>
      <x:c r="I118" s="331" t="str">
        <x:f>IF(AND(ISNUMBER(H118),ISNUMBER(G118)),IF(J118="lower",IF(G118&gt;0,100*F118/G118,""),100*G118/F118),"")</x:f>
      </x:c>
      <x:c r="J118" s="325" t="str">
        <x:v>higher</x:v>
      </x:c>
      <x:c r="N118" s="364" t="n">
        <x:f>Daily!A25</x:f>
        <x:v>46359.5</x:v>
      </x:c>
      <x:c r="O118" s="361" t="str">
        <x:f>Daily!D25</x:f>
        <x:v>Skill B + circuit</x:v>
      </x:c>
      <x:c r="P118" s="372" t="str">
        <x:v>Pull-up</x:v>
      </x:c>
      <x:c r="Q118" s="362" t="str">
        <x:v>seconds</x:v>
      </x:c>
      <x:c r="R118" s="367" t="n">
        <x:v>5</x:v>
      </x:c>
      <x:c r="S118" s="367" t="n">
        <x:v>30</x:v>
      </x:c>
      <x:c r="T118" s="368" t="n">
        <x:f>IF(OR(COUNTIFS(Strategy!$B$36:$B$90,P118)&lt;&gt;1,COUNTIFS(Strategy!$B$36:$B$90,P118,Strategy!$C$36:$C$90,"&lt;&gt;")&lt;&gt;1),"",INDEX(Strategy!$C$36:$C$90,MATCH(P118,Strategy!$B$36:$B$90,0)))</x:f>
        <x:v>1</x:v>
      </x:c>
      <x:c r="U118" s="368" t="n">
        <x:f>IF(OR(COUNTIFS(Strategy!$B$36:$B$90,P118)&lt;&gt;1,COUNTIFS(Strategy!$B$36:$B$90,P118,Strategy!$D$36:$D$90,"&lt;&gt;")&lt;&gt;1),"",INDEX(Strategy!$D$36:$D$90,MATCH(P118,Strategy!$B$36:$B$90,0)))</x:f>
        <x:v>5</x:v>
      </x:c>
      <x:c r="V118" s="368" t="n">
        <x:f>IF(OR(COUNTIFS(Strategy!$B$36:$B$90,P118)&lt;&gt;1,COUNTIFS(Strategy!$B$36:$B$90,P118,Strategy!$E$36:$E$90,"&lt;&gt;")&lt;&gt;1),"",INDEX(Strategy!$E$36:$E$90,MATCH(P118,Strategy!$B$36:$B$90,0)))</x:f>
        <x:v>120</x:v>
      </x:c>
      <x:c r="W118" s="361" t="str">
        <x:f>IF(OR(COUNTIFS(Strategy!$B$36:$B$90,P118)&lt;&gt;1,COUNTIFS(Strategy!$B$36:$B$90,P118,Strategy!$F$36:$F$90,"&lt;&gt;")&lt;&gt;1),"",INDEX(Strategy!$F$36:$F$90,MATCH(P118,Strategy!$B$36:$B$90,0)))</x:f>
        <x:v>seconds</x:v>
      </x:c>
      <x:c r="X118" s="370" t="n">
        <x:f>IF(OR(COUNT(R118:V118)&lt;&gt;5,Q118&lt;&gt;W118,T118&lt;0,T118&gt;10,U118&lt;=0,V118&lt;=0,R118&lt;0,R118&lt;&gt;INT(R118),S118&lt;=0),"",T118*R118*S118/(U118*V118))</x:f>
        <x:v>0.25</x:v>
      </x:c>
      <x:c r="Y118" s="374" t="str">
        <x:v>Core: one 30-second work interval per round; rest excluded.</x:v>
      </x:c>
    </x:row>
    <x:row r="119" ht="15" hidden="0" customHeight="1">
      <x:c r="A119" s="326" t="n">
        <x:f>Daily!A36</x:f>
        <x:v>46378.5</x:v>
      </x:c>
      <x:c r="B119" s="318" t="str">
        <x:f>Daily!D36</x:f>
        <x:v>Handstand technique</x:v>
      </x:c>
      <x:c r="C119" s="318" t="str">
        <x:v>B · Easy chest-to-wall hold</x:v>
      </x:c>
      <x:c r="D119" s="318" t="str">
        <x:v>seconds</x:v>
      </x:c>
      <x:c r="E119" s="320" t="b">
        <x:v>1</x:v>
      </x:c>
      <x:c r="F119" s="328" t="n">
        <x:v>45</x:v>
      </x:c>
      <x:c r="G119" s="329" t="str">
        <x:f>IF(AND(OR(Daily!N36=TRUE,Daily!AB36=TRUE),COUNT(Daily!O36,Daily!P36,Daily!Q36)&gt;0),SUM(Daily!O36,Daily!P36,Daily!Q36)*86400,"")</x:f>
      </x:c>
      <x:c r="H119" s="329" t="n">
        <x:f>IF(AND(E119=TRUE,ISNUMBER(F119),F119&gt;0),100,"")</x:f>
        <x:v>100</x:v>
      </x:c>
      <x:c r="I119" s="329" t="str">
        <x:f>IF(AND(ISNUMBER(H119),ISNUMBER(G119)),IF(J119="lower",IF(G119&gt;0,100*F119/G119,""),100*G119/F119),"")</x:f>
      </x:c>
      <x:c r="J119" s="321" t="str">
        <x:v>higher</x:v>
      </x:c>
      <x:c r="N119" s="363" t="n">
        <x:f>Daily!A25</x:f>
        <x:v>46359.5</x:v>
      </x:c>
      <x:c r="O119" s="359" t="str">
        <x:f>Daily!D25</x:f>
        <x:v>Skill B + circuit</x:v>
      </x:c>
      <x:c r="P119" s="371" t="str">
        <x:v>Push-up</x:v>
      </x:c>
      <x:c r="Q119" s="360" t="str">
        <x:v>seconds</x:v>
      </x:c>
      <x:c r="R119" s="365" t="n">
        <x:v>5</x:v>
      </x:c>
      <x:c r="S119" s="365" t="n">
        <x:v>30</x:v>
      </x:c>
      <x:c r="T119" s="366" t="n">
        <x:f>IF(OR(COUNTIFS(Strategy!$B$36:$B$90,P119)&lt;&gt;1,COUNTIFS(Strategy!$B$36:$B$90,P119,Strategy!$C$36:$C$90,"&lt;&gt;")&lt;&gt;1),"",INDEX(Strategy!$C$36:$C$90,MATCH(P119,Strategy!$B$36:$B$90,0)))</x:f>
        <x:v>1</x:v>
      </x:c>
      <x:c r="U119" s="366" t="n">
        <x:f>IF(OR(COUNTIFS(Strategy!$B$36:$B$90,P119)&lt;&gt;1,COUNTIFS(Strategy!$B$36:$B$90,P119,Strategy!$D$36:$D$90,"&lt;&gt;")&lt;&gt;1),"",INDEX(Strategy!$D$36:$D$90,MATCH(P119,Strategy!$B$36:$B$90,0)))</x:f>
        <x:v>5</x:v>
      </x:c>
      <x:c r="V119" s="366" t="n">
        <x:f>IF(OR(COUNTIFS(Strategy!$B$36:$B$90,P119)&lt;&gt;1,COUNTIFS(Strategy!$B$36:$B$90,P119,Strategy!$E$36:$E$90,"&lt;&gt;")&lt;&gt;1),"",INDEX(Strategy!$E$36:$E$90,MATCH(P119,Strategy!$B$36:$B$90,0)))</x:f>
        <x:v>120</x:v>
      </x:c>
      <x:c r="W119" s="359" t="str">
        <x:f>IF(OR(COUNTIFS(Strategy!$B$36:$B$90,P119)&lt;&gt;1,COUNTIFS(Strategy!$B$36:$B$90,P119,Strategy!$F$36:$F$90,"&lt;&gt;")&lt;&gt;1),"",INDEX(Strategy!$F$36:$F$90,MATCH(P119,Strategy!$B$36:$B$90,0)))</x:f>
        <x:v>seconds</x:v>
      </x:c>
      <x:c r="X119" s="369" t="n">
        <x:f>IF(OR(COUNT(R119:V119)&lt;&gt;5,Q119&lt;&gt;W119,T119&lt;0,T119&gt;10,U119&lt;=0,V119&lt;=0,R119&lt;0,R119&lt;&gt;INT(R119),S119&lt;=0),"",T119*R119*S119/(U119*V119))</x:f>
        <x:v>0.25</x:v>
      </x:c>
      <x:c r="Y119" s="373" t="str">
        <x:v>Core: one 30-second work interval per round; rest excluded.</x:v>
      </x:c>
    </x:row>
    <x:row r="120" ht="15" hidden="0" customHeight="1">
      <x:c r="A120" s="327" t="n">
        <x:f>Daily!A36</x:f>
        <x:v>46378.5</x:v>
      </x:c>
      <x:c r="B120" s="322" t="str">
        <x:f>Daily!D36</x:f>
        <x:v>Handstand technique</x:v>
      </x:c>
      <x:c r="C120" s="322" t="str">
        <x:v>C · Wall handstand line drill</x:v>
      </x:c>
      <x:c r="D120" s="322" t="str">
        <x:v>seconds</x:v>
      </x:c>
      <x:c r="E120" s="324" t="b">
        <x:v>1</x:v>
      </x:c>
      <x:c r="F120" s="330" t="n">
        <x:v>30</x:v>
      </x:c>
      <x:c r="G120" s="331" t="str">
        <x:f>IF(AND(OR(Daily!T36=TRUE,Daily!AB36=TRUE),COUNT(Daily!U36,Daily!V36)&gt;0),SUM(Daily!U36,Daily!V36)*86400,"")</x:f>
      </x:c>
      <x:c r="H120" s="331" t="n">
        <x:f>IF(AND(E120=TRUE,ISNUMBER(F120),F120&gt;0),100,"")</x:f>
        <x:v>100</x:v>
      </x:c>
      <x:c r="I120" s="331" t="str">
        <x:f>IF(AND(ISNUMBER(H120),ISNUMBER(G120)),IF(J120="lower",IF(G120&gt;0,100*F120/G120,""),100*G120/F120),"")</x:f>
      </x:c>
      <x:c r="J120" s="325" t="str">
        <x:v>higher</x:v>
      </x:c>
      <x:c r="N120" s="364" t="n">
        <x:f>Daily!A25</x:f>
        <x:v>46359.5</x:v>
      </x:c>
      <x:c r="O120" s="361" t="str">
        <x:f>Daily!D25</x:f>
        <x:v>Skill B + circuit</x:v>
      </x:c>
      <x:c r="P120" s="372" t="str">
        <x:v>Weighted squat</x:v>
      </x:c>
      <x:c r="Q120" s="362" t="str">
        <x:v>seconds</x:v>
      </x:c>
      <x:c r="R120" s="367" t="n">
        <x:v>5</x:v>
      </x:c>
      <x:c r="S120" s="367" t="n">
        <x:v>30</x:v>
      </x:c>
      <x:c r="T120" s="368" t="n">
        <x:f>IF(OR(COUNTIFS(Strategy!$B$36:$B$90,P120)&lt;&gt;1,COUNTIFS(Strategy!$B$36:$B$90,P120,Strategy!$C$36:$C$90,"&lt;&gt;")&lt;&gt;1),"",INDEX(Strategy!$C$36:$C$90,MATCH(P120,Strategy!$B$36:$B$90,0)))</x:f>
        <x:v>1</x:v>
      </x:c>
      <x:c r="U120" s="368" t="n">
        <x:f>IF(OR(COUNTIFS(Strategy!$B$36:$B$90,P120)&lt;&gt;1,COUNTIFS(Strategy!$B$36:$B$90,P120,Strategy!$D$36:$D$90,"&lt;&gt;")&lt;&gt;1),"",INDEX(Strategy!$D$36:$D$90,MATCH(P120,Strategy!$B$36:$B$90,0)))</x:f>
        <x:v>5</x:v>
      </x:c>
      <x:c r="V120" s="368" t="n">
        <x:f>IF(OR(COUNTIFS(Strategy!$B$36:$B$90,P120)&lt;&gt;1,COUNTIFS(Strategy!$B$36:$B$90,P120,Strategy!$E$36:$E$90,"&lt;&gt;")&lt;&gt;1),"",INDEX(Strategy!$E$36:$E$90,MATCH(P120,Strategy!$B$36:$B$90,0)))</x:f>
        <x:v>120</x:v>
      </x:c>
      <x:c r="W120" s="361" t="str">
        <x:f>IF(OR(COUNTIFS(Strategy!$B$36:$B$90,P120)&lt;&gt;1,COUNTIFS(Strategy!$B$36:$B$90,P120,Strategy!$F$36:$F$90,"&lt;&gt;")&lt;&gt;1),"",INDEX(Strategy!$F$36:$F$90,MATCH(P120,Strategy!$B$36:$B$90,0)))</x:f>
        <x:v>seconds</x:v>
      </x:c>
      <x:c r="X120" s="370" t="n">
        <x:f>IF(OR(COUNT(R120:V120)&lt;&gt;5,Q120&lt;&gt;W120,T120&lt;0,T120&gt;10,U120&lt;=0,V120&lt;=0,R120&lt;0,R120&lt;&gt;INT(R120),S120&lt;=0),"",T120*R120*S120/(U120*V120))</x:f>
        <x:v>0.25</x:v>
      </x:c>
      <x:c r="Y120" s="374" t="str">
        <x:v>Core: one 30-second work interval per round; rest excluded.</x:v>
      </x:c>
    </x:row>
    <x:row r="121" ht="15" hidden="0" customHeight="1">
      <x:c r="A121" s="326" t="n">
        <x:f>Daily!A37</x:f>
        <x:v>46380.5</x:v>
      </x:c>
      <x:c r="B121" s="318" t="str">
        <x:f>Daily!D37</x:f>
        <x:v>Skill B + circuit</x:v>
      </x:c>
      <x:c r="C121" s="318" t="str">
        <x:v>A · Full-ROM wall HSPU negative</x:v>
      </x:c>
      <x:c r="D121" s="318" t="str">
        <x:v>reps</x:v>
      </x:c>
      <x:c r="E121" s="320" t="b">
        <x:v>1</x:v>
      </x:c>
      <x:c r="F121" s="328" t="n">
        <x:v>3</x:v>
      </x:c>
      <x:c r="G121" s="329" t="str">
        <x:f>IF(AND(OR(Daily!H37=TRUE,Daily!AB37=TRUE),COUNT(Daily!I37,Daily!J37,Daily!K37)&gt;0),SUM(Daily!I37,Daily!J37,Daily!K37),"")</x:f>
      </x:c>
      <x:c r="H121" s="329" t="n">
        <x:f>IF(AND(E121=TRUE,ISNUMBER(F121),F121&gt;0),100,"")</x:f>
        <x:v>100</x:v>
      </x:c>
      <x:c r="I121" s="329" t="str">
        <x:f>IF(AND(ISNUMBER(H121),ISNUMBER(G121)),IF(J121="lower",IF(G121&gt;0,100*F121/G121,""),100*G121/F121),"")</x:f>
      </x:c>
      <x:c r="J121" s="321" t="str">
        <x:v>higher</x:v>
      </x:c>
      <x:c r="N121" s="363" t="n">
        <x:f>Daily!A25</x:f>
        <x:v>46359.5</x:v>
      </x:c>
      <x:c r="O121" s="359" t="str">
        <x:f>Daily!D25</x:f>
        <x:v>Skill B + circuit</x:v>
      </x:c>
      <x:c r="P121" s="371" t="str">
        <x:v>Upside-down hanging shoulder/ab work</x:v>
      </x:c>
      <x:c r="Q121" s="360" t="str">
        <x:v>seconds</x:v>
      </x:c>
      <x:c r="R121" s="365" t="n">
        <x:v>5</x:v>
      </x:c>
      <x:c r="S121" s="365" t="n">
        <x:v>30</x:v>
      </x:c>
      <x:c r="T121" s="366" t="n">
        <x:f>IF(OR(COUNTIFS(Strategy!$B$36:$B$90,P121)&lt;&gt;1,COUNTIFS(Strategy!$B$36:$B$90,P121,Strategy!$C$36:$C$90,"&lt;&gt;")&lt;&gt;1),"",INDEX(Strategy!$C$36:$C$90,MATCH(P121,Strategy!$B$36:$B$90,0)))</x:f>
        <x:v>1</x:v>
      </x:c>
      <x:c r="U121" s="366" t="n">
        <x:f>IF(OR(COUNTIFS(Strategy!$B$36:$B$90,P121)&lt;&gt;1,COUNTIFS(Strategy!$B$36:$B$90,P121,Strategy!$D$36:$D$90,"&lt;&gt;")&lt;&gt;1),"",INDEX(Strategy!$D$36:$D$90,MATCH(P121,Strategy!$B$36:$B$90,0)))</x:f>
        <x:v>5</x:v>
      </x:c>
      <x:c r="V121" s="366" t="n">
        <x:f>IF(OR(COUNTIFS(Strategy!$B$36:$B$90,P121)&lt;&gt;1,COUNTIFS(Strategy!$B$36:$B$90,P121,Strategy!$E$36:$E$90,"&lt;&gt;")&lt;&gt;1),"",INDEX(Strategy!$E$36:$E$90,MATCH(P121,Strategy!$B$36:$B$90,0)))</x:f>
        <x:v>120</x:v>
      </x:c>
      <x:c r="W121" s="359" t="str">
        <x:f>IF(OR(COUNTIFS(Strategy!$B$36:$B$90,P121)&lt;&gt;1,COUNTIFS(Strategy!$B$36:$B$90,P121,Strategy!$F$36:$F$90,"&lt;&gt;")&lt;&gt;1),"",INDEX(Strategy!$F$36:$F$90,MATCH(P121,Strategy!$B$36:$B$90,0)))</x:f>
        <x:v>seconds</x:v>
      </x:c>
      <x:c r="X121" s="369" t="n">
        <x:f>IF(OR(COUNT(R121:V121)&lt;&gt;5,Q121&lt;&gt;W121,T121&lt;0,T121&gt;10,U121&lt;=0,V121&lt;=0,R121&lt;0,R121&lt;&gt;INT(R121),S121&lt;=0),"",T121*R121*S121/(U121*V121))</x:f>
        <x:v>0.25</x:v>
      </x:c>
      <x:c r="Y121" s="373" t="str">
        <x:v>Core: one 30-second work interval per round; rest excluded.</x:v>
      </x:c>
    </x:row>
    <x:row r="122" ht="15" hidden="0" customHeight="1">
      <x:c r="A122" s="327" t="n">
        <x:f>Daily!A37</x:f>
        <x:v>46380.5</x:v>
      </x:c>
      <x:c r="B122" s="322" t="str">
        <x:f>Daily!D37</x:f>
        <x:v>Skill B + circuit</x:v>
      </x:c>
      <x:c r="C122" s="322" t="str">
        <x:v>B · Partial wall HSPU</x:v>
      </x:c>
      <x:c r="D122" s="322" t="str">
        <x:v>reps</x:v>
      </x:c>
      <x:c r="E122" s="324" t="b">
        <x:v>1</x:v>
      </x:c>
      <x:c r="F122" s="330" t="n">
        <x:v>9</x:v>
      </x:c>
      <x:c r="G122" s="331" t="str">
        <x:f>IF(AND(OR(Daily!N37=TRUE,Daily!AB37=TRUE),COUNT(Daily!O37,Daily!P37,Daily!Q37)&gt;0),SUM(Daily!O37,Daily!P37,Daily!Q37),"")</x:f>
      </x:c>
      <x:c r="H122" s="331" t="n">
        <x:f>IF(AND(E122=TRUE,ISNUMBER(F122),F122&gt;0),100,"")</x:f>
        <x:v>100</x:v>
      </x:c>
      <x:c r="I122" s="331" t="str">
        <x:f>IF(AND(ISNUMBER(H122),ISNUMBER(G122)),IF(J122="lower",IF(G122&gt;0,100*F122/G122,""),100*G122/F122),"")</x:f>
      </x:c>
      <x:c r="J122" s="325" t="str">
        <x:v>higher</x:v>
      </x:c>
      <x:c r="N122" s="364" t="n">
        <x:f>Daily!A26</x:f>
        <x:v>46361.5</x:v>
      </x:c>
      <x:c r="O122" s="361" t="str">
        <x:f>Daily!D26</x:f>
        <x:v>Skill micro-session</x:v>
      </x:c>
      <x:c r="P122" s="372" t="str">
        <x:v>Wrist/shoulder mobility</x:v>
      </x:c>
      <x:c r="Q122" s="362" t="str">
        <x:v>seconds</x:v>
      </x:c>
      <x:c r="R122" s="367" t="n">
        <x:v>1</x:v>
      </x:c>
      <x:c r="S122" s="367" t="n">
        <x:v>120</x:v>
      </x:c>
      <x:c r="T122" s="368" t="n">
        <x:f>IF(OR(COUNTIFS(Strategy!$B$36:$B$90,P122)&lt;&gt;1,COUNTIFS(Strategy!$B$36:$B$90,P122,Strategy!$C$36:$C$90,"&lt;&gt;")&lt;&gt;1),"",INDEX(Strategy!$C$36:$C$90,MATCH(P122,Strategy!$B$36:$B$90,0)))</x:f>
        <x:v>1</x:v>
      </x:c>
      <x:c r="U122" s="368" t="n">
        <x:f>IF(OR(COUNTIFS(Strategy!$B$36:$B$90,P122)&lt;&gt;1,COUNTIFS(Strategy!$B$36:$B$90,P122,Strategy!$D$36:$D$90,"&lt;&gt;")&lt;&gt;1),"",INDEX(Strategy!$D$36:$D$90,MATCH(P122,Strategy!$B$36:$B$90,0)))</x:f>
        <x:v>3</x:v>
      </x:c>
      <x:c r="V122" s="368" t="n">
        <x:f>IF(OR(COUNTIFS(Strategy!$B$36:$B$90,P122)&lt;&gt;1,COUNTIFS(Strategy!$B$36:$B$90,P122,Strategy!$E$36:$E$90,"&lt;&gt;")&lt;&gt;1),"",INDEX(Strategy!$E$36:$E$90,MATCH(P122,Strategy!$B$36:$B$90,0)))</x:f>
        <x:v>60</x:v>
      </x:c>
      <x:c r="W122" s="361" t="str">
        <x:f>IF(OR(COUNTIFS(Strategy!$B$36:$B$90,P122)&lt;&gt;1,COUNTIFS(Strategy!$B$36:$B$90,P122,Strategy!$F$36:$F$90,"&lt;&gt;")&lt;&gt;1),"",INDEX(Strategy!$F$36:$F$90,MATCH(P122,Strategy!$B$36:$B$90,0)))</x:f>
        <x:v>seconds</x:v>
      </x:c>
      <x:c r="X122" s="370" t="n">
        <x:f>IF(OR(COUNT(R122:V122)&lt;&gt;5,Q122&lt;&gt;W122,T122&lt;0,T122&gt;10,U122&lt;=0,V122&lt;=0,R122&lt;0,R122&lt;&gt;INT(R122),S122&lt;=0),"",T122*R122*S122/(U122*V122))</x:f>
        <x:v>0.6666666666666666</x:v>
      </x:c>
      <x:c r="Y122" s="374" t="str"/>
    </x:row>
    <x:row r="123" ht="15" hidden="0" customHeight="1">
      <x:c r="A123" s="326" t="n">
        <x:f>Daily!A37</x:f>
        <x:v>46380.5</x:v>
      </x:c>
      <x:c r="B123" s="318" t="str">
        <x:f>Daily!D37</x:f>
        <x:v>Skill B + circuit</x:v>
      </x:c>
      <x:c r="C123" s="318" t="str">
        <x:v>C · Unassisted pistol</x:v>
      </x:c>
      <x:c r="D123" s="318" t="str">
        <x:v>reps/leg</x:v>
      </x:c>
      <x:c r="E123" s="320" t="b">
        <x:v>1</x:v>
      </x:c>
      <x:c r="F123" s="328" t="n">
        <x:v>3</x:v>
      </x:c>
      <x:c r="G123" s="329" t="str">
        <x:f>IF(AND(OR(Daily!T37=TRUE,Daily!AB37=TRUE),COUNT(Daily!U37,Daily!V37,Daily!W37)&gt;0),SUM(Daily!U37,Daily!V37,Daily!W37),"")</x:f>
      </x:c>
      <x:c r="H123" s="329" t="n">
        <x:f>IF(AND(E123=TRUE,ISNUMBER(F123),F123&gt;0),100,"")</x:f>
        <x:v>100</x:v>
      </x:c>
      <x:c r="I123" s="329" t="str">
        <x:f>IF(AND(ISNUMBER(H123),ISNUMBER(G123)),IF(J123="lower",IF(G123&gt;0,100*F123/G123,""),100*G123/F123),"")</x:f>
      </x:c>
      <x:c r="J123" s="321" t="str">
        <x:v>higher</x:v>
      </x:c>
      <x:c r="N123" s="363" t="n">
        <x:f>Daily!A26</x:f>
        <x:v>46361.5</x:v>
      </x:c>
      <x:c r="O123" s="359" t="str">
        <x:f>Daily!D26</x:f>
        <x:v>Skill micro-session</x:v>
      </x:c>
      <x:c r="P123" s="371" t="str">
        <x:v>Easy chest-to-wall hold</x:v>
      </x:c>
      <x:c r="Q123" s="360" t="str">
        <x:v>seconds</x:v>
      </x:c>
      <x:c r="R123" s="365" t="n">
        <x:v>3</x:v>
      </x:c>
      <x:c r="S123" s="365" t="n">
        <x:v>15</x:v>
      </x:c>
      <x:c r="T123" s="366" t="n">
        <x:f>IF(OR(COUNTIFS(Strategy!$B$36:$B$90,P123)&lt;&gt;1,COUNTIFS(Strategy!$B$36:$B$90,P123,Strategy!$C$36:$C$90,"&lt;&gt;")&lt;&gt;1),"",INDEX(Strategy!$C$36:$C$90,MATCH(P123,Strategy!$B$36:$B$90,0)))</x:f>
        <x:v>1</x:v>
      </x:c>
      <x:c r="U123" s="366" t="n">
        <x:f>IF(OR(COUNTIFS(Strategy!$B$36:$B$90,P123)&lt;&gt;1,COUNTIFS(Strategy!$B$36:$B$90,P123,Strategy!$D$36:$D$90,"&lt;&gt;")&lt;&gt;1),"",INDEX(Strategy!$D$36:$D$90,MATCH(P123,Strategy!$B$36:$B$90,0)))</x:f>
        <x:v>3</x:v>
      </x:c>
      <x:c r="V123" s="366" t="n">
        <x:f>IF(OR(COUNTIFS(Strategy!$B$36:$B$90,P123)&lt;&gt;1,COUNTIFS(Strategy!$B$36:$B$90,P123,Strategy!$E$36:$E$90,"&lt;&gt;")&lt;&gt;1),"",INDEX(Strategy!$E$36:$E$90,MATCH(P123,Strategy!$B$36:$B$90,0)))</x:f>
        <x:v>60</x:v>
      </x:c>
      <x:c r="W123" s="359" t="str">
        <x:f>IF(OR(COUNTIFS(Strategy!$B$36:$B$90,P123)&lt;&gt;1,COUNTIFS(Strategy!$B$36:$B$90,P123,Strategy!$F$36:$F$90,"&lt;&gt;")&lt;&gt;1),"",INDEX(Strategy!$F$36:$F$90,MATCH(P123,Strategy!$B$36:$B$90,0)))</x:f>
        <x:v>seconds</x:v>
      </x:c>
      <x:c r="X123" s="369" t="n">
        <x:f>IF(OR(COUNT(R123:V123)&lt;&gt;5,Q123&lt;&gt;W123,T123&lt;0,T123&gt;10,U123&lt;=0,V123&lt;=0,R123&lt;0,R123&lt;&gt;INT(R123),S123&lt;=0),"",T123*R123*S123/(U123*V123))</x:f>
        <x:v>0.25</x:v>
      </x:c>
      <x:c r="Y123" s="373" t="str"/>
    </x:row>
    <x:row r="124" ht="15" hidden="0" customHeight="1">
      <x:c r="A124" s="327" t="n">
        <x:f>Daily!A37</x:f>
        <x:v>46380.5</x:v>
      </x:c>
      <x:c r="B124" s="322" t="str">
        <x:f>Daily!D37</x:f>
        <x:v>Skill B + circuit</x:v>
      </x:c>
      <x:c r="C124" s="322" t="str">
        <x:v>Core</x:v>
      </x:c>
      <x:c r="D124" s="322" t="str">
        <x:v>rounds</x:v>
      </x:c>
      <x:c r="E124" s="324" t="b">
        <x:v>1</x:v>
      </x:c>
      <x:c r="F124" s="330" t="n">
        <x:v>5</x:v>
      </x:c>
      <x:c r="G124" s="331" t="str">
        <x:f>IF(AND(OR(Daily!Z37=TRUE,Daily!AB37=TRUE),COUNT(Daily!AA37)&gt;0),SUM(Daily!AA37),"")</x:f>
      </x:c>
      <x:c r="H124" s="331" t="n">
        <x:f>IF(AND(E124=TRUE,ISNUMBER(F124),F124&gt;0),100,"")</x:f>
        <x:v>100</x:v>
      </x:c>
      <x:c r="I124" s="331" t="str">
        <x:f>IF(AND(ISNUMBER(H124),ISNUMBER(G124)),IF(J124="lower",IF(G124&gt;0,100*F124/G124,""),100*G124/F124),"")</x:f>
      </x:c>
      <x:c r="J124" s="325" t="str">
        <x:v>higher</x:v>
      </x:c>
      <x:c r="N124" s="364" t="n">
        <x:f>Daily!A26</x:f>
        <x:v>46361.5</x:v>
      </x:c>
      <x:c r="O124" s="361" t="str">
        <x:f>Daily!D26</x:f>
        <x:v>Skill micro-session</x:v>
      </x:c>
      <x:c r="P124" s="372" t="str">
        <x:v>Wall handstand line drill</x:v>
      </x:c>
      <x:c r="Q124" s="362" t="str">
        <x:v>seconds</x:v>
      </x:c>
      <x:c r="R124" s="367" t="n">
        <x:v>3</x:v>
      </x:c>
      <x:c r="S124" s="367" t="n">
        <x:v>15</x:v>
      </x:c>
      <x:c r="T124" s="368" t="n">
        <x:f>IF(OR(COUNTIFS(Strategy!$B$36:$B$90,P124)&lt;&gt;1,COUNTIFS(Strategy!$B$36:$B$90,P124,Strategy!$C$36:$C$90,"&lt;&gt;")&lt;&gt;1),"",INDEX(Strategy!$C$36:$C$90,MATCH(P124,Strategy!$B$36:$B$90,0)))</x:f>
        <x:v>1</x:v>
      </x:c>
      <x:c r="U124" s="368" t="n">
        <x:f>IF(OR(COUNTIFS(Strategy!$B$36:$B$90,P124)&lt;&gt;1,COUNTIFS(Strategy!$B$36:$B$90,P124,Strategy!$D$36:$D$90,"&lt;&gt;")&lt;&gt;1),"",INDEX(Strategy!$D$36:$D$90,MATCH(P124,Strategy!$B$36:$B$90,0)))</x:f>
        <x:v>3</x:v>
      </x:c>
      <x:c r="V124" s="368" t="n">
        <x:f>IF(OR(COUNTIFS(Strategy!$B$36:$B$90,P124)&lt;&gt;1,COUNTIFS(Strategy!$B$36:$B$90,P124,Strategy!$E$36:$E$90,"&lt;&gt;")&lt;&gt;1),"",INDEX(Strategy!$E$36:$E$90,MATCH(P124,Strategy!$B$36:$B$90,0)))</x:f>
        <x:v>60</x:v>
      </x:c>
      <x:c r="W124" s="361" t="str">
        <x:f>IF(OR(COUNTIFS(Strategy!$B$36:$B$90,P124)&lt;&gt;1,COUNTIFS(Strategy!$B$36:$B$90,P124,Strategy!$F$36:$F$90,"&lt;&gt;")&lt;&gt;1),"",INDEX(Strategy!$F$36:$F$90,MATCH(P124,Strategy!$B$36:$B$90,0)))</x:f>
        <x:v>seconds</x:v>
      </x:c>
      <x:c r="X124" s="370" t="n">
        <x:f>IF(OR(COUNT(R124:V124)&lt;&gt;5,Q124&lt;&gt;W124,T124&lt;0,T124&gt;10,U124&lt;=0,V124&lt;=0,R124&lt;0,R124&lt;&gt;INT(R124),S124&lt;=0),"",T124*R124*S124/(U124*V124))</x:f>
        <x:v>0.25</x:v>
      </x:c>
      <x:c r="Y124" s="374" t="str"/>
    </x:row>
    <x:row r="125" ht="15" hidden="0" customHeight="1">
      <x:c r="A125" s="326" t="n">
        <x:f>Daily!A38</x:f>
        <x:v>46382.5</x:v>
      </x:c>
      <x:c r="B125" s="318" t="str">
        <x:f>Daily!D38</x:f>
        <x:v>Skill micro-session</x:v>
      </x:c>
      <x:c r="C125" s="318" t="str">
        <x:v>A · Wrist/shoulder mobility</x:v>
      </x:c>
      <x:c r="D125" s="318" t="str">
        <x:v>seconds</x:v>
      </x:c>
      <x:c r="E125" s="320" t="b">
        <x:v>1</x:v>
      </x:c>
      <x:c r="F125" s="328" t="n">
        <x:v>120</x:v>
      </x:c>
      <x:c r="G125" s="329" t="str">
        <x:f>IF(AND(OR(Daily!H38=TRUE,Daily!AB38=TRUE),COUNT(Daily!I38)&gt;0),SUM(Daily!I38)*86400,"")</x:f>
      </x:c>
      <x:c r="H125" s="329" t="n">
        <x:f>IF(AND(E125=TRUE,ISNUMBER(F125),F125&gt;0),100,"")</x:f>
        <x:v>100</x:v>
      </x:c>
      <x:c r="I125" s="329" t="str">
        <x:f>IF(AND(ISNUMBER(H125),ISNUMBER(G125)),IF(J125="lower",IF(G125&gt;0,100*F125/G125,""),100*G125/F125),"")</x:f>
      </x:c>
      <x:c r="J125" s="321" t="str">
        <x:v>higher</x:v>
      </x:c>
      <x:c r="N125" s="363" t="n">
        <x:f>Daily!A27</x:f>
        <x:v>46363.5</x:v>
      </x:c>
      <x:c r="O125" s="359" t="str">
        <x:f>Daily!D27</x:f>
        <x:v>Skill A + interval circuit</x:v>
      </x:c>
      <x:c r="P125" s="371" t="str">
        <x:v>Light-band muscle-up</x:v>
      </x:c>
      <x:c r="Q125" s="360" t="str">
        <x:v>reps</x:v>
      </x:c>
      <x:c r="R125" s="365" t="n">
        <x:v>4</x:v>
      </x:c>
      <x:c r="S125" s="365" t="n">
        <x:v>1</x:v>
      </x:c>
      <x:c r="T125" s="366" t="n">
        <x:f>IF(OR(COUNTIFS(Strategy!$B$36:$B$90,P125)&lt;&gt;1,COUNTIFS(Strategy!$B$36:$B$90,P125,Strategy!$C$36:$C$90,"&lt;&gt;")&lt;&gt;1),"",INDEX(Strategy!$C$36:$C$90,MATCH(P125,Strategy!$B$36:$B$90,0)))</x:f>
        <x:v>7</x:v>
      </x:c>
      <x:c r="U125" s="366" t="n">
        <x:f>IF(OR(COUNTIFS(Strategy!$B$36:$B$90,P125)&lt;&gt;1,COUNTIFS(Strategy!$B$36:$B$90,P125,Strategy!$D$36:$D$90,"&lt;&gt;")&lt;&gt;1),"",INDEX(Strategy!$D$36:$D$90,MATCH(P125,Strategy!$B$36:$B$90,0)))</x:f>
        <x:v>3</x:v>
      </x:c>
      <x:c r="V125" s="366" t="n">
        <x:f>IF(OR(COUNTIFS(Strategy!$B$36:$B$90,P125)&lt;&gt;1,COUNTIFS(Strategy!$B$36:$B$90,P125,Strategy!$E$36:$E$90,"&lt;&gt;")&lt;&gt;1),"",INDEX(Strategy!$E$36:$E$90,MATCH(P125,Strategy!$B$36:$B$90,0)))</x:f>
        <x:v>10</x:v>
      </x:c>
      <x:c r="W125" s="359" t="str">
        <x:f>IF(OR(COUNTIFS(Strategy!$B$36:$B$90,P125)&lt;&gt;1,COUNTIFS(Strategy!$B$36:$B$90,P125,Strategy!$F$36:$F$90,"&lt;&gt;")&lt;&gt;1),"",INDEX(Strategy!$F$36:$F$90,MATCH(P125,Strategy!$B$36:$B$90,0)))</x:f>
        <x:v>reps</x:v>
      </x:c>
      <x:c r="X125" s="369" t="n">
        <x:f>IF(OR(COUNT(R125:V125)&lt;&gt;5,Q125&lt;&gt;W125,T125&lt;0,T125&gt;10,U125&lt;=0,V125&lt;=0,R125&lt;0,R125&lt;&gt;INT(R125),S125&lt;=0),"",T125*R125*S125/(U125*V125))</x:f>
        <x:v>0.9333333333333333</x:v>
      </x:c>
      <x:c r="Y125" s="373" t="str"/>
    </x:row>
    <x:row r="126" ht="15" hidden="0" customHeight="1">
      <x:c r="A126" s="327" t="n">
        <x:f>Daily!A38</x:f>
        <x:v>46382.5</x:v>
      </x:c>
      <x:c r="B126" s="322" t="str">
        <x:f>Daily!D38</x:f>
        <x:v>Skill micro-session</x:v>
      </x:c>
      <x:c r="C126" s="322" t="str">
        <x:v>B · Easy chest-to-wall hold</x:v>
      </x:c>
      <x:c r="D126" s="322" t="str">
        <x:v>seconds</x:v>
      </x:c>
      <x:c r="E126" s="324" t="b">
        <x:v>1</x:v>
      </x:c>
      <x:c r="F126" s="330" t="n">
        <x:v>45</x:v>
      </x:c>
      <x:c r="G126" s="331" t="str">
        <x:f>IF(AND(OR(Daily!N38=TRUE,Daily!AB38=TRUE),COUNT(Daily!O38,Daily!P38,Daily!Q38)&gt;0),SUM(Daily!O38,Daily!P38,Daily!Q38)*86400,"")</x:f>
      </x:c>
      <x:c r="H126" s="331" t="n">
        <x:f>IF(AND(E126=TRUE,ISNUMBER(F126),F126&gt;0),100,"")</x:f>
        <x:v>100</x:v>
      </x:c>
      <x:c r="I126" s="331" t="str">
        <x:f>IF(AND(ISNUMBER(H126),ISNUMBER(G126)),IF(J126="lower",IF(G126&gt;0,100*F126/G126,""),100*G126/F126),"")</x:f>
      </x:c>
      <x:c r="J126" s="325" t="str">
        <x:v>higher</x:v>
      </x:c>
      <x:c r="N126" s="364" t="n">
        <x:f>Daily!A27</x:f>
        <x:v>46363.5</x:v>
      </x:c>
      <x:c r="O126" s="361" t="str">
        <x:f>Daily!D27</x:f>
        <x:v>Skill A + interval circuit</x:v>
      </x:c>
      <x:c r="P126" s="372" t="str">
        <x:v>Band-assisted transition</x:v>
      </x:c>
      <x:c r="Q126" s="362" t="str">
        <x:v>reps</x:v>
      </x:c>
      <x:c r="R126" s="367" t="n">
        <x:v>3</x:v>
      </x:c>
      <x:c r="S126" s="367" t="n">
        <x:v>2</x:v>
      </x:c>
      <x:c r="T126" s="368" t="n">
        <x:f>IF(OR(COUNTIFS(Strategy!$B$36:$B$90,P126)&lt;&gt;1,COUNTIFS(Strategy!$B$36:$B$90,P126,Strategy!$C$36:$C$90,"&lt;&gt;")&lt;&gt;1),"",INDEX(Strategy!$C$36:$C$90,MATCH(P126,Strategy!$B$36:$B$90,0)))</x:f>
        <x:v>4</x:v>
      </x:c>
      <x:c r="U126" s="368" t="n">
        <x:f>IF(OR(COUNTIFS(Strategy!$B$36:$B$90,P126)&lt;&gt;1,COUNTIFS(Strategy!$B$36:$B$90,P126,Strategy!$D$36:$D$90,"&lt;&gt;")&lt;&gt;1),"",INDEX(Strategy!$D$36:$D$90,MATCH(P126,Strategy!$B$36:$B$90,0)))</x:f>
        <x:v>3</x:v>
      </x:c>
      <x:c r="V126" s="368" t="n">
        <x:f>IF(OR(COUNTIFS(Strategy!$B$36:$B$90,P126)&lt;&gt;1,COUNTIFS(Strategy!$B$36:$B$90,P126,Strategy!$E$36:$E$90,"&lt;&gt;")&lt;&gt;1),"",INDEX(Strategy!$E$36:$E$90,MATCH(P126,Strategy!$B$36:$B$90,0)))</x:f>
        <x:v>10</x:v>
      </x:c>
      <x:c r="W126" s="361" t="str">
        <x:f>IF(OR(COUNTIFS(Strategy!$B$36:$B$90,P126)&lt;&gt;1,COUNTIFS(Strategy!$B$36:$B$90,P126,Strategy!$F$36:$F$90,"&lt;&gt;")&lt;&gt;1),"",INDEX(Strategy!$F$36:$F$90,MATCH(P126,Strategy!$B$36:$B$90,0)))</x:f>
        <x:v>reps</x:v>
      </x:c>
      <x:c r="X126" s="370" t="n">
        <x:f>IF(OR(COUNT(R126:V126)&lt;&gt;5,Q126&lt;&gt;W126,T126&lt;0,T126&gt;10,U126&lt;=0,V126&lt;=0,R126&lt;0,R126&lt;&gt;INT(R126),S126&lt;=0),"",T126*R126*S126/(U126*V126))</x:f>
        <x:v>0.8</x:v>
      </x:c>
      <x:c r="Y126" s="374" t="str"/>
    </x:row>
    <x:row r="127" ht="15" hidden="0" customHeight="1">
      <x:c r="A127" s="326" t="n">
        <x:f>Daily!A38</x:f>
        <x:v>46382.5</x:v>
      </x:c>
      <x:c r="B127" s="318" t="str">
        <x:f>Daily!D38</x:f>
        <x:v>Skill micro-session</x:v>
      </x:c>
      <x:c r="C127" s="318" t="str">
        <x:v>C · Wall handstand line drill</x:v>
      </x:c>
      <x:c r="D127" s="318" t="str">
        <x:v>seconds</x:v>
      </x:c>
      <x:c r="E127" s="320" t="b">
        <x:v>1</x:v>
      </x:c>
      <x:c r="F127" s="328" t="n">
        <x:v>45</x:v>
      </x:c>
      <x:c r="G127" s="329" t="str">
        <x:f>IF(AND(OR(Daily!T38=TRUE,Daily!AB38=TRUE),COUNT(Daily!U38,Daily!V38,Daily!W38)&gt;0),SUM(Daily!U38,Daily!V38,Daily!W38)*86400,"")</x:f>
      </x:c>
      <x:c r="H127" s="329" t="n">
        <x:f>IF(AND(E127=TRUE,ISNUMBER(F127),F127&gt;0),100,"")</x:f>
        <x:v>100</x:v>
      </x:c>
      <x:c r="I127" s="329" t="str">
        <x:f>IF(AND(ISNUMBER(H127),ISNUMBER(G127)),IF(J127="lower",IF(G127&gt;0,100*F127/G127,""),100*G127/F127),"")</x:f>
      </x:c>
      <x:c r="J127" s="321" t="str">
        <x:v>higher</x:v>
      </x:c>
      <x:c r="N127" s="363" t="n">
        <x:f>Daily!A27</x:f>
        <x:v>46363.5</x:v>
      </x:c>
      <x:c r="O127" s="359" t="str">
        <x:f>Daily!D27</x:f>
        <x:v>Skill A + interval circuit</x:v>
      </x:c>
      <x:c r="P127" s="371" t="str">
        <x:v>Unassisted pistol to target</x:v>
      </x:c>
      <x:c r="Q127" s="360" t="str">
        <x:v>reps/leg</x:v>
      </x:c>
      <x:c r="R127" s="365" t="n">
        <x:v>3</x:v>
      </x:c>
      <x:c r="S127" s="365" t="n">
        <x:v>1</x:v>
      </x:c>
      <x:c r="T127" s="366" t="n">
        <x:f>IF(OR(COUNTIFS(Strategy!$B$36:$B$90,P127)&lt;&gt;1,COUNTIFS(Strategy!$B$36:$B$90,P127,Strategy!$C$36:$C$90,"&lt;&gt;")&lt;&gt;1),"",INDEX(Strategy!$C$36:$C$90,MATCH(P127,Strategy!$B$36:$B$90,0)))</x:f>
        <x:v>2</x:v>
      </x:c>
      <x:c r="U127" s="366" t="n">
        <x:f>IF(OR(COUNTIFS(Strategy!$B$36:$B$90,P127)&lt;&gt;1,COUNTIFS(Strategy!$B$36:$B$90,P127,Strategy!$D$36:$D$90,"&lt;&gt;")&lt;&gt;1),"",INDEX(Strategy!$D$36:$D$90,MATCH(P127,Strategy!$B$36:$B$90,0)))</x:f>
        <x:v>3</x:v>
      </x:c>
      <x:c r="V127" s="366" t="n">
        <x:f>IF(OR(COUNTIFS(Strategy!$B$36:$B$90,P127)&lt;&gt;1,COUNTIFS(Strategy!$B$36:$B$90,P127,Strategy!$E$36:$E$90,"&lt;&gt;")&lt;&gt;1),"",INDEX(Strategy!$E$36:$E$90,MATCH(P127,Strategy!$B$36:$B$90,0)))</x:f>
        <x:v>10</x:v>
      </x:c>
      <x:c r="W127" s="359" t="str">
        <x:f>IF(OR(COUNTIFS(Strategy!$B$36:$B$90,P127)&lt;&gt;1,COUNTIFS(Strategy!$B$36:$B$90,P127,Strategy!$F$36:$F$90,"&lt;&gt;")&lt;&gt;1),"",INDEX(Strategy!$F$36:$F$90,MATCH(P127,Strategy!$B$36:$B$90,0)))</x:f>
        <x:v>reps/leg</x:v>
      </x:c>
      <x:c r="X127" s="369" t="n">
        <x:f>IF(OR(COUNT(R127:V127)&lt;&gt;5,Q127&lt;&gt;W127,T127&lt;0,T127&gt;10,U127&lt;=0,V127&lt;=0,R127&lt;0,R127&lt;&gt;INT(R127),S127&lt;=0),"",T127*R127*S127/(U127*V127))</x:f>
        <x:v>0.2</x:v>
      </x:c>
      <x:c r="Y127" s="373" t="str"/>
    </x:row>
    <x:row r="128" ht="15" hidden="0" customHeight="1">
      <x:c r="A128" s="327" t="n">
        <x:f>Daily!A39</x:f>
        <x:v>46384.5</x:v>
      </x:c>
      <x:c r="B128" s="322" t="str">
        <x:f>Daily!D39</x:f>
        <x:v>Skill A + interval circuit</x:v>
      </x:c>
      <x:c r="C128" s="322" t="str">
        <x:v>B · Band-assisted muscle-up</x:v>
      </x:c>
      <x:c r="D128" s="322" t="str">
        <x:v>reps</x:v>
      </x:c>
      <x:c r="E128" s="324" t="b">
        <x:v>1</x:v>
      </x:c>
      <x:c r="F128" s="330" t="n">
        <x:v>4</x:v>
      </x:c>
      <x:c r="G128" s="331" t="str">
        <x:f>IF(AND(OR(Daily!N39=TRUE,Daily!AB39=TRUE),COUNT(Daily!O39,Daily!P39)&gt;0),SUM(Daily!O39,Daily!P39),"")</x:f>
      </x:c>
      <x:c r="H128" s="331" t="n">
        <x:f>IF(AND(E128=TRUE,ISNUMBER(F128),F128&gt;0),100,"")</x:f>
        <x:v>100</x:v>
      </x:c>
      <x:c r="I128" s="331" t="str">
        <x:f>IF(AND(ISNUMBER(H128),ISNUMBER(G128)),IF(J128="lower",IF(G128&gt;0,100*F128/G128,""),100*G128/F128),"")</x:f>
      </x:c>
      <x:c r="J128" s="325" t="str">
        <x:v>higher</x:v>
      </x:c>
      <x:c r="N128" s="364" t="n">
        <x:f>Daily!A27</x:f>
        <x:v>46363.5</x:v>
      </x:c>
      <x:c r="O128" s="361" t="str">
        <x:f>Daily!D27</x:f>
        <x:v>Skill A + interval circuit</x:v>
      </x:c>
      <x:c r="P128" s="372" t="str">
        <x:v>Pull-up</x:v>
      </x:c>
      <x:c r="Q128" s="362" t="str">
        <x:v>seconds</x:v>
      </x:c>
      <x:c r="R128" s="367" t="n">
        <x:v>5</x:v>
      </x:c>
      <x:c r="S128" s="367" t="n">
        <x:v>30</x:v>
      </x:c>
      <x:c r="T128" s="368" t="n">
        <x:f>IF(OR(COUNTIFS(Strategy!$B$36:$B$90,P128)&lt;&gt;1,COUNTIFS(Strategy!$B$36:$B$90,P128,Strategy!$C$36:$C$90,"&lt;&gt;")&lt;&gt;1),"",INDEX(Strategy!$C$36:$C$90,MATCH(P128,Strategy!$B$36:$B$90,0)))</x:f>
        <x:v>1</x:v>
      </x:c>
      <x:c r="U128" s="368" t="n">
        <x:f>IF(OR(COUNTIFS(Strategy!$B$36:$B$90,P128)&lt;&gt;1,COUNTIFS(Strategy!$B$36:$B$90,P128,Strategy!$D$36:$D$90,"&lt;&gt;")&lt;&gt;1),"",INDEX(Strategy!$D$36:$D$90,MATCH(P128,Strategy!$B$36:$B$90,0)))</x:f>
        <x:v>5</x:v>
      </x:c>
      <x:c r="V128" s="368" t="n">
        <x:f>IF(OR(COUNTIFS(Strategy!$B$36:$B$90,P128)&lt;&gt;1,COUNTIFS(Strategy!$B$36:$B$90,P128,Strategy!$E$36:$E$90,"&lt;&gt;")&lt;&gt;1),"",INDEX(Strategy!$E$36:$E$90,MATCH(P128,Strategy!$B$36:$B$90,0)))</x:f>
        <x:v>120</x:v>
      </x:c>
      <x:c r="W128" s="361" t="str">
        <x:f>IF(OR(COUNTIFS(Strategy!$B$36:$B$90,P128)&lt;&gt;1,COUNTIFS(Strategy!$B$36:$B$90,P128,Strategy!$F$36:$F$90,"&lt;&gt;")&lt;&gt;1),"",INDEX(Strategy!$F$36:$F$90,MATCH(P128,Strategy!$B$36:$B$90,0)))</x:f>
        <x:v>seconds</x:v>
      </x:c>
      <x:c r="X128" s="370" t="n">
        <x:f>IF(OR(COUNT(R128:V128)&lt;&gt;5,Q128&lt;&gt;W128,T128&lt;0,T128&gt;10,U128&lt;=0,V128&lt;=0,R128&lt;0,R128&lt;&gt;INT(R128),S128&lt;=0),"",T128*R128*S128/(U128*V128))</x:f>
        <x:v>0.25</x:v>
      </x:c>
      <x:c r="Y128" s="374" t="str">
        <x:v>Core: one 30-second work interval per round; rest excluded.</x:v>
      </x:c>
    </x:row>
    <x:row r="129" ht="15" hidden="0" customHeight="1">
      <x:c r="A129" s="326" t="n">
        <x:f>Daily!A39</x:f>
        <x:v>46384.5</x:v>
      </x:c>
      <x:c r="B129" s="318" t="str">
        <x:f>Daily!D39</x:f>
        <x:v>Skill A + interval circuit</x:v>
      </x:c>
      <x:c r="C129" s="318" t="str">
        <x:v>Core</x:v>
      </x:c>
      <x:c r="D129" s="318" t="str">
        <x:v>rounds</x:v>
      </x:c>
      <x:c r="E129" s="320" t="b">
        <x:v>1</x:v>
      </x:c>
      <x:c r="F129" s="328" t="n">
        <x:v>5</x:v>
      </x:c>
      <x:c r="G129" s="329" t="str">
        <x:f>IF(AND(OR(Daily!Z39=TRUE,Daily!AB39=TRUE),COUNT(Daily!AA39)&gt;0),SUM(Daily!AA39),"")</x:f>
      </x:c>
      <x:c r="H129" s="329" t="n">
        <x:f>IF(AND(E129=TRUE,ISNUMBER(F129),F129&gt;0),100,"")</x:f>
        <x:v>100</x:v>
      </x:c>
      <x:c r="I129" s="329" t="str">
        <x:f>IF(AND(ISNUMBER(H129),ISNUMBER(G129)),IF(J129="lower",IF(G129&gt;0,100*F129/G129,""),100*G129/F129),"")</x:f>
      </x:c>
      <x:c r="J129" s="321" t="str">
        <x:v>higher</x:v>
      </x:c>
      <x:c r="N129" s="363" t="n">
        <x:f>Daily!A27</x:f>
        <x:v>46363.5</x:v>
      </x:c>
      <x:c r="O129" s="359" t="str">
        <x:f>Daily!D27</x:f>
        <x:v>Skill A + interval circuit</x:v>
      </x:c>
      <x:c r="P129" s="371" t="str">
        <x:v>Push-up</x:v>
      </x:c>
      <x:c r="Q129" s="360" t="str">
        <x:v>seconds</x:v>
      </x:c>
      <x:c r="R129" s="365" t="n">
        <x:v>5</x:v>
      </x:c>
      <x:c r="S129" s="365" t="n">
        <x:v>30</x:v>
      </x:c>
      <x:c r="T129" s="366" t="n">
        <x:f>IF(OR(COUNTIFS(Strategy!$B$36:$B$90,P129)&lt;&gt;1,COUNTIFS(Strategy!$B$36:$B$90,P129,Strategy!$C$36:$C$90,"&lt;&gt;")&lt;&gt;1),"",INDEX(Strategy!$C$36:$C$90,MATCH(P129,Strategy!$B$36:$B$90,0)))</x:f>
        <x:v>1</x:v>
      </x:c>
      <x:c r="U129" s="366" t="n">
        <x:f>IF(OR(COUNTIFS(Strategy!$B$36:$B$90,P129)&lt;&gt;1,COUNTIFS(Strategy!$B$36:$B$90,P129,Strategy!$D$36:$D$90,"&lt;&gt;")&lt;&gt;1),"",INDEX(Strategy!$D$36:$D$90,MATCH(P129,Strategy!$B$36:$B$90,0)))</x:f>
        <x:v>5</x:v>
      </x:c>
      <x:c r="V129" s="366" t="n">
        <x:f>IF(OR(COUNTIFS(Strategy!$B$36:$B$90,P129)&lt;&gt;1,COUNTIFS(Strategy!$B$36:$B$90,P129,Strategy!$E$36:$E$90,"&lt;&gt;")&lt;&gt;1),"",INDEX(Strategy!$E$36:$E$90,MATCH(P129,Strategy!$B$36:$B$90,0)))</x:f>
        <x:v>120</x:v>
      </x:c>
      <x:c r="W129" s="359" t="str">
        <x:f>IF(OR(COUNTIFS(Strategy!$B$36:$B$90,P129)&lt;&gt;1,COUNTIFS(Strategy!$B$36:$B$90,P129,Strategy!$F$36:$F$90,"&lt;&gt;")&lt;&gt;1),"",INDEX(Strategy!$F$36:$F$90,MATCH(P129,Strategy!$B$36:$B$90,0)))</x:f>
        <x:v>seconds</x:v>
      </x:c>
      <x:c r="X129" s="369" t="n">
        <x:f>IF(OR(COUNT(R129:V129)&lt;&gt;5,Q129&lt;&gt;W129,T129&lt;0,T129&gt;10,U129&lt;=0,V129&lt;=0,R129&lt;0,R129&lt;&gt;INT(R129),S129&lt;=0),"",T129*R129*S129/(U129*V129))</x:f>
        <x:v>0.25</x:v>
      </x:c>
      <x:c r="Y129" s="373" t="str">
        <x:v>Core: one 30-second work interval per round; rest excluded.</x:v>
      </x:c>
    </x:row>
    <x:row r="130" ht="15" hidden="0" customHeight="1">
      <x:c r="A130" s="327" t="n">
        <x:f>Daily!A40</x:f>
        <x:v>46385.5</x:v>
      </x:c>
      <x:c r="B130" s="322" t="str">
        <x:f>Daily!D40</x:f>
        <x:v>Handstand technique</x:v>
      </x:c>
      <x:c r="C130" s="322" t="str">
        <x:v>A · Wrist/shoulder mobility</x:v>
      </x:c>
      <x:c r="D130" s="322" t="str">
        <x:v>seconds</x:v>
      </x:c>
      <x:c r="E130" s="324" t="b">
        <x:v>1</x:v>
      </x:c>
      <x:c r="F130" s="330" t="n">
        <x:v>120</x:v>
      </x:c>
      <x:c r="G130" s="331" t="str">
        <x:f>IF(AND(OR(Daily!H40=TRUE,Daily!AB40=TRUE),COUNT(Daily!I40)&gt;0),SUM(Daily!I40)*86400,"")</x:f>
      </x:c>
      <x:c r="H130" s="331" t="n">
        <x:f>IF(AND(E130=TRUE,ISNUMBER(F130),F130&gt;0),100,"")</x:f>
        <x:v>100</x:v>
      </x:c>
      <x:c r="I130" s="331" t="str">
        <x:f>IF(AND(ISNUMBER(H130),ISNUMBER(G130)),IF(J130="lower",IF(G130&gt;0,100*F130/G130,""),100*G130/F130),"")</x:f>
      </x:c>
      <x:c r="J130" s="325" t="str">
        <x:v>higher</x:v>
      </x:c>
      <x:c r="N130" s="364" t="n">
        <x:f>Daily!A27</x:f>
        <x:v>46363.5</x:v>
      </x:c>
      <x:c r="O130" s="361" t="str">
        <x:f>Daily!D27</x:f>
        <x:v>Skill A + interval circuit</x:v>
      </x:c>
      <x:c r="P130" s="372" t="str">
        <x:v>Weighted squat</x:v>
      </x:c>
      <x:c r="Q130" s="362" t="str">
        <x:v>seconds</x:v>
      </x:c>
      <x:c r="R130" s="367" t="n">
        <x:v>5</x:v>
      </x:c>
      <x:c r="S130" s="367" t="n">
        <x:v>30</x:v>
      </x:c>
      <x:c r="T130" s="368" t="n">
        <x:f>IF(OR(COUNTIFS(Strategy!$B$36:$B$90,P130)&lt;&gt;1,COUNTIFS(Strategy!$B$36:$B$90,P130,Strategy!$C$36:$C$90,"&lt;&gt;")&lt;&gt;1),"",INDEX(Strategy!$C$36:$C$90,MATCH(P130,Strategy!$B$36:$B$90,0)))</x:f>
        <x:v>1</x:v>
      </x:c>
      <x:c r="U130" s="368" t="n">
        <x:f>IF(OR(COUNTIFS(Strategy!$B$36:$B$90,P130)&lt;&gt;1,COUNTIFS(Strategy!$B$36:$B$90,P130,Strategy!$D$36:$D$90,"&lt;&gt;")&lt;&gt;1),"",INDEX(Strategy!$D$36:$D$90,MATCH(P130,Strategy!$B$36:$B$90,0)))</x:f>
        <x:v>5</x:v>
      </x:c>
      <x:c r="V130" s="368" t="n">
        <x:f>IF(OR(COUNTIFS(Strategy!$B$36:$B$90,P130)&lt;&gt;1,COUNTIFS(Strategy!$B$36:$B$90,P130,Strategy!$E$36:$E$90,"&lt;&gt;")&lt;&gt;1),"",INDEX(Strategy!$E$36:$E$90,MATCH(P130,Strategy!$B$36:$B$90,0)))</x:f>
        <x:v>120</x:v>
      </x:c>
      <x:c r="W130" s="361" t="str">
        <x:f>IF(OR(COUNTIFS(Strategy!$B$36:$B$90,P130)&lt;&gt;1,COUNTIFS(Strategy!$B$36:$B$90,P130,Strategy!$F$36:$F$90,"&lt;&gt;")&lt;&gt;1),"",INDEX(Strategy!$F$36:$F$90,MATCH(P130,Strategy!$B$36:$B$90,0)))</x:f>
        <x:v>seconds</x:v>
      </x:c>
      <x:c r="X130" s="370" t="n">
        <x:f>IF(OR(COUNT(R130:V130)&lt;&gt;5,Q130&lt;&gt;W130,T130&lt;0,T130&gt;10,U130&lt;=0,V130&lt;=0,R130&lt;0,R130&lt;&gt;INT(R130),S130&lt;=0),"",T130*R130*S130/(U130*V130))</x:f>
        <x:v>0.25</x:v>
      </x:c>
      <x:c r="Y130" s="374" t="str">
        <x:v>Core: one 30-second work interval per round; rest excluded.</x:v>
      </x:c>
    </x:row>
    <x:row r="131" ht="15" hidden="0" customHeight="1">
      <x:c r="A131" s="326" t="n">
        <x:f>Daily!A40</x:f>
        <x:v>46385.5</x:v>
      </x:c>
      <x:c r="B131" s="318" t="str">
        <x:f>Daily!D40</x:f>
        <x:v>Handstand technique</x:v>
      </x:c>
      <x:c r="C131" s="318" t="str">
        <x:v>B · Easy chest-to-wall hold</x:v>
      </x:c>
      <x:c r="D131" s="318" t="str">
        <x:v>seconds</x:v>
      </x:c>
      <x:c r="E131" s="320" t="b">
        <x:v>1</x:v>
      </x:c>
      <x:c r="F131" s="328" t="n">
        <x:v>45</x:v>
      </x:c>
      <x:c r="G131" s="329" t="str">
        <x:f>IF(AND(OR(Daily!N40=TRUE,Daily!AB40=TRUE),COUNT(Daily!O40,Daily!P40,Daily!Q40)&gt;0),SUM(Daily!O40,Daily!P40,Daily!Q40)*86400,"")</x:f>
      </x:c>
      <x:c r="H131" s="329" t="n">
        <x:f>IF(AND(E131=TRUE,ISNUMBER(F131),F131&gt;0),100,"")</x:f>
        <x:v>100</x:v>
      </x:c>
      <x:c r="I131" s="329" t="str">
        <x:f>IF(AND(ISNUMBER(H131),ISNUMBER(G131)),IF(J131="lower",IF(G131&gt;0,100*F131/G131,""),100*G131/F131),"")</x:f>
      </x:c>
      <x:c r="J131" s="321" t="str">
        <x:v>higher</x:v>
      </x:c>
      <x:c r="N131" s="363" t="n">
        <x:f>Daily!A27</x:f>
        <x:v>46363.5</x:v>
      </x:c>
      <x:c r="O131" s="359" t="str">
        <x:f>Daily!D27</x:f>
        <x:v>Skill A + interval circuit</x:v>
      </x:c>
      <x:c r="P131" s="371" t="str">
        <x:v>Upside-down hanging shoulder/ab work</x:v>
      </x:c>
      <x:c r="Q131" s="360" t="str">
        <x:v>seconds</x:v>
      </x:c>
      <x:c r="R131" s="365" t="n">
        <x:v>5</x:v>
      </x:c>
      <x:c r="S131" s="365" t="n">
        <x:v>30</x:v>
      </x:c>
      <x:c r="T131" s="366" t="n">
        <x:f>IF(OR(COUNTIFS(Strategy!$B$36:$B$90,P131)&lt;&gt;1,COUNTIFS(Strategy!$B$36:$B$90,P131,Strategy!$C$36:$C$90,"&lt;&gt;")&lt;&gt;1),"",INDEX(Strategy!$C$36:$C$90,MATCH(P131,Strategy!$B$36:$B$90,0)))</x:f>
        <x:v>1</x:v>
      </x:c>
      <x:c r="U131" s="366" t="n">
        <x:f>IF(OR(COUNTIFS(Strategy!$B$36:$B$90,P131)&lt;&gt;1,COUNTIFS(Strategy!$B$36:$B$90,P131,Strategy!$D$36:$D$90,"&lt;&gt;")&lt;&gt;1),"",INDEX(Strategy!$D$36:$D$90,MATCH(P131,Strategy!$B$36:$B$90,0)))</x:f>
        <x:v>5</x:v>
      </x:c>
      <x:c r="V131" s="366" t="n">
        <x:f>IF(OR(COUNTIFS(Strategy!$B$36:$B$90,P131)&lt;&gt;1,COUNTIFS(Strategy!$B$36:$B$90,P131,Strategy!$E$36:$E$90,"&lt;&gt;")&lt;&gt;1),"",INDEX(Strategy!$E$36:$E$90,MATCH(P131,Strategy!$B$36:$B$90,0)))</x:f>
        <x:v>120</x:v>
      </x:c>
      <x:c r="W131" s="359" t="str">
        <x:f>IF(OR(COUNTIFS(Strategy!$B$36:$B$90,P131)&lt;&gt;1,COUNTIFS(Strategy!$B$36:$B$90,P131,Strategy!$F$36:$F$90,"&lt;&gt;")&lt;&gt;1),"",INDEX(Strategy!$F$36:$F$90,MATCH(P131,Strategy!$B$36:$B$90,0)))</x:f>
        <x:v>seconds</x:v>
      </x:c>
      <x:c r="X131" s="369" t="n">
        <x:f>IF(OR(COUNT(R131:V131)&lt;&gt;5,Q131&lt;&gt;W131,T131&lt;0,T131&gt;10,U131&lt;=0,V131&lt;=0,R131&lt;0,R131&lt;&gt;INT(R131),S131&lt;=0),"",T131*R131*S131/(U131*V131))</x:f>
        <x:v>0.25</x:v>
      </x:c>
      <x:c r="Y131" s="373" t="str">
        <x:v>Core: one 30-second work interval per round; rest excluded.</x:v>
      </x:c>
    </x:row>
    <x:row r="132" ht="15" hidden="0" customHeight="1">
      <x:c r="A132" s="327" t="n">
        <x:f>Daily!A40</x:f>
        <x:v>46385.5</x:v>
      </x:c>
      <x:c r="B132" s="322" t="str">
        <x:f>Daily!D40</x:f>
        <x:v>Handstand technique</x:v>
      </x:c>
      <x:c r="C132" s="322" t="str">
        <x:v>C · Wall handstand line drill</x:v>
      </x:c>
      <x:c r="D132" s="322" t="str">
        <x:v>seconds</x:v>
      </x:c>
      <x:c r="E132" s="324" t="b">
        <x:v>1</x:v>
      </x:c>
      <x:c r="F132" s="330" t="n">
        <x:v>30</x:v>
      </x:c>
      <x:c r="G132" s="331" t="str">
        <x:f>IF(AND(OR(Daily!T40=TRUE,Daily!AB40=TRUE),COUNT(Daily!U40,Daily!V40)&gt;0),SUM(Daily!U40,Daily!V40)*86400,"")</x:f>
      </x:c>
      <x:c r="H132" s="331" t="n">
        <x:f>IF(AND(E132=TRUE,ISNUMBER(F132),F132&gt;0),100,"")</x:f>
        <x:v>100</x:v>
      </x:c>
      <x:c r="I132" s="331" t="str">
        <x:f>IF(AND(ISNUMBER(H132),ISNUMBER(G132)),IF(J132="lower",IF(G132&gt;0,100*F132/G132,""),100*G132/F132),"")</x:f>
      </x:c>
      <x:c r="J132" s="325" t="str">
        <x:v>higher</x:v>
      </x:c>
      <x:c r="N132" s="364" t="n">
        <x:f>Daily!A28</x:f>
        <x:v>46364.5</x:v>
      </x:c>
      <x:c r="O132" s="361" t="str">
        <x:f>Daily!D28</x:f>
        <x:v>Handstand technique</x:v>
      </x:c>
      <x:c r="P132" s="372" t="str">
        <x:v>Wrist/shoulder mobility</x:v>
      </x:c>
      <x:c r="Q132" s="362" t="str">
        <x:v>seconds</x:v>
      </x:c>
      <x:c r="R132" s="367" t="n">
        <x:v>1</x:v>
      </x:c>
      <x:c r="S132" s="367" t="n">
        <x:v>120</x:v>
      </x:c>
      <x:c r="T132" s="368" t="n">
        <x:f>IF(OR(COUNTIFS(Strategy!$B$36:$B$90,P132)&lt;&gt;1,COUNTIFS(Strategy!$B$36:$B$90,P132,Strategy!$C$36:$C$90,"&lt;&gt;")&lt;&gt;1),"",INDEX(Strategy!$C$36:$C$90,MATCH(P132,Strategy!$B$36:$B$90,0)))</x:f>
        <x:v>1</x:v>
      </x:c>
      <x:c r="U132" s="368" t="n">
        <x:f>IF(OR(COUNTIFS(Strategy!$B$36:$B$90,P132)&lt;&gt;1,COUNTIFS(Strategy!$B$36:$B$90,P132,Strategy!$D$36:$D$90,"&lt;&gt;")&lt;&gt;1),"",INDEX(Strategy!$D$36:$D$90,MATCH(P132,Strategy!$B$36:$B$90,0)))</x:f>
        <x:v>3</x:v>
      </x:c>
      <x:c r="V132" s="368" t="n">
        <x:f>IF(OR(COUNTIFS(Strategy!$B$36:$B$90,P132)&lt;&gt;1,COUNTIFS(Strategy!$B$36:$B$90,P132,Strategy!$E$36:$E$90,"&lt;&gt;")&lt;&gt;1),"",INDEX(Strategy!$E$36:$E$90,MATCH(P132,Strategy!$B$36:$B$90,0)))</x:f>
        <x:v>60</x:v>
      </x:c>
      <x:c r="W132" s="361" t="str">
        <x:f>IF(OR(COUNTIFS(Strategy!$B$36:$B$90,P132)&lt;&gt;1,COUNTIFS(Strategy!$B$36:$B$90,P132,Strategy!$F$36:$F$90,"&lt;&gt;")&lt;&gt;1),"",INDEX(Strategy!$F$36:$F$90,MATCH(P132,Strategy!$B$36:$B$90,0)))</x:f>
        <x:v>seconds</x:v>
      </x:c>
      <x:c r="X132" s="370" t="n">
        <x:f>IF(OR(COUNT(R132:V132)&lt;&gt;5,Q132&lt;&gt;W132,T132&lt;0,T132&gt;10,U132&lt;=0,V132&lt;=0,R132&lt;0,R132&lt;&gt;INT(R132),S132&lt;=0),"",T132*R132*S132/(U132*V132))</x:f>
        <x:v>0.6666666666666666</x:v>
      </x:c>
      <x:c r="Y132" s="374" t="str"/>
    </x:row>
    <x:row r="133" ht="15" hidden="0" customHeight="1">
      <x:c r="A133" s="326" t="n">
        <x:f>Daily!A41</x:f>
        <x:v>46387.5</x:v>
      </x:c>
      <x:c r="B133" s="318" t="str">
        <x:f>Daily!D41</x:f>
        <x:v>Skill B + circuit</x:v>
      </x:c>
      <x:c r="C133" s="318" t="str">
        <x:v>B · Easy wall handstand</x:v>
      </x:c>
      <x:c r="D133" s="318" t="str">
        <x:v>seconds</x:v>
      </x:c>
      <x:c r="E133" s="320" t="b">
        <x:v>1</x:v>
      </x:c>
      <x:c r="F133" s="328" t="n">
        <x:v>40</x:v>
      </x:c>
      <x:c r="G133" s="329" t="str">
        <x:f>IF(AND(OR(Daily!N41=TRUE,Daily!AB41=TRUE),COUNT(Daily!O41,Daily!P41)&gt;0),SUM(Daily!O41,Daily!P41)*86400,"")</x:f>
      </x:c>
      <x:c r="H133" s="329" t="n">
        <x:f>IF(AND(E133=TRUE,ISNUMBER(F133),F133&gt;0),100,"")</x:f>
        <x:v>100</x:v>
      </x:c>
      <x:c r="I133" s="329" t="str">
        <x:f>IF(AND(ISNUMBER(H133),ISNUMBER(G133)),IF(J133="lower",IF(G133&gt;0,100*F133/G133,""),100*G133/F133),"")</x:f>
      </x:c>
      <x:c r="J133" s="321" t="str">
        <x:v>higher</x:v>
      </x:c>
      <x:c r="N133" s="363" t="n">
        <x:f>Daily!A28</x:f>
        <x:v>46364.5</x:v>
      </x:c>
      <x:c r="O133" s="359" t="str">
        <x:f>Daily!D28</x:f>
        <x:v>Handstand technique</x:v>
      </x:c>
      <x:c r="P133" s="371" t="str">
        <x:v>Easy chest-to-wall hold</x:v>
      </x:c>
      <x:c r="Q133" s="360" t="str">
        <x:v>seconds</x:v>
      </x:c>
      <x:c r="R133" s="365" t="n">
        <x:v>3</x:v>
      </x:c>
      <x:c r="S133" s="365" t="n">
        <x:v>15</x:v>
      </x:c>
      <x:c r="T133" s="366" t="n">
        <x:f>IF(OR(COUNTIFS(Strategy!$B$36:$B$90,P133)&lt;&gt;1,COUNTIFS(Strategy!$B$36:$B$90,P133,Strategy!$C$36:$C$90,"&lt;&gt;")&lt;&gt;1),"",INDEX(Strategy!$C$36:$C$90,MATCH(P133,Strategy!$B$36:$B$90,0)))</x:f>
        <x:v>1</x:v>
      </x:c>
      <x:c r="U133" s="366" t="n">
        <x:f>IF(OR(COUNTIFS(Strategy!$B$36:$B$90,P133)&lt;&gt;1,COUNTIFS(Strategy!$B$36:$B$90,P133,Strategy!$D$36:$D$90,"&lt;&gt;")&lt;&gt;1),"",INDEX(Strategy!$D$36:$D$90,MATCH(P133,Strategy!$B$36:$B$90,0)))</x:f>
        <x:v>3</x:v>
      </x:c>
      <x:c r="V133" s="366" t="n">
        <x:f>IF(OR(COUNTIFS(Strategy!$B$36:$B$90,P133)&lt;&gt;1,COUNTIFS(Strategy!$B$36:$B$90,P133,Strategy!$E$36:$E$90,"&lt;&gt;")&lt;&gt;1),"",INDEX(Strategy!$E$36:$E$90,MATCH(P133,Strategy!$B$36:$B$90,0)))</x:f>
        <x:v>60</x:v>
      </x:c>
      <x:c r="W133" s="359" t="str">
        <x:f>IF(OR(COUNTIFS(Strategy!$B$36:$B$90,P133)&lt;&gt;1,COUNTIFS(Strategy!$B$36:$B$90,P133,Strategy!$F$36:$F$90,"&lt;&gt;")&lt;&gt;1),"",INDEX(Strategy!$F$36:$F$90,MATCH(P133,Strategy!$B$36:$B$90,0)))</x:f>
        <x:v>seconds</x:v>
      </x:c>
      <x:c r="X133" s="369" t="n">
        <x:f>IF(OR(COUNT(R133:V133)&lt;&gt;5,Q133&lt;&gt;W133,T133&lt;0,T133&gt;10,U133&lt;=0,V133&lt;=0,R133&lt;0,R133&lt;&gt;INT(R133),S133&lt;=0),"",T133*R133*S133/(U133*V133))</x:f>
        <x:v>0.25</x:v>
      </x:c>
      <x:c r="Y133" s="373" t="str"/>
    </x:row>
    <x:row r="134" ht="15" hidden="0" customHeight="1">
      <x:c r="A134" s="327" t="n">
        <x:f>Daily!A41</x:f>
        <x:v>46387.5</x:v>
      </x:c>
      <x:c r="B134" s="322" t="str">
        <x:f>Daily!D41</x:f>
        <x:v>Skill B + circuit</x:v>
      </x:c>
      <x:c r="C134" s="322" t="str">
        <x:v>Core</x:v>
      </x:c>
      <x:c r="D134" s="322" t="str">
        <x:v>rounds</x:v>
      </x:c>
      <x:c r="E134" s="324" t="b">
        <x:v>1</x:v>
      </x:c>
      <x:c r="F134" s="330" t="n">
        <x:v>5</x:v>
      </x:c>
      <x:c r="G134" s="331" t="str">
        <x:f>IF(AND(OR(Daily!Z41=TRUE,Daily!AB41=TRUE),COUNT(Daily!AA41)&gt;0),SUM(Daily!AA41),"")</x:f>
      </x:c>
      <x:c r="H134" s="331" t="n">
        <x:f>IF(AND(E134=TRUE,ISNUMBER(F134),F134&gt;0),100,"")</x:f>
        <x:v>100</x:v>
      </x:c>
      <x:c r="I134" s="331" t="str">
        <x:f>IF(AND(ISNUMBER(H134),ISNUMBER(G134)),IF(J134="lower",IF(G134&gt;0,100*F134/G134,""),100*G134/F134),"")</x:f>
      </x:c>
      <x:c r="J134" s="325" t="str">
        <x:v>higher</x:v>
      </x:c>
      <x:c r="N134" s="364" t="n">
        <x:f>Daily!A28</x:f>
        <x:v>46364.5</x:v>
      </x:c>
      <x:c r="O134" s="361" t="str">
        <x:f>Daily!D28</x:f>
        <x:v>Handstand technique</x:v>
      </x:c>
      <x:c r="P134" s="372" t="str">
        <x:v>Wall handstand line drill</x:v>
      </x:c>
      <x:c r="Q134" s="362" t="str">
        <x:v>seconds</x:v>
      </x:c>
      <x:c r="R134" s="367" t="n">
        <x:v>2</x:v>
      </x:c>
      <x:c r="S134" s="367" t="n">
        <x:v>15</x:v>
      </x:c>
      <x:c r="T134" s="368" t="n">
        <x:f>IF(OR(COUNTIFS(Strategy!$B$36:$B$90,P134)&lt;&gt;1,COUNTIFS(Strategy!$B$36:$B$90,P134,Strategy!$C$36:$C$90,"&lt;&gt;")&lt;&gt;1),"",INDEX(Strategy!$C$36:$C$90,MATCH(P134,Strategy!$B$36:$B$90,0)))</x:f>
        <x:v>1</x:v>
      </x:c>
      <x:c r="U134" s="368" t="n">
        <x:f>IF(OR(COUNTIFS(Strategy!$B$36:$B$90,P134)&lt;&gt;1,COUNTIFS(Strategy!$B$36:$B$90,P134,Strategy!$D$36:$D$90,"&lt;&gt;")&lt;&gt;1),"",INDEX(Strategy!$D$36:$D$90,MATCH(P134,Strategy!$B$36:$B$90,0)))</x:f>
        <x:v>3</x:v>
      </x:c>
      <x:c r="V134" s="368" t="n">
        <x:f>IF(OR(COUNTIFS(Strategy!$B$36:$B$90,P134)&lt;&gt;1,COUNTIFS(Strategy!$B$36:$B$90,P134,Strategy!$E$36:$E$90,"&lt;&gt;")&lt;&gt;1),"",INDEX(Strategy!$E$36:$E$90,MATCH(P134,Strategy!$B$36:$B$90,0)))</x:f>
        <x:v>60</x:v>
      </x:c>
      <x:c r="W134" s="361" t="str">
        <x:f>IF(OR(COUNTIFS(Strategy!$B$36:$B$90,P134)&lt;&gt;1,COUNTIFS(Strategy!$B$36:$B$90,P134,Strategy!$F$36:$F$90,"&lt;&gt;")&lt;&gt;1),"",INDEX(Strategy!$F$36:$F$90,MATCH(P134,Strategy!$B$36:$B$90,0)))</x:f>
        <x:v>seconds</x:v>
      </x:c>
      <x:c r="X134" s="370" t="n">
        <x:f>IF(OR(COUNT(R134:V134)&lt;&gt;5,Q134&lt;&gt;W134,T134&lt;0,T134&gt;10,U134&lt;=0,V134&lt;=0,R134&lt;0,R134&lt;&gt;INT(R134),S134&lt;=0),"",T134*R134*S134/(U134*V134))</x:f>
        <x:v>0.16666666666666666</x:v>
      </x:c>
      <x:c r="Y134" s="374" t="str"/>
    </x:row>
    <x:row r="135" ht="15" hidden="0" customHeight="1">
      <x:c r="A135" s="326" t="n">
        <x:f>Daily!A42</x:f>
        <x:v>46389.5</x:v>
      </x:c>
      <x:c r="B135" s="318" t="str">
        <x:f>Daily!D42</x:f>
        <x:v>Skill micro-session</x:v>
      </x:c>
      <x:c r="C135" s="318" t="str">
        <x:v>A · Wrist/shoulder mobility</x:v>
      </x:c>
      <x:c r="D135" s="318" t="str">
        <x:v>seconds</x:v>
      </x:c>
      <x:c r="E135" s="320" t="b">
        <x:v>1</x:v>
      </x:c>
      <x:c r="F135" s="328" t="n">
        <x:v>120</x:v>
      </x:c>
      <x:c r="G135" s="329" t="str">
        <x:f>IF(AND(OR(Daily!H42=TRUE,Daily!AB42=TRUE),COUNT(Daily!I42)&gt;0),SUM(Daily!I42)*86400,"")</x:f>
      </x:c>
      <x:c r="H135" s="329" t="n">
        <x:f>IF(AND(E135=TRUE,ISNUMBER(F135),F135&gt;0),100,"")</x:f>
        <x:v>100</x:v>
      </x:c>
      <x:c r="I135" s="329" t="str">
        <x:f>IF(AND(ISNUMBER(H135),ISNUMBER(G135)),IF(J135="lower",IF(G135&gt;0,100*F135/G135,""),100*G135/F135),"")</x:f>
      </x:c>
      <x:c r="J135" s="321" t="str">
        <x:v>higher</x:v>
      </x:c>
      <x:c r="N135" s="363" t="n">
        <x:f>Daily!A29</x:f>
        <x:v>46366.5</x:v>
      </x:c>
      <x:c r="O135" s="359" t="str">
        <x:f>Daily!D29</x:f>
        <x:v>Skill B + circuit</x:v>
      </x:c>
      <x:c r="P135" s="371" t="str">
        <x:v>Deeper wall HSPU</x:v>
      </x:c>
      <x:c r="Q135" s="360" t="str">
        <x:v>reps</x:v>
      </x:c>
      <x:c r="R135" s="365" t="n">
        <x:v>3</x:v>
      </x:c>
      <x:c r="S135" s="365" t="n">
        <x:v>2</x:v>
      </x:c>
      <x:c r="T135" s="366" t="n">
        <x:f>IF(OR(COUNTIFS(Strategy!$B$36:$B$90,P135)&lt;&gt;1,COUNTIFS(Strategy!$B$36:$B$90,P135,Strategy!$C$36:$C$90,"&lt;&gt;")&lt;&gt;1),"",INDEX(Strategy!$C$36:$C$90,MATCH(P135,Strategy!$B$36:$B$90,0)))</x:f>
        <x:v>7</x:v>
      </x:c>
      <x:c r="U135" s="366" t="n">
        <x:f>IF(OR(COUNTIFS(Strategy!$B$36:$B$90,P135)&lt;&gt;1,COUNTIFS(Strategy!$B$36:$B$90,P135,Strategy!$D$36:$D$90,"&lt;&gt;")&lt;&gt;1),"",INDEX(Strategy!$D$36:$D$90,MATCH(P135,Strategy!$B$36:$B$90,0)))</x:f>
        <x:v>3</x:v>
      </x:c>
      <x:c r="V135" s="366" t="n">
        <x:f>IF(OR(COUNTIFS(Strategy!$B$36:$B$90,P135)&lt;&gt;1,COUNTIFS(Strategy!$B$36:$B$90,P135,Strategy!$E$36:$E$90,"&lt;&gt;")&lt;&gt;1),"",INDEX(Strategy!$E$36:$E$90,MATCH(P135,Strategy!$B$36:$B$90,0)))</x:f>
        <x:v>10</x:v>
      </x:c>
      <x:c r="W135" s="359" t="str">
        <x:f>IF(OR(COUNTIFS(Strategy!$B$36:$B$90,P135)&lt;&gt;1,COUNTIFS(Strategy!$B$36:$B$90,P135,Strategy!$F$36:$F$90,"&lt;&gt;")&lt;&gt;1),"",INDEX(Strategy!$F$36:$F$90,MATCH(P135,Strategy!$B$36:$B$90,0)))</x:f>
        <x:v>reps</x:v>
      </x:c>
      <x:c r="X135" s="369" t="n">
        <x:f>IF(OR(COUNT(R135:V135)&lt;&gt;5,Q135&lt;&gt;W135,T135&lt;0,T135&gt;10,U135&lt;=0,V135&lt;=0,R135&lt;0,R135&lt;&gt;INT(R135),S135&lt;=0),"",T135*R135*S135/(U135*V135))</x:f>
        <x:v>1.4</x:v>
      </x:c>
      <x:c r="Y135" s="373" t="str"/>
    </x:row>
    <x:row r="136" ht="15" hidden="0" customHeight="1">
      <x:c r="A136" s="327" t="n">
        <x:f>Daily!A42</x:f>
        <x:v>46389.5</x:v>
      </x:c>
      <x:c r="B136" s="322" t="str">
        <x:f>Daily!D42</x:f>
        <x:v>Skill micro-session</x:v>
      </x:c>
      <x:c r="C136" s="322" t="str">
        <x:v>B · Easy chest-to-wall hold</x:v>
      </x:c>
      <x:c r="D136" s="322" t="str">
        <x:v>seconds</x:v>
      </x:c>
      <x:c r="E136" s="324" t="b">
        <x:v>1</x:v>
      </x:c>
      <x:c r="F136" s="330" t="n">
        <x:v>45</x:v>
      </x:c>
      <x:c r="G136" s="331" t="str">
        <x:f>IF(AND(OR(Daily!N42=TRUE,Daily!AB42=TRUE),COUNT(Daily!O42,Daily!P42,Daily!Q42)&gt;0),SUM(Daily!O42,Daily!P42,Daily!Q42)*86400,"")</x:f>
      </x:c>
      <x:c r="H136" s="331" t="n">
        <x:f>IF(AND(E136=TRUE,ISNUMBER(F136),F136&gt;0),100,"")</x:f>
        <x:v>100</x:v>
      </x:c>
      <x:c r="I136" s="331" t="str">
        <x:f>IF(AND(ISNUMBER(H136),ISNUMBER(G136)),IF(J136="lower",IF(G136&gt;0,100*F136/G136,""),100*G136/F136),"")</x:f>
      </x:c>
      <x:c r="J136" s="325" t="str">
        <x:v>higher</x:v>
      </x:c>
      <x:c r="N136" s="364" t="n">
        <x:f>Daily!A29</x:f>
        <x:v>46366.5</x:v>
      </x:c>
      <x:c r="O136" s="361" t="str">
        <x:f>Daily!D29</x:f>
        <x:v>Skill B + circuit</x:v>
      </x:c>
      <x:c r="P136" s="372" t="str">
        <x:v>Easy wall handstand</x:v>
      </x:c>
      <x:c r="Q136" s="362" t="str">
        <x:v>seconds</x:v>
      </x:c>
      <x:c r="R136" s="367" t="n">
        <x:v>2</x:v>
      </x:c>
      <x:c r="S136" s="367" t="n">
        <x:v>20</x:v>
      </x:c>
      <x:c r="T136" s="368" t="n">
        <x:f>IF(OR(COUNTIFS(Strategy!$B$36:$B$90,P136)&lt;&gt;1,COUNTIFS(Strategy!$B$36:$B$90,P136,Strategy!$C$36:$C$90,"&lt;&gt;")&lt;&gt;1),"",INDEX(Strategy!$C$36:$C$90,MATCH(P136,Strategy!$B$36:$B$90,0)))</x:f>
        <x:v>1</x:v>
      </x:c>
      <x:c r="U136" s="368" t="n">
        <x:f>IF(OR(COUNTIFS(Strategy!$B$36:$B$90,P136)&lt;&gt;1,COUNTIFS(Strategy!$B$36:$B$90,P136,Strategy!$D$36:$D$90,"&lt;&gt;")&lt;&gt;1),"",INDEX(Strategy!$D$36:$D$90,MATCH(P136,Strategy!$B$36:$B$90,0)))</x:f>
        <x:v>3</x:v>
      </x:c>
      <x:c r="V136" s="368" t="n">
        <x:f>IF(OR(COUNTIFS(Strategy!$B$36:$B$90,P136)&lt;&gt;1,COUNTIFS(Strategy!$B$36:$B$90,P136,Strategy!$E$36:$E$90,"&lt;&gt;")&lt;&gt;1),"",INDEX(Strategy!$E$36:$E$90,MATCH(P136,Strategy!$B$36:$B$90,0)))</x:f>
        <x:v>60</x:v>
      </x:c>
      <x:c r="W136" s="361" t="str">
        <x:f>IF(OR(COUNTIFS(Strategy!$B$36:$B$90,P136)&lt;&gt;1,COUNTIFS(Strategy!$B$36:$B$90,P136,Strategy!$F$36:$F$90,"&lt;&gt;")&lt;&gt;1),"",INDEX(Strategy!$F$36:$F$90,MATCH(P136,Strategy!$B$36:$B$90,0)))</x:f>
        <x:v>seconds</x:v>
      </x:c>
      <x:c r="X136" s="370" t="n">
        <x:f>IF(OR(COUNT(R136:V136)&lt;&gt;5,Q136&lt;&gt;W136,T136&lt;0,T136&gt;10,U136&lt;=0,V136&lt;=0,R136&lt;0,R136&lt;&gt;INT(R136),S136&lt;=0),"",T136*R136*S136/(U136*V136))</x:f>
        <x:v>0.2222222222222222</x:v>
      </x:c>
      <x:c r="Y136" s="374" t="str"/>
    </x:row>
    <x:row r="137" ht="15" hidden="0" customHeight="1">
      <x:c r="A137" s="326" t="n">
        <x:f>Daily!A42</x:f>
        <x:v>46389.5</x:v>
      </x:c>
      <x:c r="B137" s="318" t="str">
        <x:f>Daily!D42</x:f>
        <x:v>Skill micro-session</x:v>
      </x:c>
      <x:c r="C137" s="318" t="str">
        <x:v>C · Wall handstand line drill</x:v>
      </x:c>
      <x:c r="D137" s="318" t="str">
        <x:v>seconds</x:v>
      </x:c>
      <x:c r="E137" s="320" t="b">
        <x:v>1</x:v>
      </x:c>
      <x:c r="F137" s="328" t="n">
        <x:v>45</x:v>
      </x:c>
      <x:c r="G137" s="329" t="str">
        <x:f>IF(AND(OR(Daily!T42=TRUE,Daily!AB42=TRUE),COUNT(Daily!U42,Daily!V42,Daily!W42)&gt;0),SUM(Daily!U42,Daily!V42,Daily!W42)*86400,"")</x:f>
      </x:c>
      <x:c r="H137" s="329" t="n">
        <x:f>IF(AND(E137=TRUE,ISNUMBER(F137),F137&gt;0),100,"")</x:f>
        <x:v>100</x:v>
      </x:c>
      <x:c r="I137" s="329" t="str">
        <x:f>IF(AND(ISNUMBER(H137),ISNUMBER(G137)),IF(J137="lower",IF(G137&gt;0,100*F137/G137,""),100*G137/F137),"")</x:f>
      </x:c>
      <x:c r="J137" s="321" t="str">
        <x:v>higher</x:v>
      </x:c>
      <x:c r="N137" s="363" t="n">
        <x:f>Daily!A29</x:f>
        <x:v>46366.5</x:v>
      </x:c>
      <x:c r="O137" s="359" t="str">
        <x:f>Daily!D29</x:f>
        <x:v>Skill B + circuit</x:v>
      </x:c>
      <x:c r="P137" s="371" t="str">
        <x:v>Unassisted pistol to target</x:v>
      </x:c>
      <x:c r="Q137" s="360" t="str">
        <x:v>reps/leg</x:v>
      </x:c>
      <x:c r="R137" s="365" t="n">
        <x:v>3</x:v>
      </x:c>
      <x:c r="S137" s="365" t="n">
        <x:v>1</x:v>
      </x:c>
      <x:c r="T137" s="366" t="n">
        <x:f>IF(OR(COUNTIFS(Strategy!$B$36:$B$90,P137)&lt;&gt;1,COUNTIFS(Strategy!$B$36:$B$90,P137,Strategy!$C$36:$C$90,"&lt;&gt;")&lt;&gt;1),"",INDEX(Strategy!$C$36:$C$90,MATCH(P137,Strategy!$B$36:$B$90,0)))</x:f>
        <x:v>2</x:v>
      </x:c>
      <x:c r="U137" s="366" t="n">
        <x:f>IF(OR(COUNTIFS(Strategy!$B$36:$B$90,P137)&lt;&gt;1,COUNTIFS(Strategy!$B$36:$B$90,P137,Strategy!$D$36:$D$90,"&lt;&gt;")&lt;&gt;1),"",INDEX(Strategy!$D$36:$D$90,MATCH(P137,Strategy!$B$36:$B$90,0)))</x:f>
        <x:v>3</x:v>
      </x:c>
      <x:c r="V137" s="366" t="n">
        <x:f>IF(OR(COUNTIFS(Strategy!$B$36:$B$90,P137)&lt;&gt;1,COUNTIFS(Strategy!$B$36:$B$90,P137,Strategy!$E$36:$E$90,"&lt;&gt;")&lt;&gt;1),"",INDEX(Strategy!$E$36:$E$90,MATCH(P137,Strategy!$B$36:$B$90,0)))</x:f>
        <x:v>10</x:v>
      </x:c>
      <x:c r="W137" s="359" t="str">
        <x:f>IF(OR(COUNTIFS(Strategy!$B$36:$B$90,P137)&lt;&gt;1,COUNTIFS(Strategy!$B$36:$B$90,P137,Strategy!$F$36:$F$90,"&lt;&gt;")&lt;&gt;1),"",INDEX(Strategy!$F$36:$F$90,MATCH(P137,Strategy!$B$36:$B$90,0)))</x:f>
        <x:v>reps/leg</x:v>
      </x:c>
      <x:c r="X137" s="369" t="n">
        <x:f>IF(OR(COUNT(R137:V137)&lt;&gt;5,Q137&lt;&gt;W137,T137&lt;0,T137&gt;10,U137&lt;=0,V137&lt;=0,R137&lt;0,R137&lt;&gt;INT(R137),S137&lt;=0),"",T137*R137*S137/(U137*V137))</x:f>
        <x:v>0.2</x:v>
      </x:c>
      <x:c r="Y137" s="373" t="str"/>
    </x:row>
    <x:row r="138" ht="15" hidden="0" customHeight="1">
      <x:c r="A138" s="327" t="n">
        <x:f>Daily!A43</x:f>
        <x:v>46391.5</x:v>
      </x:c>
      <x:c r="B138" s="322" t="str">
        <x:f>Daily!D43</x:f>
        <x:v>Skill A + interval circuit</x:v>
      </x:c>
      <x:c r="C138" s="322" t="str">
        <x:v>A · Quality muscle-up attempts</x:v>
      </x:c>
      <x:c r="D138" s="322" t="str">
        <x:v>singles</x:v>
      </x:c>
      <x:c r="E138" s="324" t="b">
        <x:v>1</x:v>
      </x:c>
      <x:c r="F138" s="330" t="n">
        <x:v>3</x:v>
      </x:c>
      <x:c r="G138" s="331" t="str">
        <x:f>IF(AND(OR(Daily!H43=TRUE,Daily!AB43=TRUE),COUNT(Daily!I43)&gt;0),SUM(Daily!I43),"")</x:f>
      </x:c>
      <x:c r="H138" s="331" t="n">
        <x:f>IF(AND(E138=TRUE,ISNUMBER(F138),F138&gt;0),100,"")</x:f>
        <x:v>100</x:v>
      </x:c>
      <x:c r="I138" s="331" t="str">
        <x:f>IF(AND(ISNUMBER(H138),ISNUMBER(G138)),IF(J138="lower",IF(G138&gt;0,100*F138/G138,""),100*G138/F138),"")</x:f>
      </x:c>
      <x:c r="J138" s="325" t="str">
        <x:v>higher</x:v>
      </x:c>
      <x:c r="N138" s="364" t="n">
        <x:f>Daily!A29</x:f>
        <x:v>46366.5</x:v>
      </x:c>
      <x:c r="O138" s="361" t="str">
        <x:f>Daily!D29</x:f>
        <x:v>Skill B + circuit</x:v>
      </x:c>
      <x:c r="P138" s="372" t="str">
        <x:v>Pull-up</x:v>
      </x:c>
      <x:c r="Q138" s="362" t="str">
        <x:v>seconds</x:v>
      </x:c>
      <x:c r="R138" s="367" t="n">
        <x:v>5</x:v>
      </x:c>
      <x:c r="S138" s="367" t="n">
        <x:v>30</x:v>
      </x:c>
      <x:c r="T138" s="368" t="n">
        <x:f>IF(OR(COUNTIFS(Strategy!$B$36:$B$90,P138)&lt;&gt;1,COUNTIFS(Strategy!$B$36:$B$90,P138,Strategy!$C$36:$C$90,"&lt;&gt;")&lt;&gt;1),"",INDEX(Strategy!$C$36:$C$90,MATCH(P138,Strategy!$B$36:$B$90,0)))</x:f>
        <x:v>1</x:v>
      </x:c>
      <x:c r="U138" s="368" t="n">
        <x:f>IF(OR(COUNTIFS(Strategy!$B$36:$B$90,P138)&lt;&gt;1,COUNTIFS(Strategy!$B$36:$B$90,P138,Strategy!$D$36:$D$90,"&lt;&gt;")&lt;&gt;1),"",INDEX(Strategy!$D$36:$D$90,MATCH(P138,Strategy!$B$36:$B$90,0)))</x:f>
        <x:v>5</x:v>
      </x:c>
      <x:c r="V138" s="368" t="n">
        <x:f>IF(OR(COUNTIFS(Strategy!$B$36:$B$90,P138)&lt;&gt;1,COUNTIFS(Strategy!$B$36:$B$90,P138,Strategy!$E$36:$E$90,"&lt;&gt;")&lt;&gt;1),"",INDEX(Strategy!$E$36:$E$90,MATCH(P138,Strategy!$B$36:$B$90,0)))</x:f>
        <x:v>120</x:v>
      </x:c>
      <x:c r="W138" s="361" t="str">
        <x:f>IF(OR(COUNTIFS(Strategy!$B$36:$B$90,P138)&lt;&gt;1,COUNTIFS(Strategy!$B$36:$B$90,P138,Strategy!$F$36:$F$90,"&lt;&gt;")&lt;&gt;1),"",INDEX(Strategy!$F$36:$F$90,MATCH(P138,Strategy!$B$36:$B$90,0)))</x:f>
        <x:v>seconds</x:v>
      </x:c>
      <x:c r="X138" s="370" t="n">
        <x:f>IF(OR(COUNT(R138:V138)&lt;&gt;5,Q138&lt;&gt;W138,T138&lt;0,T138&gt;10,U138&lt;=0,V138&lt;=0,R138&lt;0,R138&lt;&gt;INT(R138),S138&lt;=0),"",T138*R138*S138/(U138*V138))</x:f>
        <x:v>0.25</x:v>
      </x:c>
      <x:c r="Y138" s="374" t="str">
        <x:v>Core: one 30-second work interval per round; rest excluded.</x:v>
      </x:c>
    </x:row>
    <x:row r="139" ht="15" hidden="0" customHeight="1">
      <x:c r="A139" s="326" t="n">
        <x:f>Daily!A43</x:f>
        <x:v>46391.5</x:v>
      </x:c>
      <x:c r="B139" s="318" t="str">
        <x:f>Daily!D43</x:f>
        <x:v>Skill A + interval circuit</x:v>
      </x:c>
      <x:c r="C139" s="318" t="str">
        <x:v>B · Crisp high pull</x:v>
      </x:c>
      <x:c r="D139" s="318" t="str">
        <x:v>reps</x:v>
      </x:c>
      <x:c r="E139" s="320" t="b">
        <x:v>1</x:v>
      </x:c>
      <x:c r="F139" s="328" t="n">
        <x:v>6</x:v>
      </x:c>
      <x:c r="G139" s="329" t="str">
        <x:f>IF(AND(OR(Daily!N43=TRUE,Daily!AB43=TRUE),COUNT(Daily!O43,Daily!P43,Daily!Q43)&gt;0),SUM(Daily!O43,Daily!P43,Daily!Q43),"")</x:f>
      </x:c>
      <x:c r="H139" s="329" t="n">
        <x:f>IF(AND(E139=TRUE,ISNUMBER(F139),F139&gt;0),100,"")</x:f>
        <x:v>100</x:v>
      </x:c>
      <x:c r="I139" s="329" t="str">
        <x:f>IF(AND(ISNUMBER(H139),ISNUMBER(G139)),IF(J139="lower",IF(G139&gt;0,100*F139/G139,""),100*G139/F139),"")</x:f>
      </x:c>
      <x:c r="J139" s="321" t="str">
        <x:v>higher</x:v>
      </x:c>
      <x:c r="N139" s="363" t="n">
        <x:f>Daily!A29</x:f>
        <x:v>46366.5</x:v>
      </x:c>
      <x:c r="O139" s="359" t="str">
        <x:f>Daily!D29</x:f>
        <x:v>Skill B + circuit</x:v>
      </x:c>
      <x:c r="P139" s="371" t="str">
        <x:v>Push-up</x:v>
      </x:c>
      <x:c r="Q139" s="360" t="str">
        <x:v>seconds</x:v>
      </x:c>
      <x:c r="R139" s="365" t="n">
        <x:v>5</x:v>
      </x:c>
      <x:c r="S139" s="365" t="n">
        <x:v>30</x:v>
      </x:c>
      <x:c r="T139" s="366" t="n">
        <x:f>IF(OR(COUNTIFS(Strategy!$B$36:$B$90,P139)&lt;&gt;1,COUNTIFS(Strategy!$B$36:$B$90,P139,Strategy!$C$36:$C$90,"&lt;&gt;")&lt;&gt;1),"",INDEX(Strategy!$C$36:$C$90,MATCH(P139,Strategy!$B$36:$B$90,0)))</x:f>
        <x:v>1</x:v>
      </x:c>
      <x:c r="U139" s="366" t="n">
        <x:f>IF(OR(COUNTIFS(Strategy!$B$36:$B$90,P139)&lt;&gt;1,COUNTIFS(Strategy!$B$36:$B$90,P139,Strategy!$D$36:$D$90,"&lt;&gt;")&lt;&gt;1),"",INDEX(Strategy!$D$36:$D$90,MATCH(P139,Strategy!$B$36:$B$90,0)))</x:f>
        <x:v>5</x:v>
      </x:c>
      <x:c r="V139" s="366" t="n">
        <x:f>IF(OR(COUNTIFS(Strategy!$B$36:$B$90,P139)&lt;&gt;1,COUNTIFS(Strategy!$B$36:$B$90,P139,Strategy!$E$36:$E$90,"&lt;&gt;")&lt;&gt;1),"",INDEX(Strategy!$E$36:$E$90,MATCH(P139,Strategy!$B$36:$B$90,0)))</x:f>
        <x:v>120</x:v>
      </x:c>
      <x:c r="W139" s="359" t="str">
        <x:f>IF(OR(COUNTIFS(Strategy!$B$36:$B$90,P139)&lt;&gt;1,COUNTIFS(Strategy!$B$36:$B$90,P139,Strategy!$F$36:$F$90,"&lt;&gt;")&lt;&gt;1),"",INDEX(Strategy!$F$36:$F$90,MATCH(P139,Strategy!$B$36:$B$90,0)))</x:f>
        <x:v>seconds</x:v>
      </x:c>
      <x:c r="X139" s="369" t="n">
        <x:f>IF(OR(COUNT(R139:V139)&lt;&gt;5,Q139&lt;&gt;W139,T139&lt;0,T139&gt;10,U139&lt;=0,V139&lt;=0,R139&lt;0,R139&lt;&gt;INT(R139),S139&lt;=0),"",T139*R139*S139/(U139*V139))</x:f>
        <x:v>0.25</x:v>
      </x:c>
      <x:c r="Y139" s="373" t="str">
        <x:v>Core: one 30-second work interval per round; rest excluded.</x:v>
      </x:c>
    </x:row>
    <x:row r="140" ht="15" hidden="0" customHeight="1">
      <x:c r="A140" s="327" t="n">
        <x:f>Daily!A43</x:f>
        <x:v>46391.5</x:v>
      </x:c>
      <x:c r="B140" s="322" t="str">
        <x:f>Daily!D43</x:f>
        <x:v>Skill A + interval circuit</x:v>
      </x:c>
      <x:c r="C140" s="322" t="str">
        <x:v>C · Clean pistol</x:v>
      </x:c>
      <x:c r="D140" s="322" t="str">
        <x:v>reps/leg</x:v>
      </x:c>
      <x:c r="E140" s="324" t="b">
        <x:v>1</x:v>
      </x:c>
      <x:c r="F140" s="330" t="n">
        <x:v>6</x:v>
      </x:c>
      <x:c r="G140" s="331" t="str">
        <x:f>IF(AND(OR(Daily!T43=TRUE,Daily!AB43=TRUE),COUNT(Daily!U43,Daily!V43,Daily!W43)&gt;0),SUM(Daily!U43,Daily!V43,Daily!W43),"")</x:f>
      </x:c>
      <x:c r="H140" s="331" t="n">
        <x:f>IF(AND(E140=TRUE,ISNUMBER(F140),F140&gt;0),100,"")</x:f>
        <x:v>100</x:v>
      </x:c>
      <x:c r="I140" s="331" t="str">
        <x:f>IF(AND(ISNUMBER(H140),ISNUMBER(G140)),IF(J140="lower",IF(G140&gt;0,100*F140/G140,""),100*G140/F140),"")</x:f>
      </x:c>
      <x:c r="J140" s="325" t="str">
        <x:v>higher</x:v>
      </x:c>
      <x:c r="N140" s="364" t="n">
        <x:f>Daily!A29</x:f>
        <x:v>46366.5</x:v>
      </x:c>
      <x:c r="O140" s="361" t="str">
        <x:f>Daily!D29</x:f>
        <x:v>Skill B + circuit</x:v>
      </x:c>
      <x:c r="P140" s="372" t="str">
        <x:v>Weighted squat</x:v>
      </x:c>
      <x:c r="Q140" s="362" t="str">
        <x:v>seconds</x:v>
      </x:c>
      <x:c r="R140" s="367" t="n">
        <x:v>5</x:v>
      </x:c>
      <x:c r="S140" s="367" t="n">
        <x:v>30</x:v>
      </x:c>
      <x:c r="T140" s="368" t="n">
        <x:f>IF(OR(COUNTIFS(Strategy!$B$36:$B$90,P140)&lt;&gt;1,COUNTIFS(Strategy!$B$36:$B$90,P140,Strategy!$C$36:$C$90,"&lt;&gt;")&lt;&gt;1),"",INDEX(Strategy!$C$36:$C$90,MATCH(P140,Strategy!$B$36:$B$90,0)))</x:f>
        <x:v>1</x:v>
      </x:c>
      <x:c r="U140" s="368" t="n">
        <x:f>IF(OR(COUNTIFS(Strategy!$B$36:$B$90,P140)&lt;&gt;1,COUNTIFS(Strategy!$B$36:$B$90,P140,Strategy!$D$36:$D$90,"&lt;&gt;")&lt;&gt;1),"",INDEX(Strategy!$D$36:$D$90,MATCH(P140,Strategy!$B$36:$B$90,0)))</x:f>
        <x:v>5</x:v>
      </x:c>
      <x:c r="V140" s="368" t="n">
        <x:f>IF(OR(COUNTIFS(Strategy!$B$36:$B$90,P140)&lt;&gt;1,COUNTIFS(Strategy!$B$36:$B$90,P140,Strategy!$E$36:$E$90,"&lt;&gt;")&lt;&gt;1),"",INDEX(Strategy!$E$36:$E$90,MATCH(P140,Strategy!$B$36:$B$90,0)))</x:f>
        <x:v>120</x:v>
      </x:c>
      <x:c r="W140" s="361" t="str">
        <x:f>IF(OR(COUNTIFS(Strategy!$B$36:$B$90,P140)&lt;&gt;1,COUNTIFS(Strategy!$B$36:$B$90,P140,Strategy!$F$36:$F$90,"&lt;&gt;")&lt;&gt;1),"",INDEX(Strategy!$F$36:$F$90,MATCH(P140,Strategy!$B$36:$B$90,0)))</x:f>
        <x:v>seconds</x:v>
      </x:c>
      <x:c r="X140" s="370" t="n">
        <x:f>IF(OR(COUNT(R140:V140)&lt;&gt;5,Q140&lt;&gt;W140,T140&lt;0,T140&gt;10,U140&lt;=0,V140&lt;=0,R140&lt;0,R140&lt;&gt;INT(R140),S140&lt;=0),"",T140*R140*S140/(U140*V140))</x:f>
        <x:v>0.25</x:v>
      </x:c>
      <x:c r="Y140" s="374" t="str">
        <x:v>Core: one 30-second work interval per round; rest excluded.</x:v>
      </x:c>
    </x:row>
    <x:row r="141" ht="15" hidden="0" customHeight="1">
      <x:c r="A141" s="326" t="n">
        <x:f>Daily!A43</x:f>
        <x:v>46391.5</x:v>
      </x:c>
      <x:c r="B141" s="318" t="str">
        <x:f>Daily!D43</x:f>
        <x:v>Skill A + interval circuit</x:v>
      </x:c>
      <x:c r="C141" s="318" t="str">
        <x:v>Core</x:v>
      </x:c>
      <x:c r="D141" s="318" t="str">
        <x:v>rounds</x:v>
      </x:c>
      <x:c r="E141" s="320" t="b">
        <x:v>1</x:v>
      </x:c>
      <x:c r="F141" s="328" t="n">
        <x:v>5</x:v>
      </x:c>
      <x:c r="G141" s="329" t="str">
        <x:f>IF(AND(OR(Daily!Z43=TRUE,Daily!AB43=TRUE),COUNT(Daily!AA43)&gt;0),SUM(Daily!AA43),"")</x:f>
      </x:c>
      <x:c r="H141" s="329" t="n">
        <x:f>IF(AND(E141=TRUE,ISNUMBER(F141),F141&gt;0),100,"")</x:f>
        <x:v>100</x:v>
      </x:c>
      <x:c r="I141" s="329" t="str">
        <x:f>IF(AND(ISNUMBER(H141),ISNUMBER(G141)),IF(J141="lower",IF(G141&gt;0,100*F141/G141,""),100*G141/F141),"")</x:f>
      </x:c>
      <x:c r="J141" s="321" t="str">
        <x:v>higher</x:v>
      </x:c>
      <x:c r="N141" s="363" t="n">
        <x:f>Daily!A29</x:f>
        <x:v>46366.5</x:v>
      </x:c>
      <x:c r="O141" s="359" t="str">
        <x:f>Daily!D29</x:f>
        <x:v>Skill B + circuit</x:v>
      </x:c>
      <x:c r="P141" s="371" t="str">
        <x:v>Upside-down hanging shoulder/ab work</x:v>
      </x:c>
      <x:c r="Q141" s="360" t="str">
        <x:v>seconds</x:v>
      </x:c>
      <x:c r="R141" s="365" t="n">
        <x:v>5</x:v>
      </x:c>
      <x:c r="S141" s="365" t="n">
        <x:v>30</x:v>
      </x:c>
      <x:c r="T141" s="366" t="n">
        <x:f>IF(OR(COUNTIFS(Strategy!$B$36:$B$90,P141)&lt;&gt;1,COUNTIFS(Strategy!$B$36:$B$90,P141,Strategy!$C$36:$C$90,"&lt;&gt;")&lt;&gt;1),"",INDEX(Strategy!$C$36:$C$90,MATCH(P141,Strategy!$B$36:$B$90,0)))</x:f>
        <x:v>1</x:v>
      </x:c>
      <x:c r="U141" s="366" t="n">
        <x:f>IF(OR(COUNTIFS(Strategy!$B$36:$B$90,P141)&lt;&gt;1,COUNTIFS(Strategy!$B$36:$B$90,P141,Strategy!$D$36:$D$90,"&lt;&gt;")&lt;&gt;1),"",INDEX(Strategy!$D$36:$D$90,MATCH(P141,Strategy!$B$36:$B$90,0)))</x:f>
        <x:v>5</x:v>
      </x:c>
      <x:c r="V141" s="366" t="n">
        <x:f>IF(OR(COUNTIFS(Strategy!$B$36:$B$90,P141)&lt;&gt;1,COUNTIFS(Strategy!$B$36:$B$90,P141,Strategy!$E$36:$E$90,"&lt;&gt;")&lt;&gt;1),"",INDEX(Strategy!$E$36:$E$90,MATCH(P141,Strategy!$B$36:$B$90,0)))</x:f>
        <x:v>120</x:v>
      </x:c>
      <x:c r="W141" s="359" t="str">
        <x:f>IF(OR(COUNTIFS(Strategy!$B$36:$B$90,P141)&lt;&gt;1,COUNTIFS(Strategy!$B$36:$B$90,P141,Strategy!$F$36:$F$90,"&lt;&gt;")&lt;&gt;1),"",INDEX(Strategy!$F$36:$F$90,MATCH(P141,Strategy!$B$36:$B$90,0)))</x:f>
        <x:v>seconds</x:v>
      </x:c>
      <x:c r="X141" s="369" t="n">
        <x:f>IF(OR(COUNT(R141:V141)&lt;&gt;5,Q141&lt;&gt;W141,T141&lt;0,T141&gt;10,U141&lt;=0,V141&lt;=0,R141&lt;0,R141&lt;&gt;INT(R141),S141&lt;=0),"",T141*R141*S141/(U141*V141))</x:f>
        <x:v>0.25</x:v>
      </x:c>
      <x:c r="Y141" s="373" t="str">
        <x:v>Core: one 30-second work interval per round; rest excluded.</x:v>
      </x:c>
    </x:row>
    <x:row r="142" ht="15" hidden="0" customHeight="1">
      <x:c r="A142" s="327" t="n">
        <x:f>Daily!A44</x:f>
        <x:v>46392.5</x:v>
      </x:c>
      <x:c r="B142" s="322" t="str">
        <x:f>Daily!D44</x:f>
        <x:v>Handstand technique</x:v>
      </x:c>
      <x:c r="C142" s="322" t="str">
        <x:v>A · Wrist/shoulder mobility</x:v>
      </x:c>
      <x:c r="D142" s="322" t="str">
        <x:v>seconds</x:v>
      </x:c>
      <x:c r="E142" s="324" t="b">
        <x:v>1</x:v>
      </x:c>
      <x:c r="F142" s="330" t="n">
        <x:v>120</x:v>
      </x:c>
      <x:c r="G142" s="331" t="str">
        <x:f>IF(AND(OR(Daily!H44=TRUE,Daily!AB44=TRUE),COUNT(Daily!I44)&gt;0),SUM(Daily!I44)*86400,"")</x:f>
      </x:c>
      <x:c r="H142" s="331" t="n">
        <x:f>IF(AND(E142=TRUE,ISNUMBER(F142),F142&gt;0),100,"")</x:f>
        <x:v>100</x:v>
      </x:c>
      <x:c r="I142" s="331" t="str">
        <x:f>IF(AND(ISNUMBER(H142),ISNUMBER(G142)),IF(J142="lower",IF(G142&gt;0,100*F142/G142,""),100*G142/F142),"")</x:f>
      </x:c>
      <x:c r="J142" s="325" t="str">
        <x:v>higher</x:v>
      </x:c>
      <x:c r="N142" s="364" t="n">
        <x:f>Daily!A30</x:f>
        <x:v>46368.5</x:v>
      </x:c>
      <x:c r="O142" s="361" t="str">
        <x:f>Daily!D30</x:f>
        <x:v>Skill micro-session</x:v>
      </x:c>
      <x:c r="P142" s="372" t="str">
        <x:v>Wrist/shoulder mobility</x:v>
      </x:c>
      <x:c r="Q142" s="362" t="str">
        <x:v>seconds</x:v>
      </x:c>
      <x:c r="R142" s="367" t="n">
        <x:v>1</x:v>
      </x:c>
      <x:c r="S142" s="367" t="n">
        <x:v>120</x:v>
      </x:c>
      <x:c r="T142" s="368" t="n">
        <x:f>IF(OR(COUNTIFS(Strategy!$B$36:$B$90,P142)&lt;&gt;1,COUNTIFS(Strategy!$B$36:$B$90,P142,Strategy!$C$36:$C$90,"&lt;&gt;")&lt;&gt;1),"",INDEX(Strategy!$C$36:$C$90,MATCH(P142,Strategy!$B$36:$B$90,0)))</x:f>
        <x:v>1</x:v>
      </x:c>
      <x:c r="U142" s="368" t="n">
        <x:f>IF(OR(COUNTIFS(Strategy!$B$36:$B$90,P142)&lt;&gt;1,COUNTIFS(Strategy!$B$36:$B$90,P142,Strategy!$D$36:$D$90,"&lt;&gt;")&lt;&gt;1),"",INDEX(Strategy!$D$36:$D$90,MATCH(P142,Strategy!$B$36:$B$90,0)))</x:f>
        <x:v>3</x:v>
      </x:c>
      <x:c r="V142" s="368" t="n">
        <x:f>IF(OR(COUNTIFS(Strategy!$B$36:$B$90,P142)&lt;&gt;1,COUNTIFS(Strategy!$B$36:$B$90,P142,Strategy!$E$36:$E$90,"&lt;&gt;")&lt;&gt;1),"",INDEX(Strategy!$E$36:$E$90,MATCH(P142,Strategy!$B$36:$B$90,0)))</x:f>
        <x:v>60</x:v>
      </x:c>
      <x:c r="W142" s="361" t="str">
        <x:f>IF(OR(COUNTIFS(Strategy!$B$36:$B$90,P142)&lt;&gt;1,COUNTIFS(Strategy!$B$36:$B$90,P142,Strategy!$F$36:$F$90,"&lt;&gt;")&lt;&gt;1),"",INDEX(Strategy!$F$36:$F$90,MATCH(P142,Strategy!$B$36:$B$90,0)))</x:f>
        <x:v>seconds</x:v>
      </x:c>
      <x:c r="X142" s="370" t="n">
        <x:f>IF(OR(COUNT(R142:V142)&lt;&gt;5,Q142&lt;&gt;W142,T142&lt;0,T142&gt;10,U142&lt;=0,V142&lt;=0,R142&lt;0,R142&lt;&gt;INT(R142),S142&lt;=0),"",T142*R142*S142/(U142*V142))</x:f>
        <x:v>0.6666666666666666</x:v>
      </x:c>
      <x:c r="Y142" s="374" t="str"/>
    </x:row>
    <x:row r="143" ht="15" hidden="0" customHeight="1">
      <x:c r="A143" s="326" t="n">
        <x:f>Daily!A44</x:f>
        <x:v>46392.5</x:v>
      </x:c>
      <x:c r="B143" s="318" t="str">
        <x:f>Daily!D44</x:f>
        <x:v>Handstand technique</x:v>
      </x:c>
      <x:c r="C143" s="318" t="str">
        <x:v>B · Easy chest-to-wall hold</x:v>
      </x:c>
      <x:c r="D143" s="318" t="str">
        <x:v>seconds</x:v>
      </x:c>
      <x:c r="E143" s="320" t="b">
        <x:v>1</x:v>
      </x:c>
      <x:c r="F143" s="328" t="n">
        <x:v>45</x:v>
      </x:c>
      <x:c r="G143" s="329" t="str">
        <x:f>IF(AND(OR(Daily!N44=TRUE,Daily!AB44=TRUE),COUNT(Daily!O44,Daily!P44,Daily!Q44)&gt;0),SUM(Daily!O44,Daily!P44,Daily!Q44)*86400,"")</x:f>
      </x:c>
      <x:c r="H143" s="329" t="n">
        <x:f>IF(AND(E143=TRUE,ISNUMBER(F143),F143&gt;0),100,"")</x:f>
        <x:v>100</x:v>
      </x:c>
      <x:c r="I143" s="329" t="str">
        <x:f>IF(AND(ISNUMBER(H143),ISNUMBER(G143)),IF(J143="lower",IF(G143&gt;0,100*F143/G143,""),100*G143/F143),"")</x:f>
      </x:c>
      <x:c r="J143" s="321" t="str">
        <x:v>higher</x:v>
      </x:c>
      <x:c r="N143" s="363" t="n">
        <x:f>Daily!A30</x:f>
        <x:v>46368.5</x:v>
      </x:c>
      <x:c r="O143" s="359" t="str">
        <x:f>Daily!D30</x:f>
        <x:v>Skill micro-session</x:v>
      </x:c>
      <x:c r="P143" s="371" t="str">
        <x:v>Easy chest-to-wall hold</x:v>
      </x:c>
      <x:c r="Q143" s="360" t="str">
        <x:v>seconds</x:v>
      </x:c>
      <x:c r="R143" s="365" t="n">
        <x:v>3</x:v>
      </x:c>
      <x:c r="S143" s="365" t="n">
        <x:v>15</x:v>
      </x:c>
      <x:c r="T143" s="366" t="n">
        <x:f>IF(OR(COUNTIFS(Strategy!$B$36:$B$90,P143)&lt;&gt;1,COUNTIFS(Strategy!$B$36:$B$90,P143,Strategy!$C$36:$C$90,"&lt;&gt;")&lt;&gt;1),"",INDEX(Strategy!$C$36:$C$90,MATCH(P143,Strategy!$B$36:$B$90,0)))</x:f>
        <x:v>1</x:v>
      </x:c>
      <x:c r="U143" s="366" t="n">
        <x:f>IF(OR(COUNTIFS(Strategy!$B$36:$B$90,P143)&lt;&gt;1,COUNTIFS(Strategy!$B$36:$B$90,P143,Strategy!$D$36:$D$90,"&lt;&gt;")&lt;&gt;1),"",INDEX(Strategy!$D$36:$D$90,MATCH(P143,Strategy!$B$36:$B$90,0)))</x:f>
        <x:v>3</x:v>
      </x:c>
      <x:c r="V143" s="366" t="n">
        <x:f>IF(OR(COUNTIFS(Strategy!$B$36:$B$90,P143)&lt;&gt;1,COUNTIFS(Strategy!$B$36:$B$90,P143,Strategy!$E$36:$E$90,"&lt;&gt;")&lt;&gt;1),"",INDEX(Strategy!$E$36:$E$90,MATCH(P143,Strategy!$B$36:$B$90,0)))</x:f>
        <x:v>60</x:v>
      </x:c>
      <x:c r="W143" s="359" t="str">
        <x:f>IF(OR(COUNTIFS(Strategy!$B$36:$B$90,P143)&lt;&gt;1,COUNTIFS(Strategy!$B$36:$B$90,P143,Strategy!$F$36:$F$90,"&lt;&gt;")&lt;&gt;1),"",INDEX(Strategy!$F$36:$F$90,MATCH(P143,Strategy!$B$36:$B$90,0)))</x:f>
        <x:v>seconds</x:v>
      </x:c>
      <x:c r="X143" s="369" t="n">
        <x:f>IF(OR(COUNT(R143:V143)&lt;&gt;5,Q143&lt;&gt;W143,T143&lt;0,T143&gt;10,U143&lt;=0,V143&lt;=0,R143&lt;0,R143&lt;&gt;INT(R143),S143&lt;=0),"",T143*R143*S143/(U143*V143))</x:f>
        <x:v>0.25</x:v>
      </x:c>
      <x:c r="Y143" s="373" t="str"/>
    </x:row>
    <x:row r="144" ht="15" hidden="0" customHeight="1">
      <x:c r="A144" s="327" t="n">
        <x:f>Daily!A44</x:f>
        <x:v>46392.5</x:v>
      </x:c>
      <x:c r="B144" s="322" t="str">
        <x:f>Daily!D44</x:f>
        <x:v>Handstand technique</x:v>
      </x:c>
      <x:c r="C144" s="322" t="str">
        <x:v>C · Wall handstand line drill</x:v>
      </x:c>
      <x:c r="D144" s="322" t="str">
        <x:v>seconds</x:v>
      </x:c>
      <x:c r="E144" s="324" t="b">
        <x:v>1</x:v>
      </x:c>
      <x:c r="F144" s="330" t="n">
        <x:v>30</x:v>
      </x:c>
      <x:c r="G144" s="331" t="str">
        <x:f>IF(AND(OR(Daily!T44=TRUE,Daily!AB44=TRUE),COUNT(Daily!U44,Daily!V44)&gt;0),SUM(Daily!U44,Daily!V44)*86400,"")</x:f>
      </x:c>
      <x:c r="H144" s="331" t="n">
        <x:f>IF(AND(E144=TRUE,ISNUMBER(F144),F144&gt;0),100,"")</x:f>
        <x:v>100</x:v>
      </x:c>
      <x:c r="I144" s="331" t="str">
        <x:f>IF(AND(ISNUMBER(H144),ISNUMBER(G144)),IF(J144="lower",IF(G144&gt;0,100*F144/G144,""),100*G144/F144),"")</x:f>
      </x:c>
      <x:c r="J144" s="325" t="str">
        <x:v>higher</x:v>
      </x:c>
      <x:c r="N144" s="364" t="n">
        <x:f>Daily!A30</x:f>
        <x:v>46368.5</x:v>
      </x:c>
      <x:c r="O144" s="361" t="str">
        <x:f>Daily!D30</x:f>
        <x:v>Skill micro-session</x:v>
      </x:c>
      <x:c r="P144" s="372" t="str">
        <x:v>Wall handstand line drill</x:v>
      </x:c>
      <x:c r="Q144" s="362" t="str">
        <x:v>seconds</x:v>
      </x:c>
      <x:c r="R144" s="367" t="n">
        <x:v>3</x:v>
      </x:c>
      <x:c r="S144" s="367" t="n">
        <x:v>15</x:v>
      </x:c>
      <x:c r="T144" s="368" t="n">
        <x:f>IF(OR(COUNTIFS(Strategy!$B$36:$B$90,P144)&lt;&gt;1,COUNTIFS(Strategy!$B$36:$B$90,P144,Strategy!$C$36:$C$90,"&lt;&gt;")&lt;&gt;1),"",INDEX(Strategy!$C$36:$C$90,MATCH(P144,Strategy!$B$36:$B$90,0)))</x:f>
        <x:v>1</x:v>
      </x:c>
      <x:c r="U144" s="368" t="n">
        <x:f>IF(OR(COUNTIFS(Strategy!$B$36:$B$90,P144)&lt;&gt;1,COUNTIFS(Strategy!$B$36:$B$90,P144,Strategy!$D$36:$D$90,"&lt;&gt;")&lt;&gt;1),"",INDEX(Strategy!$D$36:$D$90,MATCH(P144,Strategy!$B$36:$B$90,0)))</x:f>
        <x:v>3</x:v>
      </x:c>
      <x:c r="V144" s="368" t="n">
        <x:f>IF(OR(COUNTIFS(Strategy!$B$36:$B$90,P144)&lt;&gt;1,COUNTIFS(Strategy!$B$36:$B$90,P144,Strategy!$E$36:$E$90,"&lt;&gt;")&lt;&gt;1),"",INDEX(Strategy!$E$36:$E$90,MATCH(P144,Strategy!$B$36:$B$90,0)))</x:f>
        <x:v>60</x:v>
      </x:c>
      <x:c r="W144" s="361" t="str">
        <x:f>IF(OR(COUNTIFS(Strategy!$B$36:$B$90,P144)&lt;&gt;1,COUNTIFS(Strategy!$B$36:$B$90,P144,Strategy!$F$36:$F$90,"&lt;&gt;")&lt;&gt;1),"",INDEX(Strategy!$F$36:$F$90,MATCH(P144,Strategy!$B$36:$B$90,0)))</x:f>
        <x:v>seconds</x:v>
      </x:c>
      <x:c r="X144" s="370" t="n">
        <x:f>IF(OR(COUNT(R144:V144)&lt;&gt;5,Q144&lt;&gt;W144,T144&lt;0,T144&gt;10,U144&lt;=0,V144&lt;=0,R144&lt;0,R144&lt;&gt;INT(R144),S144&lt;=0),"",T144*R144*S144/(U144*V144))</x:f>
        <x:v>0.25</x:v>
      </x:c>
      <x:c r="Y144" s="374" t="str"/>
    </x:row>
    <x:row r="145" ht="15" hidden="0" customHeight="1">
      <x:c r="A145" s="326" t="n">
        <x:f>Daily!A45</x:f>
        <x:v>46394.5</x:v>
      </x:c>
      <x:c r="B145" s="318" t="str">
        <x:f>Daily!D45</x:f>
        <x:v>Skill B + circuit</x:v>
      </x:c>
      <x:c r="C145" s="318" t="str">
        <x:v>B · Pike push-up back-off</x:v>
      </x:c>
      <x:c r="D145" s="318" t="str">
        <x:v>reps</x:v>
      </x:c>
      <x:c r="E145" s="320" t="b">
        <x:v>1</x:v>
      </x:c>
      <x:c r="F145" s="328" t="n">
        <x:v>8</x:v>
      </x:c>
      <x:c r="G145" s="329" t="str">
        <x:f>IF(AND(OR(Daily!N45=TRUE,Daily!AB45=TRUE),COUNT(Daily!O45,Daily!P45)&gt;0),SUM(Daily!O45,Daily!P45),"")</x:f>
      </x:c>
      <x:c r="H145" s="329" t="n">
        <x:f>IF(AND(E145=TRUE,ISNUMBER(F145),F145&gt;0),100,"")</x:f>
        <x:v>100</x:v>
      </x:c>
      <x:c r="I145" s="329" t="str">
        <x:f>IF(AND(ISNUMBER(H145),ISNUMBER(G145)),IF(J145="lower",IF(G145&gt;0,100*F145/G145,""),100*G145/F145),"")</x:f>
      </x:c>
      <x:c r="J145" s="321" t="str">
        <x:v>higher</x:v>
      </x:c>
      <x:c r="N145" s="363" t="n">
        <x:f>Daily!A31</x:f>
        <x:v>46370.5</x:v>
      </x:c>
      <x:c r="O145" s="359" t="str">
        <x:f>Daily!D31</x:f>
        <x:v>Skill A + interval circuit</x:v>
      </x:c>
      <x:c r="P145" s="371" t="str">
        <x:v>Easy high pull</x:v>
      </x:c>
      <x:c r="Q145" s="360" t="str">
        <x:v>reps</x:v>
      </x:c>
      <x:c r="R145" s="365" t="n">
        <x:v>1</x:v>
      </x:c>
      <x:c r="S145" s="365" t="n">
        <x:v>3</x:v>
      </x:c>
      <x:c r="T145" s="366" t="n">
        <x:f>IF(OR(COUNTIFS(Strategy!$B$36:$B$90,P145)&lt;&gt;1,COUNTIFS(Strategy!$B$36:$B$90,P145,Strategy!$C$36:$C$90,"&lt;&gt;")&lt;&gt;1),"",INDEX(Strategy!$C$36:$C$90,MATCH(P145,Strategy!$B$36:$B$90,0)))</x:f>
        <x:v>1</x:v>
      </x:c>
      <x:c r="U145" s="366" t="n">
        <x:f>IF(OR(COUNTIFS(Strategy!$B$36:$B$90,P145)&lt;&gt;1,COUNTIFS(Strategy!$B$36:$B$90,P145,Strategy!$D$36:$D$90,"&lt;&gt;")&lt;&gt;1),"",INDEX(Strategy!$D$36:$D$90,MATCH(P145,Strategy!$B$36:$B$90,0)))</x:f>
        <x:v>3</x:v>
      </x:c>
      <x:c r="V145" s="366" t="n">
        <x:f>IF(OR(COUNTIFS(Strategy!$B$36:$B$90,P145)&lt;&gt;1,COUNTIFS(Strategy!$B$36:$B$90,P145,Strategy!$E$36:$E$90,"&lt;&gt;")&lt;&gt;1),"",INDEX(Strategy!$E$36:$E$90,MATCH(P145,Strategy!$B$36:$B$90,0)))</x:f>
        <x:v>10</x:v>
      </x:c>
      <x:c r="W145" s="359" t="str">
        <x:f>IF(OR(COUNTIFS(Strategy!$B$36:$B$90,P145)&lt;&gt;1,COUNTIFS(Strategy!$B$36:$B$90,P145,Strategy!$F$36:$F$90,"&lt;&gt;")&lt;&gt;1),"",INDEX(Strategy!$F$36:$F$90,MATCH(P145,Strategy!$B$36:$B$90,0)))</x:f>
        <x:v>reps</x:v>
      </x:c>
      <x:c r="X145" s="369" t="n">
        <x:f>IF(OR(COUNT(R145:V145)&lt;&gt;5,Q145&lt;&gt;W145,T145&lt;0,T145&gt;10,U145&lt;=0,V145&lt;=0,R145&lt;0,R145&lt;&gt;INT(R145),S145&lt;=0),"",T145*R145*S145/(U145*V145))</x:f>
        <x:v>0.1</x:v>
      </x:c>
      <x:c r="Y145" s="373" t="str"/>
    </x:row>
    <x:row r="146" ht="15" hidden="0" customHeight="1">
      <x:c r="A146" s="327" t="n">
        <x:f>Daily!A45</x:f>
        <x:v>46394.5</x:v>
      </x:c>
      <x:c r="B146" s="322" t="str">
        <x:f>Daily!D45</x:f>
        <x:v>Skill B + circuit</x:v>
      </x:c>
      <x:c r="C146" s="322" t="str">
        <x:v>C · Clean pistol</x:v>
      </x:c>
      <x:c r="D146" s="322" t="str">
        <x:v>reps/leg</x:v>
      </x:c>
      <x:c r="E146" s="324" t="b">
        <x:v>1</x:v>
      </x:c>
      <x:c r="F146" s="330" t="n">
        <x:v>6</x:v>
      </x:c>
      <x:c r="G146" s="331" t="str">
        <x:f>IF(AND(OR(Daily!T45=TRUE,Daily!AB45=TRUE),COUNT(Daily!U45,Daily!V45,Daily!W45)&gt;0),SUM(Daily!U45,Daily!V45,Daily!W45),"")</x:f>
      </x:c>
      <x:c r="H146" s="331" t="n">
        <x:f>IF(AND(E146=TRUE,ISNUMBER(F146),F146&gt;0),100,"")</x:f>
        <x:v>100</x:v>
      </x:c>
      <x:c r="I146" s="331" t="str">
        <x:f>IF(AND(ISNUMBER(H146),ISNUMBER(G146)),IF(J146="lower",IF(G146&gt;0,100*F146/G146,""),100*G146/F146),"")</x:f>
      </x:c>
      <x:c r="J146" s="325" t="str">
        <x:v>higher</x:v>
      </x:c>
      <x:c r="N146" s="364" t="n">
        <x:f>Daily!A31</x:f>
        <x:v>46370.5</x:v>
      </x:c>
      <x:c r="O146" s="361" t="str">
        <x:f>Daily!D31</x:f>
        <x:v>Skill A + interval circuit</x:v>
      </x:c>
      <x:c r="P146" s="372" t="str">
        <x:v>Easy low-bar transition</x:v>
      </x:c>
      <x:c r="Q146" s="362" t="str">
        <x:v>reps</x:v>
      </x:c>
      <x:c r="R146" s="367" t="n">
        <x:v>1</x:v>
      </x:c>
      <x:c r="S146" s="367" t="n">
        <x:v>3</x:v>
      </x:c>
      <x:c r="T146" s="368" t="n">
        <x:f>IF(OR(COUNTIFS(Strategy!$B$36:$B$90,P146)&lt;&gt;1,COUNTIFS(Strategy!$B$36:$B$90,P146,Strategy!$C$36:$C$90,"&lt;&gt;")&lt;&gt;1),"",INDEX(Strategy!$C$36:$C$90,MATCH(P146,Strategy!$B$36:$B$90,0)))</x:f>
        <x:v>1</x:v>
      </x:c>
      <x:c r="U146" s="368" t="n">
        <x:f>IF(OR(COUNTIFS(Strategy!$B$36:$B$90,P146)&lt;&gt;1,COUNTIFS(Strategy!$B$36:$B$90,P146,Strategy!$D$36:$D$90,"&lt;&gt;")&lt;&gt;1),"",INDEX(Strategy!$D$36:$D$90,MATCH(P146,Strategy!$B$36:$B$90,0)))</x:f>
        <x:v>3</x:v>
      </x:c>
      <x:c r="V146" s="368" t="n">
        <x:f>IF(OR(COUNTIFS(Strategy!$B$36:$B$90,P146)&lt;&gt;1,COUNTIFS(Strategy!$B$36:$B$90,P146,Strategy!$E$36:$E$90,"&lt;&gt;")&lt;&gt;1),"",INDEX(Strategy!$E$36:$E$90,MATCH(P146,Strategy!$B$36:$B$90,0)))</x:f>
        <x:v>10</x:v>
      </x:c>
      <x:c r="W146" s="361" t="str">
        <x:f>IF(OR(COUNTIFS(Strategy!$B$36:$B$90,P146)&lt;&gt;1,COUNTIFS(Strategy!$B$36:$B$90,P146,Strategy!$F$36:$F$90,"&lt;&gt;")&lt;&gt;1),"",INDEX(Strategy!$F$36:$F$90,MATCH(P146,Strategy!$B$36:$B$90,0)))</x:f>
        <x:v>reps</x:v>
      </x:c>
      <x:c r="X146" s="370" t="n">
        <x:f>IF(OR(COUNT(R146:V146)&lt;&gt;5,Q146&lt;&gt;W146,T146&lt;0,T146&gt;10,U146&lt;=0,V146&lt;=0,R146&lt;0,R146&lt;&gt;INT(R146),S146&lt;=0),"",T146*R146*S146/(U146*V146))</x:f>
        <x:v>0.1</x:v>
      </x:c>
      <x:c r="Y146" s="374" t="str"/>
    </x:row>
    <x:row r="147" ht="15" hidden="0" customHeight="1">
      <x:c r="A147" s="326" t="n">
        <x:f>Daily!A45</x:f>
        <x:v>46394.5</x:v>
      </x:c>
      <x:c r="B147" s="318" t="str">
        <x:f>Daily!D45</x:f>
        <x:v>Skill B + circuit</x:v>
      </x:c>
      <x:c r="C147" s="318" t="str">
        <x:v>Core</x:v>
      </x:c>
      <x:c r="D147" s="318" t="str">
        <x:v>rounds</x:v>
      </x:c>
      <x:c r="E147" s="320" t="b">
        <x:v>1</x:v>
      </x:c>
      <x:c r="F147" s="328" t="n">
        <x:v>5</x:v>
      </x:c>
      <x:c r="G147" s="329" t="str">
        <x:f>IF(AND(OR(Daily!Z45=TRUE,Daily!AB45=TRUE),COUNT(Daily!AA45)&gt;0),SUM(Daily!AA45),"")</x:f>
      </x:c>
      <x:c r="H147" s="329" t="n">
        <x:f>IF(AND(E147=TRUE,ISNUMBER(F147),F147&gt;0),100,"")</x:f>
        <x:v>100</x:v>
      </x:c>
      <x:c r="I147" s="329" t="str">
        <x:f>IF(AND(ISNUMBER(H147),ISNUMBER(G147)),IF(J147="lower",IF(G147&gt;0,100*F147/G147,""),100*G147/F147),"")</x:f>
      </x:c>
      <x:c r="J147" s="321" t="str">
        <x:v>higher</x:v>
      </x:c>
      <x:c r="N147" s="363" t="n">
        <x:f>Daily!A31</x:f>
        <x:v>46370.5</x:v>
      </x:c>
      <x:c r="O147" s="359" t="str">
        <x:f>Daily!D31</x:f>
        <x:v>Skill A + interval circuit</x:v>
      </x:c>
      <x:c r="P147" s="371" t="str">
        <x:v>Assisted smooth pistol</x:v>
      </x:c>
      <x:c r="Q147" s="360" t="str">
        <x:v>reps/leg</x:v>
      </x:c>
      <x:c r="R147" s="365" t="n">
        <x:v>1</x:v>
      </x:c>
      <x:c r="S147" s="365" t="n">
        <x:v>3</x:v>
      </x:c>
      <x:c r="T147" s="366" t="n">
        <x:f>IF(OR(COUNTIFS(Strategy!$B$36:$B$90,P147)&lt;&gt;1,COUNTIFS(Strategy!$B$36:$B$90,P147,Strategy!$C$36:$C$90,"&lt;&gt;")&lt;&gt;1),"",INDEX(Strategy!$C$36:$C$90,MATCH(P147,Strategy!$B$36:$B$90,0)))</x:f>
        <x:v>2</x:v>
      </x:c>
      <x:c r="U147" s="366" t="n">
        <x:f>IF(OR(COUNTIFS(Strategy!$B$36:$B$90,P147)&lt;&gt;1,COUNTIFS(Strategy!$B$36:$B$90,P147,Strategy!$D$36:$D$90,"&lt;&gt;")&lt;&gt;1),"",INDEX(Strategy!$D$36:$D$90,MATCH(P147,Strategy!$B$36:$B$90,0)))</x:f>
        <x:v>3</x:v>
      </x:c>
      <x:c r="V147" s="366" t="n">
        <x:f>IF(OR(COUNTIFS(Strategy!$B$36:$B$90,P147)&lt;&gt;1,COUNTIFS(Strategy!$B$36:$B$90,P147,Strategy!$E$36:$E$90,"&lt;&gt;")&lt;&gt;1),"",INDEX(Strategy!$E$36:$E$90,MATCH(P147,Strategy!$B$36:$B$90,0)))</x:f>
        <x:v>10</x:v>
      </x:c>
      <x:c r="W147" s="359" t="str">
        <x:f>IF(OR(COUNTIFS(Strategy!$B$36:$B$90,P147)&lt;&gt;1,COUNTIFS(Strategy!$B$36:$B$90,P147,Strategy!$F$36:$F$90,"&lt;&gt;")&lt;&gt;1),"",INDEX(Strategy!$F$36:$F$90,MATCH(P147,Strategy!$B$36:$B$90,0)))</x:f>
        <x:v>reps/leg</x:v>
      </x:c>
      <x:c r="X147" s="369" t="n">
        <x:f>IF(OR(COUNT(R147:V147)&lt;&gt;5,Q147&lt;&gt;W147,T147&lt;0,T147&gt;10,U147&lt;=0,V147&lt;=0,R147&lt;0,R147&lt;&gt;INT(R147),S147&lt;=0),"",T147*R147*S147/(U147*V147))</x:f>
        <x:v>0.2</x:v>
      </x:c>
      <x:c r="Y147" s="373" t="str"/>
    </x:row>
    <x:row r="148" ht="15" hidden="0" customHeight="1">
      <x:c r="A148" s="327" t="n">
        <x:f>Daily!A46</x:f>
        <x:v>46396.5</x:v>
      </x:c>
      <x:c r="B148" s="322" t="str">
        <x:f>Daily!D46</x:f>
        <x:v>Skill micro-session</x:v>
      </x:c>
      <x:c r="C148" s="322" t="str">
        <x:v>A · Wrist/shoulder mobility</x:v>
      </x:c>
      <x:c r="D148" s="322" t="str">
        <x:v>seconds</x:v>
      </x:c>
      <x:c r="E148" s="324" t="b">
        <x:v>1</x:v>
      </x:c>
      <x:c r="F148" s="330" t="n">
        <x:v>120</x:v>
      </x:c>
      <x:c r="G148" s="331" t="str">
        <x:f>IF(AND(OR(Daily!H46=TRUE,Daily!AB46=TRUE),COUNT(Daily!I46)&gt;0),SUM(Daily!I46)*86400,"")</x:f>
      </x:c>
      <x:c r="H148" s="331" t="n">
        <x:f>IF(AND(E148=TRUE,ISNUMBER(F148),F148&gt;0),100,"")</x:f>
        <x:v>100</x:v>
      </x:c>
      <x:c r="I148" s="331" t="str">
        <x:f>IF(AND(ISNUMBER(H148),ISNUMBER(G148)),IF(J148="lower",IF(G148&gt;0,100*F148/G148,""),100*G148/F148),"")</x:f>
      </x:c>
      <x:c r="J148" s="325" t="str">
        <x:v>higher</x:v>
      </x:c>
      <x:c r="N148" s="364" t="n">
        <x:f>Daily!A31</x:f>
        <x:v>46370.5</x:v>
      </x:c>
      <x:c r="O148" s="361" t="str">
        <x:f>Daily!D31</x:f>
        <x:v>Skill A + interval circuit</x:v>
      </x:c>
      <x:c r="P148" s="372" t="str">
        <x:v>Pull-up</x:v>
      </x:c>
      <x:c r="Q148" s="362" t="str">
        <x:v>seconds</x:v>
      </x:c>
      <x:c r="R148" s="367" t="n">
        <x:v>3</x:v>
      </x:c>
      <x:c r="S148" s="367" t="n">
        <x:v>30</x:v>
      </x:c>
      <x:c r="T148" s="368" t="n">
        <x:f>IF(OR(COUNTIFS(Strategy!$B$36:$B$90,P148)&lt;&gt;1,COUNTIFS(Strategy!$B$36:$B$90,P148,Strategy!$C$36:$C$90,"&lt;&gt;")&lt;&gt;1),"",INDEX(Strategy!$C$36:$C$90,MATCH(P148,Strategy!$B$36:$B$90,0)))</x:f>
        <x:v>1</x:v>
      </x:c>
      <x:c r="U148" s="368" t="n">
        <x:f>IF(OR(COUNTIFS(Strategy!$B$36:$B$90,P148)&lt;&gt;1,COUNTIFS(Strategy!$B$36:$B$90,P148,Strategy!$D$36:$D$90,"&lt;&gt;")&lt;&gt;1),"",INDEX(Strategy!$D$36:$D$90,MATCH(P148,Strategy!$B$36:$B$90,0)))</x:f>
        <x:v>5</x:v>
      </x:c>
      <x:c r="V148" s="368" t="n">
        <x:f>IF(OR(COUNTIFS(Strategy!$B$36:$B$90,P148)&lt;&gt;1,COUNTIFS(Strategy!$B$36:$B$90,P148,Strategy!$E$36:$E$90,"&lt;&gt;")&lt;&gt;1),"",INDEX(Strategy!$E$36:$E$90,MATCH(P148,Strategy!$B$36:$B$90,0)))</x:f>
        <x:v>120</x:v>
      </x:c>
      <x:c r="W148" s="361" t="str">
        <x:f>IF(OR(COUNTIFS(Strategy!$B$36:$B$90,P148)&lt;&gt;1,COUNTIFS(Strategy!$B$36:$B$90,P148,Strategy!$F$36:$F$90,"&lt;&gt;")&lt;&gt;1),"",INDEX(Strategy!$F$36:$F$90,MATCH(P148,Strategy!$B$36:$B$90,0)))</x:f>
        <x:v>seconds</x:v>
      </x:c>
      <x:c r="X148" s="370" t="n">
        <x:f>IF(OR(COUNT(R148:V148)&lt;&gt;5,Q148&lt;&gt;W148,T148&lt;0,T148&gt;10,U148&lt;=0,V148&lt;=0,R148&lt;0,R148&lt;&gt;INT(R148),S148&lt;=0),"",T148*R148*S148/(U148*V148))</x:f>
        <x:v>0.15</x:v>
      </x:c>
      <x:c r="Y148" s="374" t="str">
        <x:v>Core: one 30-second work interval per round; rest excluded.</x:v>
      </x:c>
    </x:row>
    <x:row r="149" ht="15" hidden="0" customHeight="1">
      <x:c r="A149" s="326" t="n">
        <x:f>Daily!A46</x:f>
        <x:v>46396.5</x:v>
      </x:c>
      <x:c r="B149" s="318" t="str">
        <x:f>Daily!D46</x:f>
        <x:v>Skill micro-session</x:v>
      </x:c>
      <x:c r="C149" s="318" t="str">
        <x:v>B · Easy chest-to-wall hold</x:v>
      </x:c>
      <x:c r="D149" s="318" t="str">
        <x:v>seconds</x:v>
      </x:c>
      <x:c r="E149" s="320" t="b">
        <x:v>1</x:v>
      </x:c>
      <x:c r="F149" s="328" t="n">
        <x:v>45</x:v>
      </x:c>
      <x:c r="G149" s="329" t="str">
        <x:f>IF(AND(OR(Daily!N46=TRUE,Daily!AB46=TRUE),COUNT(Daily!O46,Daily!P46,Daily!Q46)&gt;0),SUM(Daily!O46,Daily!P46,Daily!Q46)*86400,"")</x:f>
      </x:c>
      <x:c r="H149" s="329" t="n">
        <x:f>IF(AND(E149=TRUE,ISNUMBER(F149),F149&gt;0),100,"")</x:f>
        <x:v>100</x:v>
      </x:c>
      <x:c r="I149" s="329" t="str">
        <x:f>IF(AND(ISNUMBER(H149),ISNUMBER(G149)),IF(J149="lower",IF(G149&gt;0,100*F149/G149,""),100*G149/F149),"")</x:f>
      </x:c>
      <x:c r="J149" s="321" t="str">
        <x:v>higher</x:v>
      </x:c>
      <x:c r="N149" s="363" t="n">
        <x:f>Daily!A31</x:f>
        <x:v>46370.5</x:v>
      </x:c>
      <x:c r="O149" s="359" t="str">
        <x:f>Daily!D31</x:f>
        <x:v>Skill A + interval circuit</x:v>
      </x:c>
      <x:c r="P149" s="371" t="str">
        <x:v>Push-up</x:v>
      </x:c>
      <x:c r="Q149" s="360" t="str">
        <x:v>seconds</x:v>
      </x:c>
      <x:c r="R149" s="365" t="n">
        <x:v>3</x:v>
      </x:c>
      <x:c r="S149" s="365" t="n">
        <x:v>30</x:v>
      </x:c>
      <x:c r="T149" s="366" t="n">
        <x:f>IF(OR(COUNTIFS(Strategy!$B$36:$B$90,P149)&lt;&gt;1,COUNTIFS(Strategy!$B$36:$B$90,P149,Strategy!$C$36:$C$90,"&lt;&gt;")&lt;&gt;1),"",INDEX(Strategy!$C$36:$C$90,MATCH(P149,Strategy!$B$36:$B$90,0)))</x:f>
        <x:v>1</x:v>
      </x:c>
      <x:c r="U149" s="366" t="n">
        <x:f>IF(OR(COUNTIFS(Strategy!$B$36:$B$90,P149)&lt;&gt;1,COUNTIFS(Strategy!$B$36:$B$90,P149,Strategy!$D$36:$D$90,"&lt;&gt;")&lt;&gt;1),"",INDEX(Strategy!$D$36:$D$90,MATCH(P149,Strategy!$B$36:$B$90,0)))</x:f>
        <x:v>5</x:v>
      </x:c>
      <x:c r="V149" s="366" t="n">
        <x:f>IF(OR(COUNTIFS(Strategy!$B$36:$B$90,P149)&lt;&gt;1,COUNTIFS(Strategy!$B$36:$B$90,P149,Strategy!$E$36:$E$90,"&lt;&gt;")&lt;&gt;1),"",INDEX(Strategy!$E$36:$E$90,MATCH(P149,Strategy!$B$36:$B$90,0)))</x:f>
        <x:v>120</x:v>
      </x:c>
      <x:c r="W149" s="359" t="str">
        <x:f>IF(OR(COUNTIFS(Strategy!$B$36:$B$90,P149)&lt;&gt;1,COUNTIFS(Strategy!$B$36:$B$90,P149,Strategy!$F$36:$F$90,"&lt;&gt;")&lt;&gt;1),"",INDEX(Strategy!$F$36:$F$90,MATCH(P149,Strategy!$B$36:$B$90,0)))</x:f>
        <x:v>seconds</x:v>
      </x:c>
      <x:c r="X149" s="369" t="n">
        <x:f>IF(OR(COUNT(R149:V149)&lt;&gt;5,Q149&lt;&gt;W149,T149&lt;0,T149&gt;10,U149&lt;=0,V149&lt;=0,R149&lt;0,R149&lt;&gt;INT(R149),S149&lt;=0),"",T149*R149*S149/(U149*V149))</x:f>
        <x:v>0.15</x:v>
      </x:c>
      <x:c r="Y149" s="373" t="str">
        <x:v>Core: one 30-second work interval per round; rest excluded.</x:v>
      </x:c>
    </x:row>
    <x:row r="150" ht="15" hidden="0" customHeight="1">
      <x:c r="A150" s="327" t="n">
        <x:f>Daily!A46</x:f>
        <x:v>46396.5</x:v>
      </x:c>
      <x:c r="B150" s="322" t="str">
        <x:f>Daily!D46</x:f>
        <x:v>Skill micro-session</x:v>
      </x:c>
      <x:c r="C150" s="322" t="str">
        <x:v>C · Wall handstand line drill</x:v>
      </x:c>
      <x:c r="D150" s="322" t="str">
        <x:v>seconds</x:v>
      </x:c>
      <x:c r="E150" s="324" t="b">
        <x:v>1</x:v>
      </x:c>
      <x:c r="F150" s="330" t="n">
        <x:v>45</x:v>
      </x:c>
      <x:c r="G150" s="331" t="str">
        <x:f>IF(AND(OR(Daily!T46=TRUE,Daily!AB46=TRUE),COUNT(Daily!U46,Daily!V46,Daily!W46)&gt;0),SUM(Daily!U46,Daily!V46,Daily!W46)*86400,"")</x:f>
      </x:c>
      <x:c r="H150" s="331" t="n">
        <x:f>IF(AND(E150=TRUE,ISNUMBER(F150),F150&gt;0),100,"")</x:f>
        <x:v>100</x:v>
      </x:c>
      <x:c r="I150" s="331" t="str">
        <x:f>IF(AND(ISNUMBER(H150),ISNUMBER(G150)),IF(J150="lower",IF(G150&gt;0,100*F150/G150,""),100*G150/F150),"")</x:f>
      </x:c>
      <x:c r="J150" s="325" t="str">
        <x:v>higher</x:v>
      </x:c>
      <x:c r="N150" s="364" t="n">
        <x:f>Daily!A31</x:f>
        <x:v>46370.5</x:v>
      </x:c>
      <x:c r="O150" s="361" t="str">
        <x:f>Daily!D31</x:f>
        <x:v>Skill A + interval circuit</x:v>
      </x:c>
      <x:c r="P150" s="372" t="str">
        <x:v>Weighted squat</x:v>
      </x:c>
      <x:c r="Q150" s="362" t="str">
        <x:v>seconds</x:v>
      </x:c>
      <x:c r="R150" s="367" t="n">
        <x:v>3</x:v>
      </x:c>
      <x:c r="S150" s="367" t="n">
        <x:v>30</x:v>
      </x:c>
      <x:c r="T150" s="368" t="n">
        <x:f>IF(OR(COUNTIFS(Strategy!$B$36:$B$90,P150)&lt;&gt;1,COUNTIFS(Strategy!$B$36:$B$90,P150,Strategy!$C$36:$C$90,"&lt;&gt;")&lt;&gt;1),"",INDEX(Strategy!$C$36:$C$90,MATCH(P150,Strategy!$B$36:$B$90,0)))</x:f>
        <x:v>1</x:v>
      </x:c>
      <x:c r="U150" s="368" t="n">
        <x:f>IF(OR(COUNTIFS(Strategy!$B$36:$B$90,P150)&lt;&gt;1,COUNTIFS(Strategy!$B$36:$B$90,P150,Strategy!$D$36:$D$90,"&lt;&gt;")&lt;&gt;1),"",INDEX(Strategy!$D$36:$D$90,MATCH(P150,Strategy!$B$36:$B$90,0)))</x:f>
        <x:v>5</x:v>
      </x:c>
      <x:c r="V150" s="368" t="n">
        <x:f>IF(OR(COUNTIFS(Strategy!$B$36:$B$90,P150)&lt;&gt;1,COUNTIFS(Strategy!$B$36:$B$90,P150,Strategy!$E$36:$E$90,"&lt;&gt;")&lt;&gt;1),"",INDEX(Strategy!$E$36:$E$90,MATCH(P150,Strategy!$B$36:$B$90,0)))</x:f>
        <x:v>120</x:v>
      </x:c>
      <x:c r="W150" s="361" t="str">
        <x:f>IF(OR(COUNTIFS(Strategy!$B$36:$B$90,P150)&lt;&gt;1,COUNTIFS(Strategy!$B$36:$B$90,P150,Strategy!$F$36:$F$90,"&lt;&gt;")&lt;&gt;1),"",INDEX(Strategy!$F$36:$F$90,MATCH(P150,Strategy!$B$36:$B$90,0)))</x:f>
        <x:v>seconds</x:v>
      </x:c>
      <x:c r="X150" s="370" t="n">
        <x:f>IF(OR(COUNT(R150:V150)&lt;&gt;5,Q150&lt;&gt;W150,T150&lt;0,T150&gt;10,U150&lt;=0,V150&lt;=0,R150&lt;0,R150&lt;&gt;INT(R150),S150&lt;=0),"",T150*R150*S150/(U150*V150))</x:f>
        <x:v>0.15</x:v>
      </x:c>
      <x:c r="Y150" s="374" t="str">
        <x:v>Core: one 30-second work interval per round; rest excluded.</x:v>
      </x:c>
    </x:row>
    <x:row r="151" ht="15" hidden="0" customHeight="1">
      <x:c r="A151" s="326" t="n">
        <x:f>Daily!A47</x:f>
        <x:v>46398.5</x:v>
      </x:c>
      <x:c r="B151" s="318" t="str">
        <x:f>Daily!D47</x:f>
        <x:v>Skill A + interval circuit</x:v>
      </x:c>
      <x:c r="C151" s="318" t="str">
        <x:v>Core</x:v>
      </x:c>
      <x:c r="D151" s="318" t="str">
        <x:v>rounds</x:v>
      </x:c>
      <x:c r="E151" s="320" t="b">
        <x:v>1</x:v>
      </x:c>
      <x:c r="F151" s="328" t="n">
        <x:v>2</x:v>
      </x:c>
      <x:c r="G151" s="329" t="str">
        <x:f>IF(AND(OR(Daily!Z47=TRUE,Daily!AB47=TRUE),COUNT(Daily!AA47)&gt;0),SUM(Daily!AA47),"")</x:f>
      </x:c>
      <x:c r="H151" s="329" t="n">
        <x:f>IF(AND(E151=TRUE,ISNUMBER(F151),F151&gt;0),100,"")</x:f>
        <x:v>100</x:v>
      </x:c>
      <x:c r="I151" s="329" t="str">
        <x:f>IF(AND(ISNUMBER(H151),ISNUMBER(G151)),IF(J151="lower",IF(G151&gt;0,100*F151/G151,""),100*G151/F151),"")</x:f>
      </x:c>
      <x:c r="J151" s="321" t="str">
        <x:v>higher</x:v>
      </x:c>
      <x:c r="N151" s="363" t="n">
        <x:f>Daily!A31</x:f>
        <x:v>46370.5</x:v>
      </x:c>
      <x:c r="O151" s="359" t="str">
        <x:f>Daily!D31</x:f>
        <x:v>Skill A + interval circuit</x:v>
      </x:c>
      <x:c r="P151" s="371" t="str">
        <x:v>Upside-down hanging shoulder/ab work</x:v>
      </x:c>
      <x:c r="Q151" s="360" t="str">
        <x:v>seconds</x:v>
      </x:c>
      <x:c r="R151" s="365" t="n">
        <x:v>3</x:v>
      </x:c>
      <x:c r="S151" s="365" t="n">
        <x:v>30</x:v>
      </x:c>
      <x:c r="T151" s="366" t="n">
        <x:f>IF(OR(COUNTIFS(Strategy!$B$36:$B$90,P151)&lt;&gt;1,COUNTIFS(Strategy!$B$36:$B$90,P151,Strategy!$C$36:$C$90,"&lt;&gt;")&lt;&gt;1),"",INDEX(Strategy!$C$36:$C$90,MATCH(P151,Strategy!$B$36:$B$90,0)))</x:f>
        <x:v>1</x:v>
      </x:c>
      <x:c r="U151" s="366" t="n">
        <x:f>IF(OR(COUNTIFS(Strategy!$B$36:$B$90,P151)&lt;&gt;1,COUNTIFS(Strategy!$B$36:$B$90,P151,Strategy!$D$36:$D$90,"&lt;&gt;")&lt;&gt;1),"",INDEX(Strategy!$D$36:$D$90,MATCH(P151,Strategy!$B$36:$B$90,0)))</x:f>
        <x:v>5</x:v>
      </x:c>
      <x:c r="V151" s="366" t="n">
        <x:f>IF(OR(COUNTIFS(Strategy!$B$36:$B$90,P151)&lt;&gt;1,COUNTIFS(Strategy!$B$36:$B$90,P151,Strategy!$E$36:$E$90,"&lt;&gt;")&lt;&gt;1),"",INDEX(Strategy!$E$36:$E$90,MATCH(P151,Strategy!$B$36:$B$90,0)))</x:f>
        <x:v>120</x:v>
      </x:c>
      <x:c r="W151" s="359" t="str">
        <x:f>IF(OR(COUNTIFS(Strategy!$B$36:$B$90,P151)&lt;&gt;1,COUNTIFS(Strategy!$B$36:$B$90,P151,Strategy!$F$36:$F$90,"&lt;&gt;")&lt;&gt;1),"",INDEX(Strategy!$F$36:$F$90,MATCH(P151,Strategy!$B$36:$B$90,0)))</x:f>
        <x:v>seconds</x:v>
      </x:c>
      <x:c r="X151" s="369" t="n">
        <x:f>IF(OR(COUNT(R151:V151)&lt;&gt;5,Q151&lt;&gt;W151,T151&lt;0,T151&gt;10,U151&lt;=0,V151&lt;=0,R151&lt;0,R151&lt;&gt;INT(R151),S151&lt;=0),"",T151*R151*S151/(U151*V151))</x:f>
        <x:v>0.15</x:v>
      </x:c>
      <x:c r="Y151" s="373" t="str">
        <x:v>Core: one 30-second work interval per round; rest excluded.</x:v>
      </x:c>
    </x:row>
    <x:row r="152" ht="15" hidden="0" customHeight="1">
      <x:c r="A152" s="327" t="n">
        <x:f>Daily!A48</x:f>
        <x:v>46399.5</x:v>
      </x:c>
      <x:c r="B152" s="322" t="str">
        <x:f>Daily!D48</x:f>
        <x:v>Handstand technique</x:v>
      </x:c>
      <x:c r="C152" s="322" t="str">
        <x:v>A · Wrist/shoulder mobility</x:v>
      </x:c>
      <x:c r="D152" s="322" t="str">
        <x:v>seconds</x:v>
      </x:c>
      <x:c r="E152" s="324" t="b">
        <x:v>1</x:v>
      </x:c>
      <x:c r="F152" s="330" t="n">
        <x:v>60</x:v>
      </x:c>
      <x:c r="G152" s="331" t="str">
        <x:f>IF(AND(OR(Daily!H48=TRUE,Daily!AB48=TRUE),COUNT(Daily!I48)&gt;0),SUM(Daily!I48)*86400,"")</x:f>
      </x:c>
      <x:c r="H152" s="331" t="n">
        <x:f>IF(AND(E152=TRUE,ISNUMBER(F152),F152&gt;0),100,"")</x:f>
        <x:v>100</x:v>
      </x:c>
      <x:c r="I152" s="331" t="str">
        <x:f>IF(AND(ISNUMBER(H152),ISNUMBER(G152)),IF(J152="lower",IF(G152&gt;0,100*F152/G152,""),100*G152/F152),"")</x:f>
      </x:c>
      <x:c r="J152" s="325" t="str">
        <x:v>higher</x:v>
      </x:c>
      <x:c r="N152" s="364" t="n">
        <x:f>Daily!A32</x:f>
        <x:v>46371.5</x:v>
      </x:c>
      <x:c r="O152" s="361" t="str">
        <x:f>Daily!D32</x:f>
        <x:v>Handstand technique</x:v>
      </x:c>
      <x:c r="P152" s="372" t="str">
        <x:v>Wrist/shoulder mobility</x:v>
      </x:c>
      <x:c r="Q152" s="362" t="str">
        <x:v>seconds</x:v>
      </x:c>
      <x:c r="R152" s="367" t="n">
        <x:v>1</x:v>
      </x:c>
      <x:c r="S152" s="367" t="n">
        <x:v>60</x:v>
      </x:c>
      <x:c r="T152" s="368" t="n">
        <x:f>IF(OR(COUNTIFS(Strategy!$B$36:$B$90,P152)&lt;&gt;1,COUNTIFS(Strategy!$B$36:$B$90,P152,Strategy!$C$36:$C$90,"&lt;&gt;")&lt;&gt;1),"",INDEX(Strategy!$C$36:$C$90,MATCH(P152,Strategy!$B$36:$B$90,0)))</x:f>
        <x:v>1</x:v>
      </x:c>
      <x:c r="U152" s="368" t="n">
        <x:f>IF(OR(COUNTIFS(Strategy!$B$36:$B$90,P152)&lt;&gt;1,COUNTIFS(Strategy!$B$36:$B$90,P152,Strategy!$D$36:$D$90,"&lt;&gt;")&lt;&gt;1),"",INDEX(Strategy!$D$36:$D$90,MATCH(P152,Strategy!$B$36:$B$90,0)))</x:f>
        <x:v>3</x:v>
      </x:c>
      <x:c r="V152" s="368" t="n">
        <x:f>IF(OR(COUNTIFS(Strategy!$B$36:$B$90,P152)&lt;&gt;1,COUNTIFS(Strategy!$B$36:$B$90,P152,Strategy!$E$36:$E$90,"&lt;&gt;")&lt;&gt;1),"",INDEX(Strategy!$E$36:$E$90,MATCH(P152,Strategy!$B$36:$B$90,0)))</x:f>
        <x:v>60</x:v>
      </x:c>
      <x:c r="W152" s="361" t="str">
        <x:f>IF(OR(COUNTIFS(Strategy!$B$36:$B$90,P152)&lt;&gt;1,COUNTIFS(Strategy!$B$36:$B$90,P152,Strategy!$F$36:$F$90,"&lt;&gt;")&lt;&gt;1),"",INDEX(Strategy!$F$36:$F$90,MATCH(P152,Strategy!$B$36:$B$90,0)))</x:f>
        <x:v>seconds</x:v>
      </x:c>
      <x:c r="X152" s="370" t="n">
        <x:f>IF(OR(COUNT(R152:V152)&lt;&gt;5,Q152&lt;&gt;W152,T152&lt;0,T152&gt;10,U152&lt;=0,V152&lt;=0,R152&lt;0,R152&lt;&gt;INT(R152),S152&lt;=0),"",T152*R152*S152/(U152*V152))</x:f>
        <x:v>0.3333333333333333</x:v>
      </x:c>
      <x:c r="Y152" s="374" t="str"/>
    </x:row>
    <x:row r="153" ht="15" hidden="0" customHeight="1">
      <x:c r="A153" s="326" t="n">
        <x:f>Daily!A48</x:f>
        <x:v>46399.5</x:v>
      </x:c>
      <x:c r="B153" s="318" t="str">
        <x:f>Daily!D48</x:f>
        <x:v>Handstand technique</x:v>
      </x:c>
      <x:c r="C153" s="318" t="str">
        <x:v>B · Easy chest-to-wall hold</x:v>
      </x:c>
      <x:c r="D153" s="318" t="str">
        <x:v>seconds</x:v>
      </x:c>
      <x:c r="E153" s="320" t="b">
        <x:v>1</x:v>
      </x:c>
      <x:c r="F153" s="328" t="n">
        <x:v>20</x:v>
      </x:c>
      <x:c r="G153" s="329" t="str">
        <x:f>IF(AND(OR(Daily!N48=TRUE,Daily!AB48=TRUE),COUNT(Daily!O48,Daily!P48)&gt;0),SUM(Daily!O48,Daily!P48)*86400,"")</x:f>
      </x:c>
      <x:c r="H153" s="329" t="n">
        <x:f>IF(AND(E153=TRUE,ISNUMBER(F153),F153&gt;0),100,"")</x:f>
        <x:v>100</x:v>
      </x:c>
      <x:c r="I153" s="329" t="str">
        <x:f>IF(AND(ISNUMBER(H153),ISNUMBER(G153)),IF(J153="lower",IF(G153&gt;0,100*F153/G153,""),100*G153/F153),"")</x:f>
      </x:c>
      <x:c r="J153" s="321" t="str">
        <x:v>higher</x:v>
      </x:c>
      <x:c r="N153" s="363" t="n">
        <x:f>Daily!A32</x:f>
        <x:v>46371.5</x:v>
      </x:c>
      <x:c r="O153" s="359" t="str">
        <x:f>Daily!D32</x:f>
        <x:v>Handstand technique</x:v>
      </x:c>
      <x:c r="P153" s="371" t="str">
        <x:v>Easy chest-to-wall hold</x:v>
      </x:c>
      <x:c r="Q153" s="360" t="str">
        <x:v>seconds</x:v>
      </x:c>
      <x:c r="R153" s="365" t="n">
        <x:v>2</x:v>
      </x:c>
      <x:c r="S153" s="365" t="n">
        <x:v>10</x:v>
      </x:c>
      <x:c r="T153" s="366" t="n">
        <x:f>IF(OR(COUNTIFS(Strategy!$B$36:$B$90,P153)&lt;&gt;1,COUNTIFS(Strategy!$B$36:$B$90,P153,Strategy!$C$36:$C$90,"&lt;&gt;")&lt;&gt;1),"",INDEX(Strategy!$C$36:$C$90,MATCH(P153,Strategy!$B$36:$B$90,0)))</x:f>
        <x:v>1</x:v>
      </x:c>
      <x:c r="U153" s="366" t="n">
        <x:f>IF(OR(COUNTIFS(Strategy!$B$36:$B$90,P153)&lt;&gt;1,COUNTIFS(Strategy!$B$36:$B$90,P153,Strategy!$D$36:$D$90,"&lt;&gt;")&lt;&gt;1),"",INDEX(Strategy!$D$36:$D$90,MATCH(P153,Strategy!$B$36:$B$90,0)))</x:f>
        <x:v>3</x:v>
      </x:c>
      <x:c r="V153" s="366" t="n">
        <x:f>IF(OR(COUNTIFS(Strategy!$B$36:$B$90,P153)&lt;&gt;1,COUNTIFS(Strategy!$B$36:$B$90,P153,Strategy!$E$36:$E$90,"&lt;&gt;")&lt;&gt;1),"",INDEX(Strategy!$E$36:$E$90,MATCH(P153,Strategy!$B$36:$B$90,0)))</x:f>
        <x:v>60</x:v>
      </x:c>
      <x:c r="W153" s="359" t="str">
        <x:f>IF(OR(COUNTIFS(Strategy!$B$36:$B$90,P153)&lt;&gt;1,COUNTIFS(Strategy!$B$36:$B$90,P153,Strategy!$F$36:$F$90,"&lt;&gt;")&lt;&gt;1),"",INDEX(Strategy!$F$36:$F$90,MATCH(P153,Strategy!$B$36:$B$90,0)))</x:f>
        <x:v>seconds</x:v>
      </x:c>
      <x:c r="X153" s="369" t="n">
        <x:f>IF(OR(COUNT(R153:V153)&lt;&gt;5,Q153&lt;&gt;W153,T153&lt;0,T153&gt;10,U153&lt;=0,V153&lt;=0,R153&lt;0,R153&lt;&gt;INT(R153),S153&lt;=0),"",T153*R153*S153/(U153*V153))</x:f>
        <x:v>0.1111111111111111</x:v>
      </x:c>
      <x:c r="Y153" s="373" t="str"/>
    </x:row>
    <x:row r="154" ht="15" hidden="0" customHeight="1">
      <x:c r="A154" s="327" t="n">
        <x:f>Daily!A48</x:f>
        <x:v>46399.5</x:v>
      </x:c>
      <x:c r="B154" s="322" t="str">
        <x:f>Daily!D48</x:f>
        <x:v>Handstand technique</x:v>
      </x:c>
      <x:c r="C154" s="322" t="str">
        <x:v>C · Wall handstand line drill</x:v>
      </x:c>
      <x:c r="D154" s="322" t="str">
        <x:v>seconds</x:v>
      </x:c>
      <x:c r="E154" s="324" t="b">
        <x:v>1</x:v>
      </x:c>
      <x:c r="F154" s="330" t="n">
        <x:v>10</x:v>
      </x:c>
      <x:c r="G154" s="331" t="str">
        <x:f>IF(AND(OR(Daily!T48=TRUE,Daily!AB48=TRUE),COUNT(Daily!U48)&gt;0),SUM(Daily!U48)*86400,"")</x:f>
      </x:c>
      <x:c r="H154" s="331" t="n">
        <x:f>IF(AND(E154=TRUE,ISNUMBER(F154),F154&gt;0),100,"")</x:f>
        <x:v>100</x:v>
      </x:c>
      <x:c r="I154" s="331" t="str">
        <x:f>IF(AND(ISNUMBER(H154),ISNUMBER(G154)),IF(J154="lower",IF(G154&gt;0,100*F154/G154,""),100*G154/F154),"")</x:f>
      </x:c>
      <x:c r="J154" s="325" t="str">
        <x:v>higher</x:v>
      </x:c>
      <x:c r="N154" s="364" t="n">
        <x:f>Daily!A32</x:f>
        <x:v>46371.5</x:v>
      </x:c>
      <x:c r="O154" s="361" t="str">
        <x:f>Daily!D32</x:f>
        <x:v>Handstand technique</x:v>
      </x:c>
      <x:c r="P154" s="372" t="str">
        <x:v>Wall handstand line drill</x:v>
      </x:c>
      <x:c r="Q154" s="362" t="str">
        <x:v>seconds</x:v>
      </x:c>
      <x:c r="R154" s="367" t="n">
        <x:v>1</x:v>
      </x:c>
      <x:c r="S154" s="367" t="n">
        <x:v>10</x:v>
      </x:c>
      <x:c r="T154" s="368" t="n">
        <x:f>IF(OR(COUNTIFS(Strategy!$B$36:$B$90,P154)&lt;&gt;1,COUNTIFS(Strategy!$B$36:$B$90,P154,Strategy!$C$36:$C$90,"&lt;&gt;")&lt;&gt;1),"",INDEX(Strategy!$C$36:$C$90,MATCH(P154,Strategy!$B$36:$B$90,0)))</x:f>
        <x:v>1</x:v>
      </x:c>
      <x:c r="U154" s="368" t="n">
        <x:f>IF(OR(COUNTIFS(Strategy!$B$36:$B$90,P154)&lt;&gt;1,COUNTIFS(Strategy!$B$36:$B$90,P154,Strategy!$D$36:$D$90,"&lt;&gt;")&lt;&gt;1),"",INDEX(Strategy!$D$36:$D$90,MATCH(P154,Strategy!$B$36:$B$90,0)))</x:f>
        <x:v>3</x:v>
      </x:c>
      <x:c r="V154" s="368" t="n">
        <x:f>IF(OR(COUNTIFS(Strategy!$B$36:$B$90,P154)&lt;&gt;1,COUNTIFS(Strategy!$B$36:$B$90,P154,Strategy!$E$36:$E$90,"&lt;&gt;")&lt;&gt;1),"",INDEX(Strategy!$E$36:$E$90,MATCH(P154,Strategy!$B$36:$B$90,0)))</x:f>
        <x:v>60</x:v>
      </x:c>
      <x:c r="W154" s="361" t="str">
        <x:f>IF(OR(COUNTIFS(Strategy!$B$36:$B$90,P154)&lt;&gt;1,COUNTIFS(Strategy!$B$36:$B$90,P154,Strategy!$F$36:$F$90,"&lt;&gt;")&lt;&gt;1),"",INDEX(Strategy!$F$36:$F$90,MATCH(P154,Strategy!$B$36:$B$90,0)))</x:f>
        <x:v>seconds</x:v>
      </x:c>
      <x:c r="X154" s="370" t="n">
        <x:f>IF(OR(COUNT(R154:V154)&lt;&gt;5,Q154&lt;&gt;W154,T154&lt;0,T154&gt;10,U154&lt;=0,V154&lt;=0,R154&lt;0,R154&lt;&gt;INT(R154),S154&lt;=0),"",T154*R154*S154/(U154*V154))</x:f>
        <x:v>0.05555555555555555</x:v>
      </x:c>
      <x:c r="Y154" s="374" t="str"/>
    </x:row>
    <x:row r="155" ht="15" hidden="0" customHeight="1">
      <x:c r="A155" s="326" t="n">
        <x:f>Daily!A49</x:f>
        <x:v>46401.5</x:v>
      </x:c>
      <x:c r="B155" s="318" t="str">
        <x:f>Daily!D49</x:f>
        <x:v>Skill B + interval circuit</x:v>
      </x:c>
      <x:c r="C155" s="318" t="str">
        <x:v>B · Easy wall handstand</x:v>
      </x:c>
      <x:c r="D155" s="318" t="str">
        <x:v>seconds</x:v>
      </x:c>
      <x:c r="E155" s="320" t="b">
        <x:v>1</x:v>
      </x:c>
      <x:c r="F155" s="328" t="n">
        <x:v>15</x:v>
      </x:c>
      <x:c r="G155" s="329" t="str">
        <x:f>IF(AND(OR(Daily!N49=TRUE,Daily!AB49=TRUE),COUNT(Daily!O49)&gt;0),SUM(Daily!O49)*86400,"")</x:f>
      </x:c>
      <x:c r="H155" s="329" t="n">
        <x:f>IF(AND(E155=TRUE,ISNUMBER(F155),F155&gt;0),100,"")</x:f>
        <x:v>100</x:v>
      </x:c>
      <x:c r="I155" s="329" t="str">
        <x:f>IF(AND(ISNUMBER(H155),ISNUMBER(G155)),IF(J155="lower",IF(G155&gt;0,100*F155/G155,""),100*G155/F155),"")</x:f>
      </x:c>
      <x:c r="J155" s="321" t="str">
        <x:v>higher</x:v>
      </x:c>
      <x:c r="N155" s="363" t="n">
        <x:f>Daily!A33</x:f>
        <x:v>46373.5</x:v>
      </x:c>
      <x:c r="O155" s="359" t="str">
        <x:f>Daily!D33</x:f>
        <x:v>Skill B + interval circuit</x:v>
      </x:c>
      <x:c r="P155" s="371" t="str">
        <x:v>Easy wall handstand</x:v>
      </x:c>
      <x:c r="Q155" s="360" t="str">
        <x:v>seconds</x:v>
      </x:c>
      <x:c r="R155" s="365" t="n">
        <x:v>1</x:v>
      </x:c>
      <x:c r="S155" s="365" t="n">
        <x:v>15</x:v>
      </x:c>
      <x:c r="T155" s="366" t="n">
        <x:f>IF(OR(COUNTIFS(Strategy!$B$36:$B$90,P155)&lt;&gt;1,COUNTIFS(Strategy!$B$36:$B$90,P155,Strategy!$C$36:$C$90,"&lt;&gt;")&lt;&gt;1),"",INDEX(Strategy!$C$36:$C$90,MATCH(P155,Strategy!$B$36:$B$90,0)))</x:f>
        <x:v>1</x:v>
      </x:c>
      <x:c r="U155" s="366" t="n">
        <x:f>IF(OR(COUNTIFS(Strategy!$B$36:$B$90,P155)&lt;&gt;1,COUNTIFS(Strategy!$B$36:$B$90,P155,Strategy!$D$36:$D$90,"&lt;&gt;")&lt;&gt;1),"",INDEX(Strategy!$D$36:$D$90,MATCH(P155,Strategy!$B$36:$B$90,0)))</x:f>
        <x:v>3</x:v>
      </x:c>
      <x:c r="V155" s="366" t="n">
        <x:f>IF(OR(COUNTIFS(Strategy!$B$36:$B$90,P155)&lt;&gt;1,COUNTIFS(Strategy!$B$36:$B$90,P155,Strategy!$E$36:$E$90,"&lt;&gt;")&lt;&gt;1),"",INDEX(Strategy!$E$36:$E$90,MATCH(P155,Strategy!$B$36:$B$90,0)))</x:f>
        <x:v>60</x:v>
      </x:c>
      <x:c r="W155" s="359" t="str">
        <x:f>IF(OR(COUNTIFS(Strategy!$B$36:$B$90,P155)&lt;&gt;1,COUNTIFS(Strategy!$B$36:$B$90,P155,Strategy!$F$36:$F$90,"&lt;&gt;")&lt;&gt;1),"",INDEX(Strategy!$F$36:$F$90,MATCH(P155,Strategy!$B$36:$B$90,0)))</x:f>
        <x:v>seconds</x:v>
      </x:c>
      <x:c r="X155" s="369" t="n">
        <x:f>IF(OR(COUNT(R155:V155)&lt;&gt;5,Q155&lt;&gt;W155,T155&lt;0,T155&gt;10,U155&lt;=0,V155&lt;=0,R155&lt;0,R155&lt;&gt;INT(R155),S155&lt;=0),"",T155*R155*S155/(U155*V155))</x:f>
        <x:v>0.08333333333333333</x:v>
      </x:c>
      <x:c r="Y155" s="373" t="str"/>
    </x:row>
    <x:row r="156" ht="15" hidden="0" customHeight="1">
      <x:c r="A156" s="327" t="n">
        <x:f>Daily!A49</x:f>
        <x:v>46401.5</x:v>
      </x:c>
      <x:c r="B156" s="322" t="str">
        <x:f>Daily!D49</x:f>
        <x:v>Skill B + interval circuit</x:v>
      </x:c>
      <x:c r="C156" s="322" t="str">
        <x:v>C · Gentle wrist/shoulder mobility</x:v>
      </x:c>
      <x:c r="D156" s="322" t="str">
        <x:v>seconds</x:v>
      </x:c>
      <x:c r="E156" s="324" t="b">
        <x:v>1</x:v>
      </x:c>
      <x:c r="F156" s="330" t="n">
        <x:v>120</x:v>
      </x:c>
      <x:c r="G156" s="331" t="str">
        <x:f>IF(AND(OR(Daily!T49=TRUE,Daily!AB49=TRUE),COUNT(Daily!U49)&gt;0),SUM(Daily!U49)*86400,"")</x:f>
      </x:c>
      <x:c r="H156" s="331" t="n">
        <x:f>IF(AND(E156=TRUE,ISNUMBER(F156),F156&gt;0),100,"")</x:f>
        <x:v>100</x:v>
      </x:c>
      <x:c r="I156" s="331" t="str">
        <x:f>IF(AND(ISNUMBER(H156),ISNUMBER(G156)),IF(J156="lower",IF(G156&gt;0,100*F156/G156,""),100*G156/F156),"")</x:f>
      </x:c>
      <x:c r="J156" s="325" t="str">
        <x:v>higher</x:v>
      </x:c>
      <x:c r="N156" s="364" t="n">
        <x:f>Daily!A33</x:f>
        <x:v>46373.5</x:v>
      </x:c>
      <x:c r="O156" s="361" t="str">
        <x:f>Daily!D33</x:f>
        <x:v>Skill B + interval circuit</x:v>
      </x:c>
      <x:c r="P156" s="372" t="str">
        <x:v>Easy pike push-up</x:v>
      </x:c>
      <x:c r="Q156" s="362" t="str">
        <x:v>reps</x:v>
      </x:c>
      <x:c r="R156" s="367" t="n">
        <x:v>1</x:v>
      </x:c>
      <x:c r="S156" s="367" t="n">
        <x:v>4</x:v>
      </x:c>
      <x:c r="T156" s="368" t="n">
        <x:f>IF(OR(COUNTIFS(Strategy!$B$36:$B$90,P156)&lt;&gt;1,COUNTIFS(Strategy!$B$36:$B$90,P156,Strategy!$C$36:$C$90,"&lt;&gt;")&lt;&gt;1),"",INDEX(Strategy!$C$36:$C$90,MATCH(P156,Strategy!$B$36:$B$90,0)))</x:f>
        <x:v>1</x:v>
      </x:c>
      <x:c r="U156" s="368" t="n">
        <x:f>IF(OR(COUNTIFS(Strategy!$B$36:$B$90,P156)&lt;&gt;1,COUNTIFS(Strategy!$B$36:$B$90,P156,Strategy!$D$36:$D$90,"&lt;&gt;")&lt;&gt;1),"",INDEX(Strategy!$D$36:$D$90,MATCH(P156,Strategy!$B$36:$B$90,0)))</x:f>
        <x:v>3</x:v>
      </x:c>
      <x:c r="V156" s="368" t="n">
        <x:f>IF(OR(COUNTIFS(Strategy!$B$36:$B$90,P156)&lt;&gt;1,COUNTIFS(Strategy!$B$36:$B$90,P156,Strategy!$E$36:$E$90,"&lt;&gt;")&lt;&gt;1),"",INDEX(Strategy!$E$36:$E$90,MATCH(P156,Strategy!$B$36:$B$90,0)))</x:f>
        <x:v>10</x:v>
      </x:c>
      <x:c r="W156" s="361" t="str">
        <x:f>IF(OR(COUNTIFS(Strategy!$B$36:$B$90,P156)&lt;&gt;1,COUNTIFS(Strategy!$B$36:$B$90,P156,Strategy!$F$36:$F$90,"&lt;&gt;")&lt;&gt;1),"",INDEX(Strategy!$F$36:$F$90,MATCH(P156,Strategy!$B$36:$B$90,0)))</x:f>
        <x:v>reps</x:v>
      </x:c>
      <x:c r="X156" s="370" t="n">
        <x:f>IF(OR(COUNT(R156:V156)&lt;&gt;5,Q156&lt;&gt;W156,T156&lt;0,T156&gt;10,U156&lt;=0,V156&lt;=0,R156&lt;0,R156&lt;&gt;INT(R156),S156&lt;=0),"",T156*R156*S156/(U156*V156))</x:f>
        <x:v>0.13333333333333333</x:v>
      </x:c>
      <x:c r="Y156" s="374" t="str"/>
    </x:row>
    <x:row r="157" ht="15" hidden="0" customHeight="1">
      <x:c r="A157" s="326" t="n">
        <x:f>Daily!A49</x:f>
        <x:v>46401.5</x:v>
      </x:c>
      <x:c r="B157" s="318" t="str">
        <x:f>Daily!D49</x:f>
        <x:v>Skill B + interval circuit</x:v>
      </x:c>
      <x:c r="C157" s="318" t="str">
        <x:v>Core</x:v>
      </x:c>
      <x:c r="D157" s="318" t="str">
        <x:v>rounds</x:v>
      </x:c>
      <x:c r="E157" s="320" t="b">
        <x:v>1</x:v>
      </x:c>
      <x:c r="F157" s="328" t="n">
        <x:v>2</x:v>
      </x:c>
      <x:c r="G157" s="329" t="str">
        <x:f>IF(AND(OR(Daily!Z49=TRUE,Daily!AB49=TRUE),COUNT(Daily!AA49)&gt;0),SUM(Daily!AA49),"")</x:f>
      </x:c>
      <x:c r="H157" s="329" t="n">
        <x:f>IF(AND(E157=TRUE,ISNUMBER(F157),F157&gt;0),100,"")</x:f>
        <x:v>100</x:v>
      </x:c>
      <x:c r="I157" s="329" t="str">
        <x:f>IF(AND(ISNUMBER(H157),ISNUMBER(G157)),IF(J157="lower",IF(G157&gt;0,100*F157/G157,""),100*G157/F157),"")</x:f>
      </x:c>
      <x:c r="J157" s="321" t="str">
        <x:v>higher</x:v>
      </x:c>
      <x:c r="N157" s="363" t="n">
        <x:f>Daily!A33</x:f>
        <x:v>46373.5</x:v>
      </x:c>
      <x:c r="O157" s="359" t="str">
        <x:f>Daily!D33</x:f>
        <x:v>Skill B + interval circuit</x:v>
      </x:c>
      <x:c r="P157" s="371" t="str">
        <x:v>Assisted smooth pistol</x:v>
      </x:c>
      <x:c r="Q157" s="360" t="str">
        <x:v>reps/leg</x:v>
      </x:c>
      <x:c r="R157" s="365" t="n">
        <x:v>1</x:v>
      </x:c>
      <x:c r="S157" s="365" t="n">
        <x:v>3</x:v>
      </x:c>
      <x:c r="T157" s="366" t="n">
        <x:f>IF(OR(COUNTIFS(Strategy!$B$36:$B$90,P157)&lt;&gt;1,COUNTIFS(Strategy!$B$36:$B$90,P157,Strategy!$C$36:$C$90,"&lt;&gt;")&lt;&gt;1),"",INDEX(Strategy!$C$36:$C$90,MATCH(P157,Strategy!$B$36:$B$90,0)))</x:f>
        <x:v>2</x:v>
      </x:c>
      <x:c r="U157" s="366" t="n">
        <x:f>IF(OR(COUNTIFS(Strategy!$B$36:$B$90,P157)&lt;&gt;1,COUNTIFS(Strategy!$B$36:$B$90,P157,Strategy!$D$36:$D$90,"&lt;&gt;")&lt;&gt;1),"",INDEX(Strategy!$D$36:$D$90,MATCH(P157,Strategy!$B$36:$B$90,0)))</x:f>
        <x:v>3</x:v>
      </x:c>
      <x:c r="V157" s="366" t="n">
        <x:f>IF(OR(COUNTIFS(Strategy!$B$36:$B$90,P157)&lt;&gt;1,COUNTIFS(Strategy!$B$36:$B$90,P157,Strategy!$E$36:$E$90,"&lt;&gt;")&lt;&gt;1),"",INDEX(Strategy!$E$36:$E$90,MATCH(P157,Strategy!$B$36:$B$90,0)))</x:f>
        <x:v>10</x:v>
      </x:c>
      <x:c r="W157" s="359" t="str">
        <x:f>IF(OR(COUNTIFS(Strategy!$B$36:$B$90,P157)&lt;&gt;1,COUNTIFS(Strategy!$B$36:$B$90,P157,Strategy!$F$36:$F$90,"&lt;&gt;")&lt;&gt;1),"",INDEX(Strategy!$F$36:$F$90,MATCH(P157,Strategy!$B$36:$B$90,0)))</x:f>
        <x:v>reps/leg</x:v>
      </x:c>
      <x:c r="X157" s="369" t="n">
        <x:f>IF(OR(COUNT(R157:V157)&lt;&gt;5,Q157&lt;&gt;W157,T157&lt;0,T157&gt;10,U157&lt;=0,V157&lt;=0,R157&lt;0,R157&lt;&gt;INT(R157),S157&lt;=0),"",T157*R157*S157/(U157*V157))</x:f>
        <x:v>0.2</x:v>
      </x:c>
      <x:c r="Y157" s="373" t="str"/>
    </x:row>
    <x:row r="158" ht="15" hidden="0" customHeight="1">
      <x:c r="A158" s="327" t="n">
        <x:f>Daily!A50</x:f>
        <x:v>46403.5</x:v>
      </x:c>
      <x:c r="B158" s="322" t="str">
        <x:f>Daily!D50</x:f>
        <x:v>Skill micro-session</x:v>
      </x:c>
      <x:c r="C158" s="322" t="str">
        <x:v>A · Wrist/shoulder mobility</x:v>
      </x:c>
      <x:c r="D158" s="322" t="str">
        <x:v>seconds</x:v>
      </x:c>
      <x:c r="E158" s="324" t="b">
        <x:v>1</x:v>
      </x:c>
      <x:c r="F158" s="330" t="n">
        <x:v>60</x:v>
      </x:c>
      <x:c r="G158" s="331" t="str">
        <x:f>IF(AND(OR(Daily!H50=TRUE,Daily!AB50=TRUE),COUNT(Daily!I50)&gt;0),SUM(Daily!I50)*86400,"")</x:f>
      </x:c>
      <x:c r="H158" s="331" t="n">
        <x:f>IF(AND(E158=TRUE,ISNUMBER(F158),F158&gt;0),100,"")</x:f>
        <x:v>100</x:v>
      </x:c>
      <x:c r="I158" s="331" t="str">
        <x:f>IF(AND(ISNUMBER(H158),ISNUMBER(G158)),IF(J158="lower",IF(G158&gt;0,100*F158/G158,""),100*G158/F158),"")</x:f>
      </x:c>
      <x:c r="J158" s="325" t="str">
        <x:v>higher</x:v>
      </x:c>
      <x:c r="N158" s="364" t="n">
        <x:f>Daily!A33</x:f>
        <x:v>46373.5</x:v>
      </x:c>
      <x:c r="O158" s="361" t="str">
        <x:f>Daily!D33</x:f>
        <x:v>Skill B + interval circuit</x:v>
      </x:c>
      <x:c r="P158" s="372" t="str">
        <x:v>Pull-up</x:v>
      </x:c>
      <x:c r="Q158" s="362" t="str">
        <x:v>seconds</x:v>
      </x:c>
      <x:c r="R158" s="367" t="n">
        <x:v>3</x:v>
      </x:c>
      <x:c r="S158" s="367" t="n">
        <x:v>30</x:v>
      </x:c>
      <x:c r="T158" s="368" t="n">
        <x:f>IF(OR(COUNTIFS(Strategy!$B$36:$B$90,P158)&lt;&gt;1,COUNTIFS(Strategy!$B$36:$B$90,P158,Strategy!$C$36:$C$90,"&lt;&gt;")&lt;&gt;1),"",INDEX(Strategy!$C$36:$C$90,MATCH(P158,Strategy!$B$36:$B$90,0)))</x:f>
        <x:v>1</x:v>
      </x:c>
      <x:c r="U158" s="368" t="n">
        <x:f>IF(OR(COUNTIFS(Strategy!$B$36:$B$90,P158)&lt;&gt;1,COUNTIFS(Strategy!$B$36:$B$90,P158,Strategy!$D$36:$D$90,"&lt;&gt;")&lt;&gt;1),"",INDEX(Strategy!$D$36:$D$90,MATCH(P158,Strategy!$B$36:$B$90,0)))</x:f>
        <x:v>5</x:v>
      </x:c>
      <x:c r="V158" s="368" t="n">
        <x:f>IF(OR(COUNTIFS(Strategy!$B$36:$B$90,P158)&lt;&gt;1,COUNTIFS(Strategy!$B$36:$B$90,P158,Strategy!$E$36:$E$90,"&lt;&gt;")&lt;&gt;1),"",INDEX(Strategy!$E$36:$E$90,MATCH(P158,Strategy!$B$36:$B$90,0)))</x:f>
        <x:v>120</x:v>
      </x:c>
      <x:c r="W158" s="361" t="str">
        <x:f>IF(OR(COUNTIFS(Strategy!$B$36:$B$90,P158)&lt;&gt;1,COUNTIFS(Strategy!$B$36:$B$90,P158,Strategy!$F$36:$F$90,"&lt;&gt;")&lt;&gt;1),"",INDEX(Strategy!$F$36:$F$90,MATCH(P158,Strategy!$B$36:$B$90,0)))</x:f>
        <x:v>seconds</x:v>
      </x:c>
      <x:c r="X158" s="370" t="n">
        <x:f>IF(OR(COUNT(R158:V158)&lt;&gt;5,Q158&lt;&gt;W158,T158&lt;0,T158&gt;10,U158&lt;=0,V158&lt;=0,R158&lt;0,R158&lt;&gt;INT(R158),S158&lt;=0),"",T158*R158*S158/(U158*V158))</x:f>
        <x:v>0.15</x:v>
      </x:c>
      <x:c r="Y158" s="374" t="str">
        <x:v>Core: one 30-second work interval per round; rest excluded.</x:v>
      </x:c>
    </x:row>
    <x:row r="159" ht="15" hidden="0" customHeight="1">
      <x:c r="A159" s="326" t="n">
        <x:f>Daily!A50</x:f>
        <x:v>46403.5</x:v>
      </x:c>
      <x:c r="B159" s="318" t="str">
        <x:f>Daily!D50</x:f>
        <x:v>Skill micro-session</x:v>
      </x:c>
      <x:c r="C159" s="318" t="str">
        <x:v>B · Easy chest-to-wall hold</x:v>
      </x:c>
      <x:c r="D159" s="318" t="str">
        <x:v>seconds</x:v>
      </x:c>
      <x:c r="E159" s="320" t="b">
        <x:v>1</x:v>
      </x:c>
      <x:c r="F159" s="328" t="n">
        <x:v>20</x:v>
      </x:c>
      <x:c r="G159" s="329" t="str">
        <x:f>IF(AND(OR(Daily!N50=TRUE,Daily!AB50=TRUE),COUNT(Daily!O50,Daily!P50)&gt;0),SUM(Daily!O50,Daily!P50)*86400,"")</x:f>
      </x:c>
      <x:c r="H159" s="329" t="n">
        <x:f>IF(AND(E159=TRUE,ISNUMBER(F159),F159&gt;0),100,"")</x:f>
        <x:v>100</x:v>
      </x:c>
      <x:c r="I159" s="329" t="str">
        <x:f>IF(AND(ISNUMBER(H159),ISNUMBER(G159)),IF(J159="lower",IF(G159&gt;0,100*F159/G159,""),100*G159/F159),"")</x:f>
      </x:c>
      <x:c r="J159" s="321" t="str">
        <x:v>higher</x:v>
      </x:c>
      <x:c r="N159" s="363" t="n">
        <x:f>Daily!A33</x:f>
        <x:v>46373.5</x:v>
      </x:c>
      <x:c r="O159" s="359" t="str">
        <x:f>Daily!D33</x:f>
        <x:v>Skill B + interval circuit</x:v>
      </x:c>
      <x:c r="P159" s="371" t="str">
        <x:v>Push-up</x:v>
      </x:c>
      <x:c r="Q159" s="360" t="str">
        <x:v>seconds</x:v>
      </x:c>
      <x:c r="R159" s="365" t="n">
        <x:v>3</x:v>
      </x:c>
      <x:c r="S159" s="365" t="n">
        <x:v>30</x:v>
      </x:c>
      <x:c r="T159" s="366" t="n">
        <x:f>IF(OR(COUNTIFS(Strategy!$B$36:$B$90,P159)&lt;&gt;1,COUNTIFS(Strategy!$B$36:$B$90,P159,Strategy!$C$36:$C$90,"&lt;&gt;")&lt;&gt;1),"",INDEX(Strategy!$C$36:$C$90,MATCH(P159,Strategy!$B$36:$B$90,0)))</x:f>
        <x:v>1</x:v>
      </x:c>
      <x:c r="U159" s="366" t="n">
        <x:f>IF(OR(COUNTIFS(Strategy!$B$36:$B$90,P159)&lt;&gt;1,COUNTIFS(Strategy!$B$36:$B$90,P159,Strategy!$D$36:$D$90,"&lt;&gt;")&lt;&gt;1),"",INDEX(Strategy!$D$36:$D$90,MATCH(P159,Strategy!$B$36:$B$90,0)))</x:f>
        <x:v>5</x:v>
      </x:c>
      <x:c r="V159" s="366" t="n">
        <x:f>IF(OR(COUNTIFS(Strategy!$B$36:$B$90,P159)&lt;&gt;1,COUNTIFS(Strategy!$B$36:$B$90,P159,Strategy!$E$36:$E$90,"&lt;&gt;")&lt;&gt;1),"",INDEX(Strategy!$E$36:$E$90,MATCH(P159,Strategy!$B$36:$B$90,0)))</x:f>
        <x:v>120</x:v>
      </x:c>
      <x:c r="W159" s="359" t="str">
        <x:f>IF(OR(COUNTIFS(Strategy!$B$36:$B$90,P159)&lt;&gt;1,COUNTIFS(Strategy!$B$36:$B$90,P159,Strategy!$F$36:$F$90,"&lt;&gt;")&lt;&gt;1),"",INDEX(Strategy!$F$36:$F$90,MATCH(P159,Strategy!$B$36:$B$90,0)))</x:f>
        <x:v>seconds</x:v>
      </x:c>
      <x:c r="X159" s="369" t="n">
        <x:f>IF(OR(COUNT(R159:V159)&lt;&gt;5,Q159&lt;&gt;W159,T159&lt;0,T159&gt;10,U159&lt;=0,V159&lt;=0,R159&lt;0,R159&lt;&gt;INT(R159),S159&lt;=0),"",T159*R159*S159/(U159*V159))</x:f>
        <x:v>0.15</x:v>
      </x:c>
      <x:c r="Y159" s="373" t="str">
        <x:v>Core: one 30-second work interval per round; rest excluded.</x:v>
      </x:c>
    </x:row>
    <x:row r="160" ht="15" hidden="0" customHeight="1">
      <x:c r="A160" s="327" t="n">
        <x:f>Daily!A50</x:f>
        <x:v>46403.5</x:v>
      </x:c>
      <x:c r="B160" s="322" t="str">
        <x:f>Daily!D50</x:f>
        <x:v>Skill micro-session</x:v>
      </x:c>
      <x:c r="C160" s="322" t="str">
        <x:v>C · Wall handstand line drill</x:v>
      </x:c>
      <x:c r="D160" s="322" t="str">
        <x:v>seconds</x:v>
      </x:c>
      <x:c r="E160" s="324" t="b">
        <x:v>1</x:v>
      </x:c>
      <x:c r="F160" s="330" t="n">
        <x:v>10</x:v>
      </x:c>
      <x:c r="G160" s="331" t="str">
        <x:f>IF(AND(OR(Daily!T50=TRUE,Daily!AB50=TRUE),COUNT(Daily!U50)&gt;0),SUM(Daily!U50)*86400,"")</x:f>
      </x:c>
      <x:c r="H160" s="331" t="n">
        <x:f>IF(AND(E160=TRUE,ISNUMBER(F160),F160&gt;0),100,"")</x:f>
        <x:v>100</x:v>
      </x:c>
      <x:c r="I160" s="331" t="str">
        <x:f>IF(AND(ISNUMBER(H160),ISNUMBER(G160)),IF(J160="lower",IF(G160&gt;0,100*F160/G160,""),100*G160/F160),"")</x:f>
      </x:c>
      <x:c r="J160" s="325" t="str">
        <x:v>higher</x:v>
      </x:c>
      <x:c r="N160" s="364" t="n">
        <x:f>Daily!A33</x:f>
        <x:v>46373.5</x:v>
      </x:c>
      <x:c r="O160" s="361" t="str">
        <x:f>Daily!D33</x:f>
        <x:v>Skill B + interval circuit</x:v>
      </x:c>
      <x:c r="P160" s="372" t="str">
        <x:v>Weighted squat</x:v>
      </x:c>
      <x:c r="Q160" s="362" t="str">
        <x:v>seconds</x:v>
      </x:c>
      <x:c r="R160" s="367" t="n">
        <x:v>3</x:v>
      </x:c>
      <x:c r="S160" s="367" t="n">
        <x:v>30</x:v>
      </x:c>
      <x:c r="T160" s="368" t="n">
        <x:f>IF(OR(COUNTIFS(Strategy!$B$36:$B$90,P160)&lt;&gt;1,COUNTIFS(Strategy!$B$36:$B$90,P160,Strategy!$C$36:$C$90,"&lt;&gt;")&lt;&gt;1),"",INDEX(Strategy!$C$36:$C$90,MATCH(P160,Strategy!$B$36:$B$90,0)))</x:f>
        <x:v>1</x:v>
      </x:c>
      <x:c r="U160" s="368" t="n">
        <x:f>IF(OR(COUNTIFS(Strategy!$B$36:$B$90,P160)&lt;&gt;1,COUNTIFS(Strategy!$B$36:$B$90,P160,Strategy!$D$36:$D$90,"&lt;&gt;")&lt;&gt;1),"",INDEX(Strategy!$D$36:$D$90,MATCH(P160,Strategy!$B$36:$B$90,0)))</x:f>
        <x:v>5</x:v>
      </x:c>
      <x:c r="V160" s="368" t="n">
        <x:f>IF(OR(COUNTIFS(Strategy!$B$36:$B$90,P160)&lt;&gt;1,COUNTIFS(Strategy!$B$36:$B$90,P160,Strategy!$E$36:$E$90,"&lt;&gt;")&lt;&gt;1),"",INDEX(Strategy!$E$36:$E$90,MATCH(P160,Strategy!$B$36:$B$90,0)))</x:f>
        <x:v>120</x:v>
      </x:c>
      <x:c r="W160" s="361" t="str">
        <x:f>IF(OR(COUNTIFS(Strategy!$B$36:$B$90,P160)&lt;&gt;1,COUNTIFS(Strategy!$B$36:$B$90,P160,Strategy!$F$36:$F$90,"&lt;&gt;")&lt;&gt;1),"",INDEX(Strategy!$F$36:$F$90,MATCH(P160,Strategy!$B$36:$B$90,0)))</x:f>
        <x:v>seconds</x:v>
      </x:c>
      <x:c r="X160" s="370" t="n">
        <x:f>IF(OR(COUNT(R160:V160)&lt;&gt;5,Q160&lt;&gt;W160,T160&lt;0,T160&gt;10,U160&lt;=0,V160&lt;=0,R160&lt;0,R160&lt;&gt;INT(R160),S160&lt;=0),"",T160*R160*S160/(U160*V160))</x:f>
        <x:v>0.15</x:v>
      </x:c>
      <x:c r="Y160" s="374" t="str">
        <x:v>Core: one 30-second work interval per round; rest excluded.</x:v>
      </x:c>
    </x:row>
    <x:row r="161" ht="15" hidden="0" customHeight="1">
      <x:c r="N161" s="363" t="n">
        <x:f>Daily!A33</x:f>
        <x:v>46373.5</x:v>
      </x:c>
      <x:c r="O161" s="359" t="str">
        <x:f>Daily!D33</x:f>
        <x:v>Skill B + interval circuit</x:v>
      </x:c>
      <x:c r="P161" s="371" t="str">
        <x:v>Upside-down hanging shoulder/ab work</x:v>
      </x:c>
      <x:c r="Q161" s="360" t="str">
        <x:v>seconds</x:v>
      </x:c>
      <x:c r="R161" s="365" t="n">
        <x:v>3</x:v>
      </x:c>
      <x:c r="S161" s="365" t="n">
        <x:v>30</x:v>
      </x:c>
      <x:c r="T161" s="366" t="n">
        <x:f>IF(OR(COUNTIFS(Strategy!$B$36:$B$90,P161)&lt;&gt;1,COUNTIFS(Strategy!$B$36:$B$90,P161,Strategy!$C$36:$C$90,"&lt;&gt;")&lt;&gt;1),"",INDEX(Strategy!$C$36:$C$90,MATCH(P161,Strategy!$B$36:$B$90,0)))</x:f>
        <x:v>1</x:v>
      </x:c>
      <x:c r="U161" s="366" t="n">
        <x:f>IF(OR(COUNTIFS(Strategy!$B$36:$B$90,P161)&lt;&gt;1,COUNTIFS(Strategy!$B$36:$B$90,P161,Strategy!$D$36:$D$90,"&lt;&gt;")&lt;&gt;1),"",INDEX(Strategy!$D$36:$D$90,MATCH(P161,Strategy!$B$36:$B$90,0)))</x:f>
        <x:v>5</x:v>
      </x:c>
      <x:c r="V161" s="366" t="n">
        <x:f>IF(OR(COUNTIFS(Strategy!$B$36:$B$90,P161)&lt;&gt;1,COUNTIFS(Strategy!$B$36:$B$90,P161,Strategy!$E$36:$E$90,"&lt;&gt;")&lt;&gt;1),"",INDEX(Strategy!$E$36:$E$90,MATCH(P161,Strategy!$B$36:$B$90,0)))</x:f>
        <x:v>120</x:v>
      </x:c>
      <x:c r="W161" s="359" t="str">
        <x:f>IF(OR(COUNTIFS(Strategy!$B$36:$B$90,P161)&lt;&gt;1,COUNTIFS(Strategy!$B$36:$B$90,P161,Strategy!$F$36:$F$90,"&lt;&gt;")&lt;&gt;1),"",INDEX(Strategy!$F$36:$F$90,MATCH(P161,Strategy!$B$36:$B$90,0)))</x:f>
        <x:v>seconds</x:v>
      </x:c>
      <x:c r="X161" s="369" t="n">
        <x:f>IF(OR(COUNT(R161:V161)&lt;&gt;5,Q161&lt;&gt;W161,T161&lt;0,T161&gt;10,U161&lt;=0,V161&lt;=0,R161&lt;0,R161&lt;&gt;INT(R161),S161&lt;=0),"",T161*R161*S161/(U161*V161))</x:f>
        <x:v>0.15</x:v>
      </x:c>
      <x:c r="Y161" s="373" t="str">
        <x:v>Core: one 30-second work interval per round; rest excluded.</x:v>
      </x:c>
    </x:row>
    <x:row r="162" ht="15" hidden="0" customHeight="1">
      <x:c r="N162" s="364" t="n">
        <x:f>Daily!A34</x:f>
        <x:v>46375.5</x:v>
      </x:c>
      <x:c r="O162" s="361" t="str">
        <x:f>Daily!D34</x:f>
        <x:v>Skill micro-session</x:v>
      </x:c>
      <x:c r="P162" s="372" t="str">
        <x:v>Wrist/shoulder mobility</x:v>
      </x:c>
      <x:c r="Q162" s="362" t="str">
        <x:v>seconds</x:v>
      </x:c>
      <x:c r="R162" s="367" t="n">
        <x:v>1</x:v>
      </x:c>
      <x:c r="S162" s="367" t="n">
        <x:v>60</x:v>
      </x:c>
      <x:c r="T162" s="368" t="n">
        <x:f>IF(OR(COUNTIFS(Strategy!$B$36:$B$90,P162)&lt;&gt;1,COUNTIFS(Strategy!$B$36:$B$90,P162,Strategy!$C$36:$C$90,"&lt;&gt;")&lt;&gt;1),"",INDEX(Strategy!$C$36:$C$90,MATCH(P162,Strategy!$B$36:$B$90,0)))</x:f>
        <x:v>1</x:v>
      </x:c>
      <x:c r="U162" s="368" t="n">
        <x:f>IF(OR(COUNTIFS(Strategy!$B$36:$B$90,P162)&lt;&gt;1,COUNTIFS(Strategy!$B$36:$B$90,P162,Strategy!$D$36:$D$90,"&lt;&gt;")&lt;&gt;1),"",INDEX(Strategy!$D$36:$D$90,MATCH(P162,Strategy!$B$36:$B$90,0)))</x:f>
        <x:v>3</x:v>
      </x:c>
      <x:c r="V162" s="368" t="n">
        <x:f>IF(OR(COUNTIFS(Strategy!$B$36:$B$90,P162)&lt;&gt;1,COUNTIFS(Strategy!$B$36:$B$90,P162,Strategy!$E$36:$E$90,"&lt;&gt;")&lt;&gt;1),"",INDEX(Strategy!$E$36:$E$90,MATCH(P162,Strategy!$B$36:$B$90,0)))</x:f>
        <x:v>60</x:v>
      </x:c>
      <x:c r="W162" s="361" t="str">
        <x:f>IF(OR(COUNTIFS(Strategy!$B$36:$B$90,P162)&lt;&gt;1,COUNTIFS(Strategy!$B$36:$B$90,P162,Strategy!$F$36:$F$90,"&lt;&gt;")&lt;&gt;1),"",INDEX(Strategy!$F$36:$F$90,MATCH(P162,Strategy!$B$36:$B$90,0)))</x:f>
        <x:v>seconds</x:v>
      </x:c>
      <x:c r="X162" s="370" t="n">
        <x:f>IF(OR(COUNT(R162:V162)&lt;&gt;5,Q162&lt;&gt;W162,T162&lt;0,T162&gt;10,U162&lt;=0,V162&lt;=0,R162&lt;0,R162&lt;&gt;INT(R162),S162&lt;=0),"",T162*R162*S162/(U162*V162))</x:f>
        <x:v>0.3333333333333333</x:v>
      </x:c>
      <x:c r="Y162" s="374" t="str"/>
    </x:row>
    <x:row r="163" ht="15" hidden="0" customHeight="1">
      <x:c r="N163" s="363" t="n">
        <x:f>Daily!A34</x:f>
        <x:v>46375.5</x:v>
      </x:c>
      <x:c r="O163" s="359" t="str">
        <x:f>Daily!D34</x:f>
        <x:v>Skill micro-session</x:v>
      </x:c>
      <x:c r="P163" s="371" t="str">
        <x:v>Easy chest-to-wall hold</x:v>
      </x:c>
      <x:c r="Q163" s="360" t="str">
        <x:v>seconds</x:v>
      </x:c>
      <x:c r="R163" s="365" t="n">
        <x:v>2</x:v>
      </x:c>
      <x:c r="S163" s="365" t="n">
        <x:v>10</x:v>
      </x:c>
      <x:c r="T163" s="366" t="n">
        <x:f>IF(OR(COUNTIFS(Strategy!$B$36:$B$90,P163)&lt;&gt;1,COUNTIFS(Strategy!$B$36:$B$90,P163,Strategy!$C$36:$C$90,"&lt;&gt;")&lt;&gt;1),"",INDEX(Strategy!$C$36:$C$90,MATCH(P163,Strategy!$B$36:$B$90,0)))</x:f>
        <x:v>1</x:v>
      </x:c>
      <x:c r="U163" s="366" t="n">
        <x:f>IF(OR(COUNTIFS(Strategy!$B$36:$B$90,P163)&lt;&gt;1,COUNTIFS(Strategy!$B$36:$B$90,P163,Strategy!$D$36:$D$90,"&lt;&gt;")&lt;&gt;1),"",INDEX(Strategy!$D$36:$D$90,MATCH(P163,Strategy!$B$36:$B$90,0)))</x:f>
        <x:v>3</x:v>
      </x:c>
      <x:c r="V163" s="366" t="n">
        <x:f>IF(OR(COUNTIFS(Strategy!$B$36:$B$90,P163)&lt;&gt;1,COUNTIFS(Strategy!$B$36:$B$90,P163,Strategy!$E$36:$E$90,"&lt;&gt;")&lt;&gt;1),"",INDEX(Strategy!$E$36:$E$90,MATCH(P163,Strategy!$B$36:$B$90,0)))</x:f>
        <x:v>60</x:v>
      </x:c>
      <x:c r="W163" s="359" t="str">
        <x:f>IF(OR(COUNTIFS(Strategy!$B$36:$B$90,P163)&lt;&gt;1,COUNTIFS(Strategy!$B$36:$B$90,P163,Strategy!$F$36:$F$90,"&lt;&gt;")&lt;&gt;1),"",INDEX(Strategy!$F$36:$F$90,MATCH(P163,Strategy!$B$36:$B$90,0)))</x:f>
        <x:v>seconds</x:v>
      </x:c>
      <x:c r="X163" s="369" t="n">
        <x:f>IF(OR(COUNT(R163:V163)&lt;&gt;5,Q163&lt;&gt;W163,T163&lt;0,T163&gt;10,U163&lt;=0,V163&lt;=0,R163&lt;0,R163&lt;&gt;INT(R163),S163&lt;=0),"",T163*R163*S163/(U163*V163))</x:f>
        <x:v>0.1111111111111111</x:v>
      </x:c>
      <x:c r="Y163" s="373" t="str"/>
    </x:row>
    <x:row r="164" ht="15" hidden="0" customHeight="1">
      <x:c r="N164" s="364" t="n">
        <x:f>Daily!A34</x:f>
        <x:v>46375.5</x:v>
      </x:c>
      <x:c r="O164" s="361" t="str">
        <x:f>Daily!D34</x:f>
        <x:v>Skill micro-session</x:v>
      </x:c>
      <x:c r="P164" s="372" t="str">
        <x:v>Wall handstand line drill</x:v>
      </x:c>
      <x:c r="Q164" s="362" t="str">
        <x:v>seconds</x:v>
      </x:c>
      <x:c r="R164" s="367" t="n">
        <x:v>1</x:v>
      </x:c>
      <x:c r="S164" s="367" t="n">
        <x:v>10</x:v>
      </x:c>
      <x:c r="T164" s="368" t="n">
        <x:f>IF(OR(COUNTIFS(Strategy!$B$36:$B$90,P164)&lt;&gt;1,COUNTIFS(Strategy!$B$36:$B$90,P164,Strategy!$C$36:$C$90,"&lt;&gt;")&lt;&gt;1),"",INDEX(Strategy!$C$36:$C$90,MATCH(P164,Strategy!$B$36:$B$90,0)))</x:f>
        <x:v>1</x:v>
      </x:c>
      <x:c r="U164" s="368" t="n">
        <x:f>IF(OR(COUNTIFS(Strategy!$B$36:$B$90,P164)&lt;&gt;1,COUNTIFS(Strategy!$B$36:$B$90,P164,Strategy!$D$36:$D$90,"&lt;&gt;")&lt;&gt;1),"",INDEX(Strategy!$D$36:$D$90,MATCH(P164,Strategy!$B$36:$B$90,0)))</x:f>
        <x:v>3</x:v>
      </x:c>
      <x:c r="V164" s="368" t="n">
        <x:f>IF(OR(COUNTIFS(Strategy!$B$36:$B$90,P164)&lt;&gt;1,COUNTIFS(Strategy!$B$36:$B$90,P164,Strategy!$E$36:$E$90,"&lt;&gt;")&lt;&gt;1),"",INDEX(Strategy!$E$36:$E$90,MATCH(P164,Strategy!$B$36:$B$90,0)))</x:f>
        <x:v>60</x:v>
      </x:c>
      <x:c r="W164" s="361" t="str">
        <x:f>IF(OR(COUNTIFS(Strategy!$B$36:$B$90,P164)&lt;&gt;1,COUNTIFS(Strategy!$B$36:$B$90,P164,Strategy!$F$36:$F$90,"&lt;&gt;")&lt;&gt;1),"",INDEX(Strategy!$F$36:$F$90,MATCH(P164,Strategy!$B$36:$B$90,0)))</x:f>
        <x:v>seconds</x:v>
      </x:c>
      <x:c r="X164" s="370" t="n">
        <x:f>IF(OR(COUNT(R164:V164)&lt;&gt;5,Q164&lt;&gt;W164,T164&lt;0,T164&gt;10,U164&lt;=0,V164&lt;=0,R164&lt;0,R164&lt;&gt;INT(R164),S164&lt;=0),"",T164*R164*S164/(U164*V164))</x:f>
        <x:v>0.05555555555555555</x:v>
      </x:c>
      <x:c r="Y164" s="374" t="str"/>
    </x:row>
    <x:row r="165" ht="15" hidden="0" customHeight="1">
      <x:c r="N165" s="363" t="n">
        <x:f>Daily!A35</x:f>
        <x:v>46377.5</x:v>
      </x:c>
      <x:c r="O165" s="359" t="str">
        <x:f>Daily!D35</x:f>
        <x:v>Skill A + interval circuit</x:v>
      </x:c>
      <x:c r="P165" s="371" t="str">
        <x:v>Light-band or strict muscle-up</x:v>
      </x:c>
      <x:c r="Q165" s="360" t="str">
        <x:v>reps</x:v>
      </x:c>
      <x:c r="R165" s="365" t="n">
        <x:v>3</x:v>
      </x:c>
      <x:c r="S165" s="365" t="n">
        <x:v>1</x:v>
      </x:c>
      <x:c r="T165" s="366" t="n">
        <x:f>IF(OR(COUNTIFS(Strategy!$B$36:$B$90,P165)&lt;&gt;1,COUNTIFS(Strategy!$B$36:$B$90,P165,Strategy!$C$36:$C$90,"&lt;&gt;")&lt;&gt;1),"",INDEX(Strategy!$C$36:$C$90,MATCH(P165,Strategy!$B$36:$B$90,0)))</x:f>
        <x:v>8</x:v>
      </x:c>
      <x:c r="U165" s="366" t="n">
        <x:f>IF(OR(COUNTIFS(Strategy!$B$36:$B$90,P165)&lt;&gt;1,COUNTIFS(Strategy!$B$36:$B$90,P165,Strategy!$D$36:$D$90,"&lt;&gt;")&lt;&gt;1),"",INDEX(Strategy!$D$36:$D$90,MATCH(P165,Strategy!$B$36:$B$90,0)))</x:f>
        <x:v>3</x:v>
      </x:c>
      <x:c r="V165" s="366" t="n">
        <x:f>IF(OR(COUNTIFS(Strategy!$B$36:$B$90,P165)&lt;&gt;1,COUNTIFS(Strategy!$B$36:$B$90,P165,Strategy!$E$36:$E$90,"&lt;&gt;")&lt;&gt;1),"",INDEX(Strategy!$E$36:$E$90,MATCH(P165,Strategy!$B$36:$B$90,0)))</x:f>
        <x:v>10</x:v>
      </x:c>
      <x:c r="W165" s="359" t="str">
        <x:f>IF(OR(COUNTIFS(Strategy!$B$36:$B$90,P165)&lt;&gt;1,COUNTIFS(Strategy!$B$36:$B$90,P165,Strategy!$F$36:$F$90,"&lt;&gt;")&lt;&gt;1),"",INDEX(Strategy!$F$36:$F$90,MATCH(P165,Strategy!$B$36:$B$90,0)))</x:f>
        <x:v>reps</x:v>
      </x:c>
      <x:c r="X165" s="369" t="n">
        <x:f>IF(OR(COUNT(R165:V165)&lt;&gt;5,Q165&lt;&gt;W165,T165&lt;0,T165&gt;10,U165&lt;=0,V165&lt;=0,R165&lt;0,R165&lt;&gt;INT(R165),S165&lt;=0),"",T165*R165*S165/(U165*V165))</x:f>
        <x:v>0.8</x:v>
      </x:c>
      <x:c r="Y165" s="373" t="str"/>
    </x:row>
    <x:row r="166" ht="15" hidden="0" customHeight="1">
      <x:c r="N166" s="364" t="n">
        <x:f>Daily!A35</x:f>
        <x:v>46377.5</x:v>
      </x:c>
      <x:c r="O166" s="361" t="str">
        <x:f>Daily!D35</x:f>
        <x:v>Skill A + interval circuit</x:v>
      </x:c>
      <x:c r="P166" s="372" t="str">
        <x:v>Stronger-band back-off muscle-up</x:v>
      </x:c>
      <x:c r="Q166" s="362" t="str">
        <x:v>reps</x:v>
      </x:c>
      <x:c r="R166" s="367" t="n">
        <x:v>2</x:v>
      </x:c>
      <x:c r="S166" s="367" t="n">
        <x:v>2</x:v>
      </x:c>
      <x:c r="T166" s="368" t="n">
        <x:f>IF(OR(COUNTIFS(Strategy!$B$36:$B$90,P166)&lt;&gt;1,COUNTIFS(Strategy!$B$36:$B$90,P166,Strategy!$C$36:$C$90,"&lt;&gt;")&lt;&gt;1),"",INDEX(Strategy!$C$36:$C$90,MATCH(P166,Strategy!$B$36:$B$90,0)))</x:f>
        <x:v>4</x:v>
      </x:c>
      <x:c r="U166" s="368" t="n">
        <x:f>IF(OR(COUNTIFS(Strategy!$B$36:$B$90,P166)&lt;&gt;1,COUNTIFS(Strategy!$B$36:$B$90,P166,Strategy!$D$36:$D$90,"&lt;&gt;")&lt;&gt;1),"",INDEX(Strategy!$D$36:$D$90,MATCH(P166,Strategy!$B$36:$B$90,0)))</x:f>
        <x:v>3</x:v>
      </x:c>
      <x:c r="V166" s="368" t="n">
        <x:f>IF(OR(COUNTIFS(Strategy!$B$36:$B$90,P166)&lt;&gt;1,COUNTIFS(Strategy!$B$36:$B$90,P166,Strategy!$E$36:$E$90,"&lt;&gt;")&lt;&gt;1),"",INDEX(Strategy!$E$36:$E$90,MATCH(P166,Strategy!$B$36:$B$90,0)))</x:f>
        <x:v>10</x:v>
      </x:c>
      <x:c r="W166" s="361" t="str">
        <x:f>IF(OR(COUNTIFS(Strategy!$B$36:$B$90,P166)&lt;&gt;1,COUNTIFS(Strategy!$B$36:$B$90,P166,Strategy!$F$36:$F$90,"&lt;&gt;")&lt;&gt;1),"",INDEX(Strategy!$F$36:$F$90,MATCH(P166,Strategy!$B$36:$B$90,0)))</x:f>
        <x:v>reps</x:v>
      </x:c>
      <x:c r="X166" s="370" t="n">
        <x:f>IF(OR(COUNT(R166:V166)&lt;&gt;5,Q166&lt;&gt;W166,T166&lt;0,T166&gt;10,U166&lt;=0,V166&lt;=0,R166&lt;0,R166&lt;&gt;INT(R166),S166&lt;=0),"",T166*R166*S166/(U166*V166))</x:f>
        <x:v>0.5333333333333333</x:v>
      </x:c>
      <x:c r="Y166" s="374" t="str"/>
    </x:row>
    <x:row r="167" ht="15" hidden="0" customHeight="1">
      <x:c r="N167" s="363" t="n">
        <x:f>Daily!A35</x:f>
        <x:v>46377.5</x:v>
      </x:c>
      <x:c r="O167" s="359" t="str">
        <x:f>Daily!D35</x:f>
        <x:v>Skill A + interval circuit</x:v>
      </x:c>
      <x:c r="P167" s="371" t="str">
        <x:v>Unassisted pistol</x:v>
      </x:c>
      <x:c r="Q167" s="360" t="str">
        <x:v>reps/leg</x:v>
      </x:c>
      <x:c r="R167" s="365" t="n">
        <x:v>3</x:v>
      </x:c>
      <x:c r="S167" s="365" t="n">
        <x:v>1</x:v>
      </x:c>
      <x:c r="T167" s="366" t="n">
        <x:f>IF(OR(COUNTIFS(Strategy!$B$36:$B$90,P167)&lt;&gt;1,COUNTIFS(Strategy!$B$36:$B$90,P167,Strategy!$C$36:$C$90,"&lt;&gt;")&lt;&gt;1),"",INDEX(Strategy!$C$36:$C$90,MATCH(P167,Strategy!$B$36:$B$90,0)))</x:f>
        <x:v>2</x:v>
      </x:c>
      <x:c r="U167" s="366" t="n">
        <x:f>IF(OR(COUNTIFS(Strategy!$B$36:$B$90,P167)&lt;&gt;1,COUNTIFS(Strategy!$B$36:$B$90,P167,Strategy!$D$36:$D$90,"&lt;&gt;")&lt;&gt;1),"",INDEX(Strategy!$D$36:$D$90,MATCH(P167,Strategy!$B$36:$B$90,0)))</x:f>
        <x:v>3</x:v>
      </x:c>
      <x:c r="V167" s="366" t="n">
        <x:f>IF(OR(COUNTIFS(Strategy!$B$36:$B$90,P167)&lt;&gt;1,COUNTIFS(Strategy!$B$36:$B$90,P167,Strategy!$E$36:$E$90,"&lt;&gt;")&lt;&gt;1),"",INDEX(Strategy!$E$36:$E$90,MATCH(P167,Strategy!$B$36:$B$90,0)))</x:f>
        <x:v>10</x:v>
      </x:c>
      <x:c r="W167" s="359" t="str">
        <x:f>IF(OR(COUNTIFS(Strategy!$B$36:$B$90,P167)&lt;&gt;1,COUNTIFS(Strategy!$B$36:$B$90,P167,Strategy!$F$36:$F$90,"&lt;&gt;")&lt;&gt;1),"",INDEX(Strategy!$F$36:$F$90,MATCH(P167,Strategy!$B$36:$B$90,0)))</x:f>
        <x:v>reps/leg</x:v>
      </x:c>
      <x:c r="X167" s="369" t="n">
        <x:f>IF(OR(COUNT(R167:V167)&lt;&gt;5,Q167&lt;&gt;W167,T167&lt;0,T167&gt;10,U167&lt;=0,V167&lt;=0,R167&lt;0,R167&lt;&gt;INT(R167),S167&lt;=0),"",T167*R167*S167/(U167*V167))</x:f>
        <x:v>0.2</x:v>
      </x:c>
      <x:c r="Y167" s="373" t="str"/>
    </x:row>
    <x:row r="168" ht="15" hidden="0" customHeight="1">
      <x:c r="N168" s="364" t="n">
        <x:f>Daily!A35</x:f>
        <x:v>46377.5</x:v>
      </x:c>
      <x:c r="O168" s="361" t="str">
        <x:f>Daily!D35</x:f>
        <x:v>Skill A + interval circuit</x:v>
      </x:c>
      <x:c r="P168" s="372" t="str">
        <x:v>Pull-up</x:v>
      </x:c>
      <x:c r="Q168" s="362" t="str">
        <x:v>seconds</x:v>
      </x:c>
      <x:c r="R168" s="367" t="n">
        <x:v>5</x:v>
      </x:c>
      <x:c r="S168" s="367" t="n">
        <x:v>30</x:v>
      </x:c>
      <x:c r="T168" s="368" t="n">
        <x:f>IF(OR(COUNTIFS(Strategy!$B$36:$B$90,P168)&lt;&gt;1,COUNTIFS(Strategy!$B$36:$B$90,P168,Strategy!$C$36:$C$90,"&lt;&gt;")&lt;&gt;1),"",INDEX(Strategy!$C$36:$C$90,MATCH(P168,Strategy!$B$36:$B$90,0)))</x:f>
        <x:v>1</x:v>
      </x:c>
      <x:c r="U168" s="368" t="n">
        <x:f>IF(OR(COUNTIFS(Strategy!$B$36:$B$90,P168)&lt;&gt;1,COUNTIFS(Strategy!$B$36:$B$90,P168,Strategy!$D$36:$D$90,"&lt;&gt;")&lt;&gt;1),"",INDEX(Strategy!$D$36:$D$90,MATCH(P168,Strategy!$B$36:$B$90,0)))</x:f>
        <x:v>5</x:v>
      </x:c>
      <x:c r="V168" s="368" t="n">
        <x:f>IF(OR(COUNTIFS(Strategy!$B$36:$B$90,P168)&lt;&gt;1,COUNTIFS(Strategy!$B$36:$B$90,P168,Strategy!$E$36:$E$90,"&lt;&gt;")&lt;&gt;1),"",INDEX(Strategy!$E$36:$E$90,MATCH(P168,Strategy!$B$36:$B$90,0)))</x:f>
        <x:v>120</x:v>
      </x:c>
      <x:c r="W168" s="361" t="str">
        <x:f>IF(OR(COUNTIFS(Strategy!$B$36:$B$90,P168)&lt;&gt;1,COUNTIFS(Strategy!$B$36:$B$90,P168,Strategy!$F$36:$F$90,"&lt;&gt;")&lt;&gt;1),"",INDEX(Strategy!$F$36:$F$90,MATCH(P168,Strategy!$B$36:$B$90,0)))</x:f>
        <x:v>seconds</x:v>
      </x:c>
      <x:c r="X168" s="370" t="n">
        <x:f>IF(OR(COUNT(R168:V168)&lt;&gt;5,Q168&lt;&gt;W168,T168&lt;0,T168&gt;10,U168&lt;=0,V168&lt;=0,R168&lt;0,R168&lt;&gt;INT(R168),S168&lt;=0),"",T168*R168*S168/(U168*V168))</x:f>
        <x:v>0.25</x:v>
      </x:c>
      <x:c r="Y168" s="374" t="str">
        <x:v>Core: one 30-second work interval per round; rest excluded.</x:v>
      </x:c>
    </x:row>
    <x:row r="169" ht="15" hidden="0" customHeight="1">
      <x:c r="N169" s="363" t="n">
        <x:f>Daily!A35</x:f>
        <x:v>46377.5</x:v>
      </x:c>
      <x:c r="O169" s="359" t="str">
        <x:f>Daily!D35</x:f>
        <x:v>Skill A + interval circuit</x:v>
      </x:c>
      <x:c r="P169" s="371" t="str">
        <x:v>Push-up</x:v>
      </x:c>
      <x:c r="Q169" s="360" t="str">
        <x:v>seconds</x:v>
      </x:c>
      <x:c r="R169" s="365" t="n">
        <x:v>5</x:v>
      </x:c>
      <x:c r="S169" s="365" t="n">
        <x:v>30</x:v>
      </x:c>
      <x:c r="T169" s="366" t="n">
        <x:f>IF(OR(COUNTIFS(Strategy!$B$36:$B$90,P169)&lt;&gt;1,COUNTIFS(Strategy!$B$36:$B$90,P169,Strategy!$C$36:$C$90,"&lt;&gt;")&lt;&gt;1),"",INDEX(Strategy!$C$36:$C$90,MATCH(P169,Strategy!$B$36:$B$90,0)))</x:f>
        <x:v>1</x:v>
      </x:c>
      <x:c r="U169" s="366" t="n">
        <x:f>IF(OR(COUNTIFS(Strategy!$B$36:$B$90,P169)&lt;&gt;1,COUNTIFS(Strategy!$B$36:$B$90,P169,Strategy!$D$36:$D$90,"&lt;&gt;")&lt;&gt;1),"",INDEX(Strategy!$D$36:$D$90,MATCH(P169,Strategy!$B$36:$B$90,0)))</x:f>
        <x:v>5</x:v>
      </x:c>
      <x:c r="V169" s="366" t="n">
        <x:f>IF(OR(COUNTIFS(Strategy!$B$36:$B$90,P169)&lt;&gt;1,COUNTIFS(Strategy!$B$36:$B$90,P169,Strategy!$E$36:$E$90,"&lt;&gt;")&lt;&gt;1),"",INDEX(Strategy!$E$36:$E$90,MATCH(P169,Strategy!$B$36:$B$90,0)))</x:f>
        <x:v>120</x:v>
      </x:c>
      <x:c r="W169" s="359" t="str">
        <x:f>IF(OR(COUNTIFS(Strategy!$B$36:$B$90,P169)&lt;&gt;1,COUNTIFS(Strategy!$B$36:$B$90,P169,Strategy!$F$36:$F$90,"&lt;&gt;")&lt;&gt;1),"",INDEX(Strategy!$F$36:$F$90,MATCH(P169,Strategy!$B$36:$B$90,0)))</x:f>
        <x:v>seconds</x:v>
      </x:c>
      <x:c r="X169" s="369" t="n">
        <x:f>IF(OR(COUNT(R169:V169)&lt;&gt;5,Q169&lt;&gt;W169,T169&lt;0,T169&gt;10,U169&lt;=0,V169&lt;=0,R169&lt;0,R169&lt;&gt;INT(R169),S169&lt;=0),"",T169*R169*S169/(U169*V169))</x:f>
        <x:v>0.25</x:v>
      </x:c>
      <x:c r="Y169" s="373" t="str">
        <x:v>Core: one 30-second work interval per round; rest excluded.</x:v>
      </x:c>
    </x:row>
    <x:row r="170" ht="15" hidden="0" customHeight="1">
      <x:c r="N170" s="364" t="n">
        <x:f>Daily!A35</x:f>
        <x:v>46377.5</x:v>
      </x:c>
      <x:c r="O170" s="361" t="str">
        <x:f>Daily!D35</x:f>
        <x:v>Skill A + interval circuit</x:v>
      </x:c>
      <x:c r="P170" s="372" t="str">
        <x:v>Weighted squat</x:v>
      </x:c>
      <x:c r="Q170" s="362" t="str">
        <x:v>seconds</x:v>
      </x:c>
      <x:c r="R170" s="367" t="n">
        <x:v>5</x:v>
      </x:c>
      <x:c r="S170" s="367" t="n">
        <x:v>30</x:v>
      </x:c>
      <x:c r="T170" s="368" t="n">
        <x:f>IF(OR(COUNTIFS(Strategy!$B$36:$B$90,P170)&lt;&gt;1,COUNTIFS(Strategy!$B$36:$B$90,P170,Strategy!$C$36:$C$90,"&lt;&gt;")&lt;&gt;1),"",INDEX(Strategy!$C$36:$C$90,MATCH(P170,Strategy!$B$36:$B$90,0)))</x:f>
        <x:v>1</x:v>
      </x:c>
      <x:c r="U170" s="368" t="n">
        <x:f>IF(OR(COUNTIFS(Strategy!$B$36:$B$90,P170)&lt;&gt;1,COUNTIFS(Strategy!$B$36:$B$90,P170,Strategy!$D$36:$D$90,"&lt;&gt;")&lt;&gt;1),"",INDEX(Strategy!$D$36:$D$90,MATCH(P170,Strategy!$B$36:$B$90,0)))</x:f>
        <x:v>5</x:v>
      </x:c>
      <x:c r="V170" s="368" t="n">
        <x:f>IF(OR(COUNTIFS(Strategy!$B$36:$B$90,P170)&lt;&gt;1,COUNTIFS(Strategy!$B$36:$B$90,P170,Strategy!$E$36:$E$90,"&lt;&gt;")&lt;&gt;1),"",INDEX(Strategy!$E$36:$E$90,MATCH(P170,Strategy!$B$36:$B$90,0)))</x:f>
        <x:v>120</x:v>
      </x:c>
      <x:c r="W170" s="361" t="str">
        <x:f>IF(OR(COUNTIFS(Strategy!$B$36:$B$90,P170)&lt;&gt;1,COUNTIFS(Strategy!$B$36:$B$90,P170,Strategy!$F$36:$F$90,"&lt;&gt;")&lt;&gt;1),"",INDEX(Strategy!$F$36:$F$90,MATCH(P170,Strategy!$B$36:$B$90,0)))</x:f>
        <x:v>seconds</x:v>
      </x:c>
      <x:c r="X170" s="370" t="n">
        <x:f>IF(OR(COUNT(R170:V170)&lt;&gt;5,Q170&lt;&gt;W170,T170&lt;0,T170&gt;10,U170&lt;=0,V170&lt;=0,R170&lt;0,R170&lt;&gt;INT(R170),S170&lt;=0),"",T170*R170*S170/(U170*V170))</x:f>
        <x:v>0.25</x:v>
      </x:c>
      <x:c r="Y170" s="374" t="str">
        <x:v>Core: one 30-second work interval per round; rest excluded.</x:v>
      </x:c>
    </x:row>
    <x:row r="171" ht="15" hidden="0" customHeight="1">
      <x:c r="N171" s="363" t="n">
        <x:f>Daily!A35</x:f>
        <x:v>46377.5</x:v>
      </x:c>
      <x:c r="O171" s="359" t="str">
        <x:f>Daily!D35</x:f>
        <x:v>Skill A + interval circuit</x:v>
      </x:c>
      <x:c r="P171" s="371" t="str">
        <x:v>Upside-down hanging shoulder/ab work</x:v>
      </x:c>
      <x:c r="Q171" s="360" t="str">
        <x:v>seconds</x:v>
      </x:c>
      <x:c r="R171" s="365" t="n">
        <x:v>5</x:v>
      </x:c>
      <x:c r="S171" s="365" t="n">
        <x:v>30</x:v>
      </x:c>
      <x:c r="T171" s="366" t="n">
        <x:f>IF(OR(COUNTIFS(Strategy!$B$36:$B$90,P171)&lt;&gt;1,COUNTIFS(Strategy!$B$36:$B$90,P171,Strategy!$C$36:$C$90,"&lt;&gt;")&lt;&gt;1),"",INDEX(Strategy!$C$36:$C$90,MATCH(P171,Strategy!$B$36:$B$90,0)))</x:f>
        <x:v>1</x:v>
      </x:c>
      <x:c r="U171" s="366" t="n">
        <x:f>IF(OR(COUNTIFS(Strategy!$B$36:$B$90,P171)&lt;&gt;1,COUNTIFS(Strategy!$B$36:$B$90,P171,Strategy!$D$36:$D$90,"&lt;&gt;")&lt;&gt;1),"",INDEX(Strategy!$D$36:$D$90,MATCH(P171,Strategy!$B$36:$B$90,0)))</x:f>
        <x:v>5</x:v>
      </x:c>
      <x:c r="V171" s="366" t="n">
        <x:f>IF(OR(COUNTIFS(Strategy!$B$36:$B$90,P171)&lt;&gt;1,COUNTIFS(Strategy!$B$36:$B$90,P171,Strategy!$E$36:$E$90,"&lt;&gt;")&lt;&gt;1),"",INDEX(Strategy!$E$36:$E$90,MATCH(P171,Strategy!$B$36:$B$90,0)))</x:f>
        <x:v>120</x:v>
      </x:c>
      <x:c r="W171" s="359" t="str">
        <x:f>IF(OR(COUNTIFS(Strategy!$B$36:$B$90,P171)&lt;&gt;1,COUNTIFS(Strategy!$B$36:$B$90,P171,Strategy!$F$36:$F$90,"&lt;&gt;")&lt;&gt;1),"",INDEX(Strategy!$F$36:$F$90,MATCH(P171,Strategy!$B$36:$B$90,0)))</x:f>
        <x:v>seconds</x:v>
      </x:c>
      <x:c r="X171" s="369" t="n">
        <x:f>IF(OR(COUNT(R171:V171)&lt;&gt;5,Q171&lt;&gt;W171,T171&lt;0,T171&gt;10,U171&lt;=0,V171&lt;=0,R171&lt;0,R171&lt;&gt;INT(R171),S171&lt;=0),"",T171*R171*S171/(U171*V171))</x:f>
        <x:v>0.25</x:v>
      </x:c>
      <x:c r="Y171" s="373" t="str">
        <x:v>Core: one 30-second work interval per round; rest excluded.</x:v>
      </x:c>
    </x:row>
    <x:row r="172" ht="15" hidden="0" customHeight="1">
      <x:c r="N172" s="364" t="n">
        <x:f>Daily!A36</x:f>
        <x:v>46378.5</x:v>
      </x:c>
      <x:c r="O172" s="361" t="str">
        <x:f>Daily!D36</x:f>
        <x:v>Handstand technique</x:v>
      </x:c>
      <x:c r="P172" s="372" t="str">
        <x:v>Wrist/shoulder mobility</x:v>
      </x:c>
      <x:c r="Q172" s="362" t="str">
        <x:v>seconds</x:v>
      </x:c>
      <x:c r="R172" s="367" t="n">
        <x:v>1</x:v>
      </x:c>
      <x:c r="S172" s="367" t="n">
        <x:v>120</x:v>
      </x:c>
      <x:c r="T172" s="368" t="n">
        <x:f>IF(OR(COUNTIFS(Strategy!$B$36:$B$90,P172)&lt;&gt;1,COUNTIFS(Strategy!$B$36:$B$90,P172,Strategy!$C$36:$C$90,"&lt;&gt;")&lt;&gt;1),"",INDEX(Strategy!$C$36:$C$90,MATCH(P172,Strategy!$B$36:$B$90,0)))</x:f>
        <x:v>1</x:v>
      </x:c>
      <x:c r="U172" s="368" t="n">
        <x:f>IF(OR(COUNTIFS(Strategy!$B$36:$B$90,P172)&lt;&gt;1,COUNTIFS(Strategy!$B$36:$B$90,P172,Strategy!$D$36:$D$90,"&lt;&gt;")&lt;&gt;1),"",INDEX(Strategy!$D$36:$D$90,MATCH(P172,Strategy!$B$36:$B$90,0)))</x:f>
        <x:v>3</x:v>
      </x:c>
      <x:c r="V172" s="368" t="n">
        <x:f>IF(OR(COUNTIFS(Strategy!$B$36:$B$90,P172)&lt;&gt;1,COUNTIFS(Strategy!$B$36:$B$90,P172,Strategy!$E$36:$E$90,"&lt;&gt;")&lt;&gt;1),"",INDEX(Strategy!$E$36:$E$90,MATCH(P172,Strategy!$B$36:$B$90,0)))</x:f>
        <x:v>60</x:v>
      </x:c>
      <x:c r="W172" s="361" t="str">
        <x:f>IF(OR(COUNTIFS(Strategy!$B$36:$B$90,P172)&lt;&gt;1,COUNTIFS(Strategy!$B$36:$B$90,P172,Strategy!$F$36:$F$90,"&lt;&gt;")&lt;&gt;1),"",INDEX(Strategy!$F$36:$F$90,MATCH(P172,Strategy!$B$36:$B$90,0)))</x:f>
        <x:v>seconds</x:v>
      </x:c>
      <x:c r="X172" s="370" t="n">
        <x:f>IF(OR(COUNT(R172:V172)&lt;&gt;5,Q172&lt;&gt;W172,T172&lt;0,T172&gt;10,U172&lt;=0,V172&lt;=0,R172&lt;0,R172&lt;&gt;INT(R172),S172&lt;=0),"",T172*R172*S172/(U172*V172))</x:f>
        <x:v>0.6666666666666666</x:v>
      </x:c>
      <x:c r="Y172" s="374" t="str"/>
    </x:row>
    <x:row r="173" ht="15" hidden="0" customHeight="1">
      <x:c r="N173" s="363" t="n">
        <x:f>Daily!A36</x:f>
        <x:v>46378.5</x:v>
      </x:c>
      <x:c r="O173" s="359" t="str">
        <x:f>Daily!D36</x:f>
        <x:v>Handstand technique</x:v>
      </x:c>
      <x:c r="P173" s="371" t="str">
        <x:v>Easy chest-to-wall hold</x:v>
      </x:c>
      <x:c r="Q173" s="360" t="str">
        <x:v>seconds</x:v>
      </x:c>
      <x:c r="R173" s="365" t="n">
        <x:v>3</x:v>
      </x:c>
      <x:c r="S173" s="365" t="n">
        <x:v>15</x:v>
      </x:c>
      <x:c r="T173" s="366" t="n">
        <x:f>IF(OR(COUNTIFS(Strategy!$B$36:$B$90,P173)&lt;&gt;1,COUNTIFS(Strategy!$B$36:$B$90,P173,Strategy!$C$36:$C$90,"&lt;&gt;")&lt;&gt;1),"",INDEX(Strategy!$C$36:$C$90,MATCH(P173,Strategy!$B$36:$B$90,0)))</x:f>
        <x:v>1</x:v>
      </x:c>
      <x:c r="U173" s="366" t="n">
        <x:f>IF(OR(COUNTIFS(Strategy!$B$36:$B$90,P173)&lt;&gt;1,COUNTIFS(Strategy!$B$36:$B$90,P173,Strategy!$D$36:$D$90,"&lt;&gt;")&lt;&gt;1),"",INDEX(Strategy!$D$36:$D$90,MATCH(P173,Strategy!$B$36:$B$90,0)))</x:f>
        <x:v>3</x:v>
      </x:c>
      <x:c r="V173" s="366" t="n">
        <x:f>IF(OR(COUNTIFS(Strategy!$B$36:$B$90,P173)&lt;&gt;1,COUNTIFS(Strategy!$B$36:$B$90,P173,Strategy!$E$36:$E$90,"&lt;&gt;")&lt;&gt;1),"",INDEX(Strategy!$E$36:$E$90,MATCH(P173,Strategy!$B$36:$B$90,0)))</x:f>
        <x:v>60</x:v>
      </x:c>
      <x:c r="W173" s="359" t="str">
        <x:f>IF(OR(COUNTIFS(Strategy!$B$36:$B$90,P173)&lt;&gt;1,COUNTIFS(Strategy!$B$36:$B$90,P173,Strategy!$F$36:$F$90,"&lt;&gt;")&lt;&gt;1),"",INDEX(Strategy!$F$36:$F$90,MATCH(P173,Strategy!$B$36:$B$90,0)))</x:f>
        <x:v>seconds</x:v>
      </x:c>
      <x:c r="X173" s="369" t="n">
        <x:f>IF(OR(COUNT(R173:V173)&lt;&gt;5,Q173&lt;&gt;W173,T173&lt;0,T173&gt;10,U173&lt;=0,V173&lt;=0,R173&lt;0,R173&lt;&gt;INT(R173),S173&lt;=0),"",T173*R173*S173/(U173*V173))</x:f>
        <x:v>0.25</x:v>
      </x:c>
      <x:c r="Y173" s="373" t="str"/>
    </x:row>
    <x:row r="174" ht="15" hidden="0" customHeight="1">
      <x:c r="N174" s="364" t="n">
        <x:f>Daily!A36</x:f>
        <x:v>46378.5</x:v>
      </x:c>
      <x:c r="O174" s="361" t="str">
        <x:f>Daily!D36</x:f>
        <x:v>Handstand technique</x:v>
      </x:c>
      <x:c r="P174" s="372" t="str">
        <x:v>Wall handstand line drill</x:v>
      </x:c>
      <x:c r="Q174" s="362" t="str">
        <x:v>seconds</x:v>
      </x:c>
      <x:c r="R174" s="367" t="n">
        <x:v>2</x:v>
      </x:c>
      <x:c r="S174" s="367" t="n">
        <x:v>15</x:v>
      </x:c>
      <x:c r="T174" s="368" t="n">
        <x:f>IF(OR(COUNTIFS(Strategy!$B$36:$B$90,P174)&lt;&gt;1,COUNTIFS(Strategy!$B$36:$B$90,P174,Strategy!$C$36:$C$90,"&lt;&gt;")&lt;&gt;1),"",INDEX(Strategy!$C$36:$C$90,MATCH(P174,Strategy!$B$36:$B$90,0)))</x:f>
        <x:v>1</x:v>
      </x:c>
      <x:c r="U174" s="368" t="n">
        <x:f>IF(OR(COUNTIFS(Strategy!$B$36:$B$90,P174)&lt;&gt;1,COUNTIFS(Strategy!$B$36:$B$90,P174,Strategy!$D$36:$D$90,"&lt;&gt;")&lt;&gt;1),"",INDEX(Strategy!$D$36:$D$90,MATCH(P174,Strategy!$B$36:$B$90,0)))</x:f>
        <x:v>3</x:v>
      </x:c>
      <x:c r="V174" s="368" t="n">
        <x:f>IF(OR(COUNTIFS(Strategy!$B$36:$B$90,P174)&lt;&gt;1,COUNTIFS(Strategy!$B$36:$B$90,P174,Strategy!$E$36:$E$90,"&lt;&gt;")&lt;&gt;1),"",INDEX(Strategy!$E$36:$E$90,MATCH(P174,Strategy!$B$36:$B$90,0)))</x:f>
        <x:v>60</x:v>
      </x:c>
      <x:c r="W174" s="361" t="str">
        <x:f>IF(OR(COUNTIFS(Strategy!$B$36:$B$90,P174)&lt;&gt;1,COUNTIFS(Strategy!$B$36:$B$90,P174,Strategy!$F$36:$F$90,"&lt;&gt;")&lt;&gt;1),"",INDEX(Strategy!$F$36:$F$90,MATCH(P174,Strategy!$B$36:$B$90,0)))</x:f>
        <x:v>seconds</x:v>
      </x:c>
      <x:c r="X174" s="370" t="n">
        <x:f>IF(OR(COUNT(R174:V174)&lt;&gt;5,Q174&lt;&gt;W174,T174&lt;0,T174&gt;10,U174&lt;=0,V174&lt;=0,R174&lt;0,R174&lt;&gt;INT(R174),S174&lt;=0),"",T174*R174*S174/(U174*V174))</x:f>
        <x:v>0.16666666666666666</x:v>
      </x:c>
      <x:c r="Y174" s="374" t="str"/>
    </x:row>
    <x:row r="175" ht="15" hidden="0" customHeight="1">
      <x:c r="N175" s="363" t="n">
        <x:f>Daily!A37</x:f>
        <x:v>46380.5</x:v>
      </x:c>
      <x:c r="O175" s="359" t="str">
        <x:f>Daily!D37</x:f>
        <x:v>Skill B + circuit</x:v>
      </x:c>
      <x:c r="P175" s="371" t="str">
        <x:v>Full-ROM wall HSPU negative</x:v>
      </x:c>
      <x:c r="Q175" s="360" t="str">
        <x:v>reps</x:v>
      </x:c>
      <x:c r="R175" s="365" t="n">
        <x:v>3</x:v>
      </x:c>
      <x:c r="S175" s="365" t="n">
        <x:v>1</x:v>
      </x:c>
      <x:c r="T175" s="366" t="n">
        <x:f>IF(OR(COUNTIFS(Strategy!$B$36:$B$90,P175)&lt;&gt;1,COUNTIFS(Strategy!$B$36:$B$90,P175,Strategy!$C$36:$C$90,"&lt;&gt;")&lt;&gt;1),"",INDEX(Strategy!$C$36:$C$90,MATCH(P175,Strategy!$B$36:$B$90,0)))</x:f>
        <x:v>7</x:v>
      </x:c>
      <x:c r="U175" s="366" t="n">
        <x:f>IF(OR(COUNTIFS(Strategy!$B$36:$B$90,P175)&lt;&gt;1,COUNTIFS(Strategy!$B$36:$B$90,P175,Strategy!$D$36:$D$90,"&lt;&gt;")&lt;&gt;1),"",INDEX(Strategy!$D$36:$D$90,MATCH(P175,Strategy!$B$36:$B$90,0)))</x:f>
        <x:v>3</x:v>
      </x:c>
      <x:c r="V175" s="366" t="n">
        <x:f>IF(OR(COUNTIFS(Strategy!$B$36:$B$90,P175)&lt;&gt;1,COUNTIFS(Strategy!$B$36:$B$90,P175,Strategy!$E$36:$E$90,"&lt;&gt;")&lt;&gt;1),"",INDEX(Strategy!$E$36:$E$90,MATCH(P175,Strategy!$B$36:$B$90,0)))</x:f>
        <x:v>10</x:v>
      </x:c>
      <x:c r="W175" s="359" t="str">
        <x:f>IF(OR(COUNTIFS(Strategy!$B$36:$B$90,P175)&lt;&gt;1,COUNTIFS(Strategy!$B$36:$B$90,P175,Strategy!$F$36:$F$90,"&lt;&gt;")&lt;&gt;1),"",INDEX(Strategy!$F$36:$F$90,MATCH(P175,Strategy!$B$36:$B$90,0)))</x:f>
        <x:v>reps</x:v>
      </x:c>
      <x:c r="X175" s="369" t="n">
        <x:f>IF(OR(COUNT(R175:V175)&lt;&gt;5,Q175&lt;&gt;W175,T175&lt;0,T175&gt;10,U175&lt;=0,V175&lt;=0,R175&lt;0,R175&lt;&gt;INT(R175),S175&lt;=0),"",T175*R175*S175/(U175*V175))</x:f>
        <x:v>0.7</x:v>
      </x:c>
      <x:c r="Y175" s="373" t="str"/>
    </x:row>
    <x:row r="176" ht="15" hidden="0" customHeight="1">
      <x:c r="N176" s="364" t="n">
        <x:f>Daily!A37</x:f>
        <x:v>46380.5</x:v>
      </x:c>
      <x:c r="O176" s="361" t="str">
        <x:f>Daily!D37</x:f>
        <x:v>Skill B + circuit</x:v>
      </x:c>
      <x:c r="P176" s="372" t="str">
        <x:v>Partial wall HSPU</x:v>
      </x:c>
      <x:c r="Q176" s="362" t="str">
        <x:v>reps</x:v>
      </x:c>
      <x:c r="R176" s="367" t="n">
        <x:v>3</x:v>
      </x:c>
      <x:c r="S176" s="367" t="n">
        <x:v>3</x:v>
      </x:c>
      <x:c r="T176" s="368" t="n">
        <x:f>IF(OR(COUNTIFS(Strategy!$B$36:$B$90,P176)&lt;&gt;1,COUNTIFS(Strategy!$B$36:$B$90,P176,Strategy!$C$36:$C$90,"&lt;&gt;")&lt;&gt;1),"",INDEX(Strategy!$C$36:$C$90,MATCH(P176,Strategy!$B$36:$B$90,0)))</x:f>
        <x:v>4</x:v>
      </x:c>
      <x:c r="U176" s="368" t="n">
        <x:f>IF(OR(COUNTIFS(Strategy!$B$36:$B$90,P176)&lt;&gt;1,COUNTIFS(Strategy!$B$36:$B$90,P176,Strategy!$D$36:$D$90,"&lt;&gt;")&lt;&gt;1),"",INDEX(Strategy!$D$36:$D$90,MATCH(P176,Strategy!$B$36:$B$90,0)))</x:f>
        <x:v>3</x:v>
      </x:c>
      <x:c r="V176" s="368" t="n">
        <x:f>IF(OR(COUNTIFS(Strategy!$B$36:$B$90,P176)&lt;&gt;1,COUNTIFS(Strategy!$B$36:$B$90,P176,Strategy!$E$36:$E$90,"&lt;&gt;")&lt;&gt;1),"",INDEX(Strategy!$E$36:$E$90,MATCH(P176,Strategy!$B$36:$B$90,0)))</x:f>
        <x:v>10</x:v>
      </x:c>
      <x:c r="W176" s="361" t="str">
        <x:f>IF(OR(COUNTIFS(Strategy!$B$36:$B$90,P176)&lt;&gt;1,COUNTIFS(Strategy!$B$36:$B$90,P176,Strategy!$F$36:$F$90,"&lt;&gt;")&lt;&gt;1),"",INDEX(Strategy!$F$36:$F$90,MATCH(P176,Strategy!$B$36:$B$90,0)))</x:f>
        <x:v>reps</x:v>
      </x:c>
      <x:c r="X176" s="370" t="n">
        <x:f>IF(OR(COUNT(R176:V176)&lt;&gt;5,Q176&lt;&gt;W176,T176&lt;0,T176&gt;10,U176&lt;=0,V176&lt;=0,R176&lt;0,R176&lt;&gt;INT(R176),S176&lt;=0),"",T176*R176*S176/(U176*V176))</x:f>
        <x:v>1.2</x:v>
      </x:c>
      <x:c r="Y176" s="374" t="str"/>
    </x:row>
    <x:row r="177" ht="15" hidden="0" customHeight="1">
      <x:c r="N177" s="363" t="n">
        <x:f>Daily!A37</x:f>
        <x:v>46380.5</x:v>
      </x:c>
      <x:c r="O177" s="359" t="str">
        <x:f>Daily!D37</x:f>
        <x:v>Skill B + circuit</x:v>
      </x:c>
      <x:c r="P177" s="371" t="str">
        <x:v>Unassisted pistol</x:v>
      </x:c>
      <x:c r="Q177" s="360" t="str">
        <x:v>reps/leg</x:v>
      </x:c>
      <x:c r="R177" s="365" t="n">
        <x:v>3</x:v>
      </x:c>
      <x:c r="S177" s="365" t="n">
        <x:v>1</x:v>
      </x:c>
      <x:c r="T177" s="366" t="n">
        <x:f>IF(OR(COUNTIFS(Strategy!$B$36:$B$90,P177)&lt;&gt;1,COUNTIFS(Strategy!$B$36:$B$90,P177,Strategy!$C$36:$C$90,"&lt;&gt;")&lt;&gt;1),"",INDEX(Strategy!$C$36:$C$90,MATCH(P177,Strategy!$B$36:$B$90,0)))</x:f>
        <x:v>2</x:v>
      </x:c>
      <x:c r="U177" s="366" t="n">
        <x:f>IF(OR(COUNTIFS(Strategy!$B$36:$B$90,P177)&lt;&gt;1,COUNTIFS(Strategy!$B$36:$B$90,P177,Strategy!$D$36:$D$90,"&lt;&gt;")&lt;&gt;1),"",INDEX(Strategy!$D$36:$D$90,MATCH(P177,Strategy!$B$36:$B$90,0)))</x:f>
        <x:v>3</x:v>
      </x:c>
      <x:c r="V177" s="366" t="n">
        <x:f>IF(OR(COUNTIFS(Strategy!$B$36:$B$90,P177)&lt;&gt;1,COUNTIFS(Strategy!$B$36:$B$90,P177,Strategy!$E$36:$E$90,"&lt;&gt;")&lt;&gt;1),"",INDEX(Strategy!$E$36:$E$90,MATCH(P177,Strategy!$B$36:$B$90,0)))</x:f>
        <x:v>10</x:v>
      </x:c>
      <x:c r="W177" s="359" t="str">
        <x:f>IF(OR(COUNTIFS(Strategy!$B$36:$B$90,P177)&lt;&gt;1,COUNTIFS(Strategy!$B$36:$B$90,P177,Strategy!$F$36:$F$90,"&lt;&gt;")&lt;&gt;1),"",INDEX(Strategy!$F$36:$F$90,MATCH(P177,Strategy!$B$36:$B$90,0)))</x:f>
        <x:v>reps/leg</x:v>
      </x:c>
      <x:c r="X177" s="369" t="n">
        <x:f>IF(OR(COUNT(R177:V177)&lt;&gt;5,Q177&lt;&gt;W177,T177&lt;0,T177&gt;10,U177&lt;=0,V177&lt;=0,R177&lt;0,R177&lt;&gt;INT(R177),S177&lt;=0),"",T177*R177*S177/(U177*V177))</x:f>
        <x:v>0.2</x:v>
      </x:c>
      <x:c r="Y177" s="373" t="str"/>
    </x:row>
    <x:row r="178" ht="15" hidden="0" customHeight="1">
      <x:c r="N178" s="364" t="n">
        <x:f>Daily!A37</x:f>
        <x:v>46380.5</x:v>
      </x:c>
      <x:c r="O178" s="361" t="str">
        <x:f>Daily!D37</x:f>
        <x:v>Skill B + circuit</x:v>
      </x:c>
      <x:c r="P178" s="372" t="str">
        <x:v>Pull-up</x:v>
      </x:c>
      <x:c r="Q178" s="362" t="str">
        <x:v>seconds</x:v>
      </x:c>
      <x:c r="R178" s="367" t="n">
        <x:v>5</x:v>
      </x:c>
      <x:c r="S178" s="367" t="n">
        <x:v>30</x:v>
      </x:c>
      <x:c r="T178" s="368" t="n">
        <x:f>IF(OR(COUNTIFS(Strategy!$B$36:$B$90,P178)&lt;&gt;1,COUNTIFS(Strategy!$B$36:$B$90,P178,Strategy!$C$36:$C$90,"&lt;&gt;")&lt;&gt;1),"",INDEX(Strategy!$C$36:$C$90,MATCH(P178,Strategy!$B$36:$B$90,0)))</x:f>
        <x:v>1</x:v>
      </x:c>
      <x:c r="U178" s="368" t="n">
        <x:f>IF(OR(COUNTIFS(Strategy!$B$36:$B$90,P178)&lt;&gt;1,COUNTIFS(Strategy!$B$36:$B$90,P178,Strategy!$D$36:$D$90,"&lt;&gt;")&lt;&gt;1),"",INDEX(Strategy!$D$36:$D$90,MATCH(P178,Strategy!$B$36:$B$90,0)))</x:f>
        <x:v>5</x:v>
      </x:c>
      <x:c r="V178" s="368" t="n">
        <x:f>IF(OR(COUNTIFS(Strategy!$B$36:$B$90,P178)&lt;&gt;1,COUNTIFS(Strategy!$B$36:$B$90,P178,Strategy!$E$36:$E$90,"&lt;&gt;")&lt;&gt;1),"",INDEX(Strategy!$E$36:$E$90,MATCH(P178,Strategy!$B$36:$B$90,0)))</x:f>
        <x:v>120</x:v>
      </x:c>
      <x:c r="W178" s="361" t="str">
        <x:f>IF(OR(COUNTIFS(Strategy!$B$36:$B$90,P178)&lt;&gt;1,COUNTIFS(Strategy!$B$36:$B$90,P178,Strategy!$F$36:$F$90,"&lt;&gt;")&lt;&gt;1),"",INDEX(Strategy!$F$36:$F$90,MATCH(P178,Strategy!$B$36:$B$90,0)))</x:f>
        <x:v>seconds</x:v>
      </x:c>
      <x:c r="X178" s="370" t="n">
        <x:f>IF(OR(COUNT(R178:V178)&lt;&gt;5,Q178&lt;&gt;W178,T178&lt;0,T178&gt;10,U178&lt;=0,V178&lt;=0,R178&lt;0,R178&lt;&gt;INT(R178),S178&lt;=0),"",T178*R178*S178/(U178*V178))</x:f>
        <x:v>0.25</x:v>
      </x:c>
      <x:c r="Y178" s="374" t="str">
        <x:v>Core: one 30-second work interval per round; rest excluded.</x:v>
      </x:c>
    </x:row>
    <x:row r="179" ht="15" hidden="0" customHeight="1">
      <x:c r="N179" s="363" t="n">
        <x:f>Daily!A37</x:f>
        <x:v>46380.5</x:v>
      </x:c>
      <x:c r="O179" s="359" t="str">
        <x:f>Daily!D37</x:f>
        <x:v>Skill B + circuit</x:v>
      </x:c>
      <x:c r="P179" s="371" t="str">
        <x:v>Push-up</x:v>
      </x:c>
      <x:c r="Q179" s="360" t="str">
        <x:v>seconds</x:v>
      </x:c>
      <x:c r="R179" s="365" t="n">
        <x:v>5</x:v>
      </x:c>
      <x:c r="S179" s="365" t="n">
        <x:v>30</x:v>
      </x:c>
      <x:c r="T179" s="366" t="n">
        <x:f>IF(OR(COUNTIFS(Strategy!$B$36:$B$90,P179)&lt;&gt;1,COUNTIFS(Strategy!$B$36:$B$90,P179,Strategy!$C$36:$C$90,"&lt;&gt;")&lt;&gt;1),"",INDEX(Strategy!$C$36:$C$90,MATCH(P179,Strategy!$B$36:$B$90,0)))</x:f>
        <x:v>1</x:v>
      </x:c>
      <x:c r="U179" s="366" t="n">
        <x:f>IF(OR(COUNTIFS(Strategy!$B$36:$B$90,P179)&lt;&gt;1,COUNTIFS(Strategy!$B$36:$B$90,P179,Strategy!$D$36:$D$90,"&lt;&gt;")&lt;&gt;1),"",INDEX(Strategy!$D$36:$D$90,MATCH(P179,Strategy!$B$36:$B$90,0)))</x:f>
        <x:v>5</x:v>
      </x:c>
      <x:c r="V179" s="366" t="n">
        <x:f>IF(OR(COUNTIFS(Strategy!$B$36:$B$90,P179)&lt;&gt;1,COUNTIFS(Strategy!$B$36:$B$90,P179,Strategy!$E$36:$E$90,"&lt;&gt;")&lt;&gt;1),"",INDEX(Strategy!$E$36:$E$90,MATCH(P179,Strategy!$B$36:$B$90,0)))</x:f>
        <x:v>120</x:v>
      </x:c>
      <x:c r="W179" s="359" t="str">
        <x:f>IF(OR(COUNTIFS(Strategy!$B$36:$B$90,P179)&lt;&gt;1,COUNTIFS(Strategy!$B$36:$B$90,P179,Strategy!$F$36:$F$90,"&lt;&gt;")&lt;&gt;1),"",INDEX(Strategy!$F$36:$F$90,MATCH(P179,Strategy!$B$36:$B$90,0)))</x:f>
        <x:v>seconds</x:v>
      </x:c>
      <x:c r="X179" s="369" t="n">
        <x:f>IF(OR(COUNT(R179:V179)&lt;&gt;5,Q179&lt;&gt;W179,T179&lt;0,T179&gt;10,U179&lt;=0,V179&lt;=0,R179&lt;0,R179&lt;&gt;INT(R179),S179&lt;=0),"",T179*R179*S179/(U179*V179))</x:f>
        <x:v>0.25</x:v>
      </x:c>
      <x:c r="Y179" s="373" t="str">
        <x:v>Core: one 30-second work interval per round; rest excluded.</x:v>
      </x:c>
    </x:row>
    <x:row r="180" ht="15" hidden="0" customHeight="1">
      <x:c r="N180" s="364" t="n">
        <x:f>Daily!A37</x:f>
        <x:v>46380.5</x:v>
      </x:c>
      <x:c r="O180" s="361" t="str">
        <x:f>Daily!D37</x:f>
        <x:v>Skill B + circuit</x:v>
      </x:c>
      <x:c r="P180" s="372" t="str">
        <x:v>Weighted squat</x:v>
      </x:c>
      <x:c r="Q180" s="362" t="str">
        <x:v>seconds</x:v>
      </x:c>
      <x:c r="R180" s="367" t="n">
        <x:v>5</x:v>
      </x:c>
      <x:c r="S180" s="367" t="n">
        <x:v>30</x:v>
      </x:c>
      <x:c r="T180" s="368" t="n">
        <x:f>IF(OR(COUNTIFS(Strategy!$B$36:$B$90,P180)&lt;&gt;1,COUNTIFS(Strategy!$B$36:$B$90,P180,Strategy!$C$36:$C$90,"&lt;&gt;")&lt;&gt;1),"",INDEX(Strategy!$C$36:$C$90,MATCH(P180,Strategy!$B$36:$B$90,0)))</x:f>
        <x:v>1</x:v>
      </x:c>
      <x:c r="U180" s="368" t="n">
        <x:f>IF(OR(COUNTIFS(Strategy!$B$36:$B$90,P180)&lt;&gt;1,COUNTIFS(Strategy!$B$36:$B$90,P180,Strategy!$D$36:$D$90,"&lt;&gt;")&lt;&gt;1),"",INDEX(Strategy!$D$36:$D$90,MATCH(P180,Strategy!$B$36:$B$90,0)))</x:f>
        <x:v>5</x:v>
      </x:c>
      <x:c r="V180" s="368" t="n">
        <x:f>IF(OR(COUNTIFS(Strategy!$B$36:$B$90,P180)&lt;&gt;1,COUNTIFS(Strategy!$B$36:$B$90,P180,Strategy!$E$36:$E$90,"&lt;&gt;")&lt;&gt;1),"",INDEX(Strategy!$E$36:$E$90,MATCH(P180,Strategy!$B$36:$B$90,0)))</x:f>
        <x:v>120</x:v>
      </x:c>
      <x:c r="W180" s="361" t="str">
        <x:f>IF(OR(COUNTIFS(Strategy!$B$36:$B$90,P180)&lt;&gt;1,COUNTIFS(Strategy!$B$36:$B$90,P180,Strategy!$F$36:$F$90,"&lt;&gt;")&lt;&gt;1),"",INDEX(Strategy!$F$36:$F$90,MATCH(P180,Strategy!$B$36:$B$90,0)))</x:f>
        <x:v>seconds</x:v>
      </x:c>
      <x:c r="X180" s="370" t="n">
        <x:f>IF(OR(COUNT(R180:V180)&lt;&gt;5,Q180&lt;&gt;W180,T180&lt;0,T180&gt;10,U180&lt;=0,V180&lt;=0,R180&lt;0,R180&lt;&gt;INT(R180),S180&lt;=0),"",T180*R180*S180/(U180*V180))</x:f>
        <x:v>0.25</x:v>
      </x:c>
      <x:c r="Y180" s="374" t="str">
        <x:v>Core: one 30-second work interval per round; rest excluded.</x:v>
      </x:c>
    </x:row>
    <x:row r="181" ht="15" hidden="0" customHeight="1">
      <x:c r="N181" s="363" t="n">
        <x:f>Daily!A37</x:f>
        <x:v>46380.5</x:v>
      </x:c>
      <x:c r="O181" s="359" t="str">
        <x:f>Daily!D37</x:f>
        <x:v>Skill B + circuit</x:v>
      </x:c>
      <x:c r="P181" s="371" t="str">
        <x:v>Upside-down hanging shoulder/ab work</x:v>
      </x:c>
      <x:c r="Q181" s="360" t="str">
        <x:v>seconds</x:v>
      </x:c>
      <x:c r="R181" s="365" t="n">
        <x:v>5</x:v>
      </x:c>
      <x:c r="S181" s="365" t="n">
        <x:v>30</x:v>
      </x:c>
      <x:c r="T181" s="366" t="n">
        <x:f>IF(OR(COUNTIFS(Strategy!$B$36:$B$90,P181)&lt;&gt;1,COUNTIFS(Strategy!$B$36:$B$90,P181,Strategy!$C$36:$C$90,"&lt;&gt;")&lt;&gt;1),"",INDEX(Strategy!$C$36:$C$90,MATCH(P181,Strategy!$B$36:$B$90,0)))</x:f>
        <x:v>1</x:v>
      </x:c>
      <x:c r="U181" s="366" t="n">
        <x:f>IF(OR(COUNTIFS(Strategy!$B$36:$B$90,P181)&lt;&gt;1,COUNTIFS(Strategy!$B$36:$B$90,P181,Strategy!$D$36:$D$90,"&lt;&gt;")&lt;&gt;1),"",INDEX(Strategy!$D$36:$D$90,MATCH(P181,Strategy!$B$36:$B$90,0)))</x:f>
        <x:v>5</x:v>
      </x:c>
      <x:c r="V181" s="366" t="n">
        <x:f>IF(OR(COUNTIFS(Strategy!$B$36:$B$90,P181)&lt;&gt;1,COUNTIFS(Strategy!$B$36:$B$90,P181,Strategy!$E$36:$E$90,"&lt;&gt;")&lt;&gt;1),"",INDEX(Strategy!$E$36:$E$90,MATCH(P181,Strategy!$B$36:$B$90,0)))</x:f>
        <x:v>120</x:v>
      </x:c>
      <x:c r="W181" s="359" t="str">
        <x:f>IF(OR(COUNTIFS(Strategy!$B$36:$B$90,P181)&lt;&gt;1,COUNTIFS(Strategy!$B$36:$B$90,P181,Strategy!$F$36:$F$90,"&lt;&gt;")&lt;&gt;1),"",INDEX(Strategy!$F$36:$F$90,MATCH(P181,Strategy!$B$36:$B$90,0)))</x:f>
        <x:v>seconds</x:v>
      </x:c>
      <x:c r="X181" s="369" t="n">
        <x:f>IF(OR(COUNT(R181:V181)&lt;&gt;5,Q181&lt;&gt;W181,T181&lt;0,T181&gt;10,U181&lt;=0,V181&lt;=0,R181&lt;0,R181&lt;&gt;INT(R181),S181&lt;=0),"",T181*R181*S181/(U181*V181))</x:f>
        <x:v>0.25</x:v>
      </x:c>
      <x:c r="Y181" s="373" t="str">
        <x:v>Core: one 30-second work interval per round; rest excluded.</x:v>
      </x:c>
    </x:row>
    <x:row r="182" ht="15" hidden="0" customHeight="1">
      <x:c r="N182" s="364" t="n">
        <x:f>Daily!A38</x:f>
        <x:v>46382.5</x:v>
      </x:c>
      <x:c r="O182" s="361" t="str">
        <x:f>Daily!D38</x:f>
        <x:v>Skill micro-session</x:v>
      </x:c>
      <x:c r="P182" s="372" t="str">
        <x:v>Wrist/shoulder mobility</x:v>
      </x:c>
      <x:c r="Q182" s="362" t="str">
        <x:v>seconds</x:v>
      </x:c>
      <x:c r="R182" s="367" t="n">
        <x:v>1</x:v>
      </x:c>
      <x:c r="S182" s="367" t="n">
        <x:v>120</x:v>
      </x:c>
      <x:c r="T182" s="368" t="n">
        <x:f>IF(OR(COUNTIFS(Strategy!$B$36:$B$90,P182)&lt;&gt;1,COUNTIFS(Strategy!$B$36:$B$90,P182,Strategy!$C$36:$C$90,"&lt;&gt;")&lt;&gt;1),"",INDEX(Strategy!$C$36:$C$90,MATCH(P182,Strategy!$B$36:$B$90,0)))</x:f>
        <x:v>1</x:v>
      </x:c>
      <x:c r="U182" s="368" t="n">
        <x:f>IF(OR(COUNTIFS(Strategy!$B$36:$B$90,P182)&lt;&gt;1,COUNTIFS(Strategy!$B$36:$B$90,P182,Strategy!$D$36:$D$90,"&lt;&gt;")&lt;&gt;1),"",INDEX(Strategy!$D$36:$D$90,MATCH(P182,Strategy!$B$36:$B$90,0)))</x:f>
        <x:v>3</x:v>
      </x:c>
      <x:c r="V182" s="368" t="n">
        <x:f>IF(OR(COUNTIFS(Strategy!$B$36:$B$90,P182)&lt;&gt;1,COUNTIFS(Strategy!$B$36:$B$90,P182,Strategy!$E$36:$E$90,"&lt;&gt;")&lt;&gt;1),"",INDEX(Strategy!$E$36:$E$90,MATCH(P182,Strategy!$B$36:$B$90,0)))</x:f>
        <x:v>60</x:v>
      </x:c>
      <x:c r="W182" s="361" t="str">
        <x:f>IF(OR(COUNTIFS(Strategy!$B$36:$B$90,P182)&lt;&gt;1,COUNTIFS(Strategy!$B$36:$B$90,P182,Strategy!$F$36:$F$90,"&lt;&gt;")&lt;&gt;1),"",INDEX(Strategy!$F$36:$F$90,MATCH(P182,Strategy!$B$36:$B$90,0)))</x:f>
        <x:v>seconds</x:v>
      </x:c>
      <x:c r="X182" s="370" t="n">
        <x:f>IF(OR(COUNT(R182:V182)&lt;&gt;5,Q182&lt;&gt;W182,T182&lt;0,T182&gt;10,U182&lt;=0,V182&lt;=0,R182&lt;0,R182&lt;&gt;INT(R182),S182&lt;=0),"",T182*R182*S182/(U182*V182))</x:f>
        <x:v>0.6666666666666666</x:v>
      </x:c>
      <x:c r="Y182" s="374" t="str"/>
    </x:row>
    <x:row r="183" ht="15" hidden="0" customHeight="1">
      <x:c r="N183" s="363" t="n">
        <x:f>Daily!A38</x:f>
        <x:v>46382.5</x:v>
      </x:c>
      <x:c r="O183" s="359" t="str">
        <x:f>Daily!D38</x:f>
        <x:v>Skill micro-session</x:v>
      </x:c>
      <x:c r="P183" s="371" t="str">
        <x:v>Easy chest-to-wall hold</x:v>
      </x:c>
      <x:c r="Q183" s="360" t="str">
        <x:v>seconds</x:v>
      </x:c>
      <x:c r="R183" s="365" t="n">
        <x:v>3</x:v>
      </x:c>
      <x:c r="S183" s="365" t="n">
        <x:v>15</x:v>
      </x:c>
      <x:c r="T183" s="366" t="n">
        <x:f>IF(OR(COUNTIFS(Strategy!$B$36:$B$90,P183)&lt;&gt;1,COUNTIFS(Strategy!$B$36:$B$90,P183,Strategy!$C$36:$C$90,"&lt;&gt;")&lt;&gt;1),"",INDEX(Strategy!$C$36:$C$90,MATCH(P183,Strategy!$B$36:$B$90,0)))</x:f>
        <x:v>1</x:v>
      </x:c>
      <x:c r="U183" s="366" t="n">
        <x:f>IF(OR(COUNTIFS(Strategy!$B$36:$B$90,P183)&lt;&gt;1,COUNTIFS(Strategy!$B$36:$B$90,P183,Strategy!$D$36:$D$90,"&lt;&gt;")&lt;&gt;1),"",INDEX(Strategy!$D$36:$D$90,MATCH(P183,Strategy!$B$36:$B$90,0)))</x:f>
        <x:v>3</x:v>
      </x:c>
      <x:c r="V183" s="366" t="n">
        <x:f>IF(OR(COUNTIFS(Strategy!$B$36:$B$90,P183)&lt;&gt;1,COUNTIFS(Strategy!$B$36:$B$90,P183,Strategy!$E$36:$E$90,"&lt;&gt;")&lt;&gt;1),"",INDEX(Strategy!$E$36:$E$90,MATCH(P183,Strategy!$B$36:$B$90,0)))</x:f>
        <x:v>60</x:v>
      </x:c>
      <x:c r="W183" s="359" t="str">
        <x:f>IF(OR(COUNTIFS(Strategy!$B$36:$B$90,P183)&lt;&gt;1,COUNTIFS(Strategy!$B$36:$B$90,P183,Strategy!$F$36:$F$90,"&lt;&gt;")&lt;&gt;1),"",INDEX(Strategy!$F$36:$F$90,MATCH(P183,Strategy!$B$36:$B$90,0)))</x:f>
        <x:v>seconds</x:v>
      </x:c>
      <x:c r="X183" s="369" t="n">
        <x:f>IF(OR(COUNT(R183:V183)&lt;&gt;5,Q183&lt;&gt;W183,T183&lt;0,T183&gt;10,U183&lt;=0,V183&lt;=0,R183&lt;0,R183&lt;&gt;INT(R183),S183&lt;=0),"",T183*R183*S183/(U183*V183))</x:f>
        <x:v>0.25</x:v>
      </x:c>
      <x:c r="Y183" s="373" t="str"/>
    </x:row>
    <x:row r="184" ht="15" hidden="0" customHeight="1">
      <x:c r="N184" s="364" t="n">
        <x:f>Daily!A38</x:f>
        <x:v>46382.5</x:v>
      </x:c>
      <x:c r="O184" s="361" t="str">
        <x:f>Daily!D38</x:f>
        <x:v>Skill micro-session</x:v>
      </x:c>
      <x:c r="P184" s="372" t="str">
        <x:v>Wall handstand line drill</x:v>
      </x:c>
      <x:c r="Q184" s="362" t="str">
        <x:v>seconds</x:v>
      </x:c>
      <x:c r="R184" s="367" t="n">
        <x:v>3</x:v>
      </x:c>
      <x:c r="S184" s="367" t="n">
        <x:v>15</x:v>
      </x:c>
      <x:c r="T184" s="368" t="n">
        <x:f>IF(OR(COUNTIFS(Strategy!$B$36:$B$90,P184)&lt;&gt;1,COUNTIFS(Strategy!$B$36:$B$90,P184,Strategy!$C$36:$C$90,"&lt;&gt;")&lt;&gt;1),"",INDEX(Strategy!$C$36:$C$90,MATCH(P184,Strategy!$B$36:$B$90,0)))</x:f>
        <x:v>1</x:v>
      </x:c>
      <x:c r="U184" s="368" t="n">
        <x:f>IF(OR(COUNTIFS(Strategy!$B$36:$B$90,P184)&lt;&gt;1,COUNTIFS(Strategy!$B$36:$B$90,P184,Strategy!$D$36:$D$90,"&lt;&gt;")&lt;&gt;1),"",INDEX(Strategy!$D$36:$D$90,MATCH(P184,Strategy!$B$36:$B$90,0)))</x:f>
        <x:v>3</x:v>
      </x:c>
      <x:c r="V184" s="368" t="n">
        <x:f>IF(OR(COUNTIFS(Strategy!$B$36:$B$90,P184)&lt;&gt;1,COUNTIFS(Strategy!$B$36:$B$90,P184,Strategy!$E$36:$E$90,"&lt;&gt;")&lt;&gt;1),"",INDEX(Strategy!$E$36:$E$90,MATCH(P184,Strategy!$B$36:$B$90,0)))</x:f>
        <x:v>60</x:v>
      </x:c>
      <x:c r="W184" s="361" t="str">
        <x:f>IF(OR(COUNTIFS(Strategy!$B$36:$B$90,P184)&lt;&gt;1,COUNTIFS(Strategy!$B$36:$B$90,P184,Strategy!$F$36:$F$90,"&lt;&gt;")&lt;&gt;1),"",INDEX(Strategy!$F$36:$F$90,MATCH(P184,Strategy!$B$36:$B$90,0)))</x:f>
        <x:v>seconds</x:v>
      </x:c>
      <x:c r="X184" s="370" t="n">
        <x:f>IF(OR(COUNT(R184:V184)&lt;&gt;5,Q184&lt;&gt;W184,T184&lt;0,T184&gt;10,U184&lt;=0,V184&lt;=0,R184&lt;0,R184&lt;&gt;INT(R184),S184&lt;=0),"",T184*R184*S184/(U184*V184))</x:f>
        <x:v>0.25</x:v>
      </x:c>
      <x:c r="Y184" s="374" t="str"/>
    </x:row>
    <x:row r="185" ht="15" hidden="0" customHeight="1">
      <x:c r="N185" s="363" t="n">
        <x:f>Daily!A39</x:f>
        <x:v>46384.5</x:v>
      </x:c>
      <x:c r="O185" s="359" t="str">
        <x:f>Daily!D39</x:f>
        <x:v>Skill A + interval circuit</x:v>
      </x:c>
      <x:c r="P185" s="371" t="str">
        <x:v>Quality muscle-up attempts</x:v>
      </x:c>
      <x:c r="Q185" s="360" t="str">
        <x:v>reps</x:v>
      </x:c>
      <x:c r="R185" s="365" t="n">
        <x:v>5</x:v>
      </x:c>
      <x:c r="S185" s="365" t="n">
        <x:v>1</x:v>
      </x:c>
      <x:c r="T185" s="366" t="n">
        <x:f>IF(OR(COUNTIFS(Strategy!$B$36:$B$90,P185)&lt;&gt;1,COUNTIFS(Strategy!$B$36:$B$90,P185,Strategy!$C$36:$C$90,"&lt;&gt;")&lt;&gt;1),"",INDEX(Strategy!$C$36:$C$90,MATCH(P185,Strategy!$B$36:$B$90,0)))</x:f>
        <x:v>8</x:v>
      </x:c>
      <x:c r="U185" s="366" t="n">
        <x:f>IF(OR(COUNTIFS(Strategy!$B$36:$B$90,P185)&lt;&gt;1,COUNTIFS(Strategy!$B$36:$B$90,P185,Strategy!$D$36:$D$90,"&lt;&gt;")&lt;&gt;1),"",INDEX(Strategy!$D$36:$D$90,MATCH(P185,Strategy!$B$36:$B$90,0)))</x:f>
        <x:v>3</x:v>
      </x:c>
      <x:c r="V185" s="366" t="n">
        <x:f>IF(OR(COUNTIFS(Strategy!$B$36:$B$90,P185)&lt;&gt;1,COUNTIFS(Strategy!$B$36:$B$90,P185,Strategy!$E$36:$E$90,"&lt;&gt;")&lt;&gt;1),"",INDEX(Strategy!$E$36:$E$90,MATCH(P185,Strategy!$B$36:$B$90,0)))</x:f>
        <x:v>10</x:v>
      </x:c>
      <x:c r="W185" s="359" t="str">
        <x:f>IF(OR(COUNTIFS(Strategy!$B$36:$B$90,P185)&lt;&gt;1,COUNTIFS(Strategy!$B$36:$B$90,P185,Strategy!$F$36:$F$90,"&lt;&gt;")&lt;&gt;1),"",INDEX(Strategy!$F$36:$F$90,MATCH(P185,Strategy!$B$36:$B$90,0)))</x:f>
        <x:v>reps</x:v>
      </x:c>
      <x:c r="X185" s="369" t="n">
        <x:f>IF(OR(COUNT(R185:V185)&lt;&gt;5,Q185&lt;&gt;W185,T185&lt;0,T185&gt;10,U185&lt;=0,V185&lt;=0,R185&lt;0,R185&lt;&gt;INT(R185),S185&lt;=0),"",T185*R185*S185/(U185*V185))</x:f>
        <x:v>1.3333333333333333</x:v>
      </x:c>
      <x:c r="Y185" s="373" t="str">
        <x:v>Upper bound of 3–5 planned singles.</x:v>
      </x:c>
    </x:row>
    <x:row r="186" ht="15" hidden="0" customHeight="1">
      <x:c r="N186" s="364" t="n">
        <x:f>Daily!A39</x:f>
        <x:v>46384.5</x:v>
      </x:c>
      <x:c r="O186" s="361" t="str">
        <x:f>Daily!D39</x:f>
        <x:v>Skill A + interval circuit</x:v>
      </x:c>
      <x:c r="P186" s="372" t="str">
        <x:v>Band-assisted muscle-up</x:v>
      </x:c>
      <x:c r="Q186" s="362" t="str">
        <x:v>reps</x:v>
      </x:c>
      <x:c r="R186" s="367" t="n">
        <x:v>2</x:v>
      </x:c>
      <x:c r="S186" s="367" t="n">
        <x:v>2</x:v>
      </x:c>
      <x:c r="T186" s="368" t="n">
        <x:f>IF(OR(COUNTIFS(Strategy!$B$36:$B$90,P186)&lt;&gt;1,COUNTIFS(Strategy!$B$36:$B$90,P186,Strategy!$C$36:$C$90,"&lt;&gt;")&lt;&gt;1),"",INDEX(Strategy!$C$36:$C$90,MATCH(P186,Strategy!$B$36:$B$90,0)))</x:f>
        <x:v>6</x:v>
      </x:c>
      <x:c r="U186" s="368" t="n">
        <x:f>IF(OR(COUNTIFS(Strategy!$B$36:$B$90,P186)&lt;&gt;1,COUNTIFS(Strategy!$B$36:$B$90,P186,Strategy!$D$36:$D$90,"&lt;&gt;")&lt;&gt;1),"",INDEX(Strategy!$D$36:$D$90,MATCH(P186,Strategy!$B$36:$B$90,0)))</x:f>
        <x:v>3</x:v>
      </x:c>
      <x:c r="V186" s="368" t="n">
        <x:f>IF(OR(COUNTIFS(Strategy!$B$36:$B$90,P186)&lt;&gt;1,COUNTIFS(Strategy!$B$36:$B$90,P186,Strategy!$E$36:$E$90,"&lt;&gt;")&lt;&gt;1),"",INDEX(Strategy!$E$36:$E$90,MATCH(P186,Strategy!$B$36:$B$90,0)))</x:f>
        <x:v>10</x:v>
      </x:c>
      <x:c r="W186" s="361" t="str">
        <x:f>IF(OR(COUNTIFS(Strategy!$B$36:$B$90,P186)&lt;&gt;1,COUNTIFS(Strategy!$B$36:$B$90,P186,Strategy!$F$36:$F$90,"&lt;&gt;")&lt;&gt;1),"",INDEX(Strategy!$F$36:$F$90,MATCH(P186,Strategy!$B$36:$B$90,0)))</x:f>
        <x:v>reps</x:v>
      </x:c>
      <x:c r="X186" s="370" t="n">
        <x:f>IF(OR(COUNT(R186:V186)&lt;&gt;5,Q186&lt;&gt;W186,T186&lt;0,T186&gt;10,U186&lt;=0,V186&lt;=0,R186&lt;0,R186&lt;&gt;INT(R186),S186&lt;=0),"",T186*R186*S186/(U186*V186))</x:f>
        <x:v>0.8</x:v>
      </x:c>
      <x:c r="Y186" s="374" t="str"/>
    </x:row>
    <x:row r="187" ht="15" hidden="0" customHeight="1">
      <x:c r="N187" s="363" t="n">
        <x:f>Daily!A39</x:f>
        <x:v>46384.5</x:v>
      </x:c>
      <x:c r="O187" s="359" t="str">
        <x:f>Daily!D39</x:f>
        <x:v>Skill A + interval circuit</x:v>
      </x:c>
      <x:c r="P187" s="371" t="str">
        <x:v>Pistol clusters</x:v>
      </x:c>
      <x:c r="Q187" s="360" t="str">
        <x:v>reps/leg</x:v>
      </x:c>
      <x:c r="R187" s="365" t="n">
        <x:v>3</x:v>
      </x:c>
      <x:c r="S187" s="365" t="n">
        <x:v>2</x:v>
      </x:c>
      <x:c r="T187" s="366" t="n">
        <x:f>IF(OR(COUNTIFS(Strategy!$B$36:$B$90,P187)&lt;&gt;1,COUNTIFS(Strategy!$B$36:$B$90,P187,Strategy!$C$36:$C$90,"&lt;&gt;")&lt;&gt;1),"",INDEX(Strategy!$C$36:$C$90,MATCH(P187,Strategy!$B$36:$B$90,0)))</x:f>
        <x:v>8</x:v>
      </x:c>
      <x:c r="U187" s="366" t="n">
        <x:f>IF(OR(COUNTIFS(Strategy!$B$36:$B$90,P187)&lt;&gt;1,COUNTIFS(Strategy!$B$36:$B$90,P187,Strategy!$D$36:$D$90,"&lt;&gt;")&lt;&gt;1),"",INDEX(Strategy!$D$36:$D$90,MATCH(P187,Strategy!$B$36:$B$90,0)))</x:f>
        <x:v>3</x:v>
      </x:c>
      <x:c r="V187" s="366" t="n">
        <x:f>IF(OR(COUNTIFS(Strategy!$B$36:$B$90,P187)&lt;&gt;1,COUNTIFS(Strategy!$B$36:$B$90,P187,Strategy!$E$36:$E$90,"&lt;&gt;")&lt;&gt;1),"",INDEX(Strategy!$E$36:$E$90,MATCH(P187,Strategy!$B$36:$B$90,0)))</x:f>
        <x:v>10</x:v>
      </x:c>
      <x:c r="W187" s="359" t="str">
        <x:f>IF(OR(COUNTIFS(Strategy!$B$36:$B$90,P187)&lt;&gt;1,COUNTIFS(Strategy!$B$36:$B$90,P187,Strategy!$F$36:$F$90,"&lt;&gt;")&lt;&gt;1),"",INDEX(Strategy!$F$36:$F$90,MATCH(P187,Strategy!$B$36:$B$90,0)))</x:f>
        <x:v>reps/leg</x:v>
      </x:c>
      <x:c r="X187" s="369" t="n">
        <x:f>IF(OR(COUNT(R187:V187)&lt;&gt;5,Q187&lt;&gt;W187,T187&lt;0,T187&gt;10,U187&lt;=0,V187&lt;=0,R187&lt;0,R187&lt;&gt;INT(R187),S187&lt;=0),"",T187*R187*S187/(U187*V187))</x:f>
        <x:v>1.6</x:v>
      </x:c>
      <x:c r="Y187" s="373" t="str">
        <x:v>Two reps per cluster; rest is excluded.</x:v>
      </x:c>
    </x:row>
    <x:row r="188" ht="15" hidden="0" customHeight="1">
      <x:c r="N188" s="364" t="n">
        <x:f>Daily!A39</x:f>
        <x:v>46384.5</x:v>
      </x:c>
      <x:c r="O188" s="361" t="str">
        <x:f>Daily!D39</x:f>
        <x:v>Skill A + interval circuit</x:v>
      </x:c>
      <x:c r="P188" s="372" t="str">
        <x:v>Pull-up</x:v>
      </x:c>
      <x:c r="Q188" s="362" t="str">
        <x:v>seconds</x:v>
      </x:c>
      <x:c r="R188" s="367" t="n">
        <x:v>5</x:v>
      </x:c>
      <x:c r="S188" s="367" t="n">
        <x:v>30</x:v>
      </x:c>
      <x:c r="T188" s="368" t="n">
        <x:f>IF(OR(COUNTIFS(Strategy!$B$36:$B$90,P188)&lt;&gt;1,COUNTIFS(Strategy!$B$36:$B$90,P188,Strategy!$C$36:$C$90,"&lt;&gt;")&lt;&gt;1),"",INDEX(Strategy!$C$36:$C$90,MATCH(P188,Strategy!$B$36:$B$90,0)))</x:f>
        <x:v>1</x:v>
      </x:c>
      <x:c r="U188" s="368" t="n">
        <x:f>IF(OR(COUNTIFS(Strategy!$B$36:$B$90,P188)&lt;&gt;1,COUNTIFS(Strategy!$B$36:$B$90,P188,Strategy!$D$36:$D$90,"&lt;&gt;")&lt;&gt;1),"",INDEX(Strategy!$D$36:$D$90,MATCH(P188,Strategy!$B$36:$B$90,0)))</x:f>
        <x:v>5</x:v>
      </x:c>
      <x:c r="V188" s="368" t="n">
        <x:f>IF(OR(COUNTIFS(Strategy!$B$36:$B$90,P188)&lt;&gt;1,COUNTIFS(Strategy!$B$36:$B$90,P188,Strategy!$E$36:$E$90,"&lt;&gt;")&lt;&gt;1),"",INDEX(Strategy!$E$36:$E$90,MATCH(P188,Strategy!$B$36:$B$90,0)))</x:f>
        <x:v>120</x:v>
      </x:c>
      <x:c r="W188" s="361" t="str">
        <x:f>IF(OR(COUNTIFS(Strategy!$B$36:$B$90,P188)&lt;&gt;1,COUNTIFS(Strategy!$B$36:$B$90,P188,Strategy!$F$36:$F$90,"&lt;&gt;")&lt;&gt;1),"",INDEX(Strategy!$F$36:$F$90,MATCH(P188,Strategy!$B$36:$B$90,0)))</x:f>
        <x:v>seconds</x:v>
      </x:c>
      <x:c r="X188" s="370" t="n">
        <x:f>IF(OR(COUNT(R188:V188)&lt;&gt;5,Q188&lt;&gt;W188,T188&lt;0,T188&gt;10,U188&lt;=0,V188&lt;=0,R188&lt;0,R188&lt;&gt;INT(R188),S188&lt;=0),"",T188*R188*S188/(U188*V188))</x:f>
        <x:v>0.25</x:v>
      </x:c>
      <x:c r="Y188" s="374" t="str">
        <x:v>Core: one 30-second work interval per round; rest excluded.</x:v>
      </x:c>
    </x:row>
    <x:row r="189" ht="15" hidden="0" customHeight="1">
      <x:c r="N189" s="363" t="n">
        <x:f>Daily!A39</x:f>
        <x:v>46384.5</x:v>
      </x:c>
      <x:c r="O189" s="359" t="str">
        <x:f>Daily!D39</x:f>
        <x:v>Skill A + interval circuit</x:v>
      </x:c>
      <x:c r="P189" s="371" t="str">
        <x:v>Push-up</x:v>
      </x:c>
      <x:c r="Q189" s="360" t="str">
        <x:v>seconds</x:v>
      </x:c>
      <x:c r="R189" s="365" t="n">
        <x:v>5</x:v>
      </x:c>
      <x:c r="S189" s="365" t="n">
        <x:v>30</x:v>
      </x:c>
      <x:c r="T189" s="366" t="n">
        <x:f>IF(OR(COUNTIFS(Strategy!$B$36:$B$90,P189)&lt;&gt;1,COUNTIFS(Strategy!$B$36:$B$90,P189,Strategy!$C$36:$C$90,"&lt;&gt;")&lt;&gt;1),"",INDEX(Strategy!$C$36:$C$90,MATCH(P189,Strategy!$B$36:$B$90,0)))</x:f>
        <x:v>1</x:v>
      </x:c>
      <x:c r="U189" s="366" t="n">
        <x:f>IF(OR(COUNTIFS(Strategy!$B$36:$B$90,P189)&lt;&gt;1,COUNTIFS(Strategy!$B$36:$B$90,P189,Strategy!$D$36:$D$90,"&lt;&gt;")&lt;&gt;1),"",INDEX(Strategy!$D$36:$D$90,MATCH(P189,Strategy!$B$36:$B$90,0)))</x:f>
        <x:v>5</x:v>
      </x:c>
      <x:c r="V189" s="366" t="n">
        <x:f>IF(OR(COUNTIFS(Strategy!$B$36:$B$90,P189)&lt;&gt;1,COUNTIFS(Strategy!$B$36:$B$90,P189,Strategy!$E$36:$E$90,"&lt;&gt;")&lt;&gt;1),"",INDEX(Strategy!$E$36:$E$90,MATCH(P189,Strategy!$B$36:$B$90,0)))</x:f>
        <x:v>120</x:v>
      </x:c>
      <x:c r="W189" s="359" t="str">
        <x:f>IF(OR(COUNTIFS(Strategy!$B$36:$B$90,P189)&lt;&gt;1,COUNTIFS(Strategy!$B$36:$B$90,P189,Strategy!$F$36:$F$90,"&lt;&gt;")&lt;&gt;1),"",INDEX(Strategy!$F$36:$F$90,MATCH(P189,Strategy!$B$36:$B$90,0)))</x:f>
        <x:v>seconds</x:v>
      </x:c>
      <x:c r="X189" s="369" t="n">
        <x:f>IF(OR(COUNT(R189:V189)&lt;&gt;5,Q189&lt;&gt;W189,T189&lt;0,T189&gt;10,U189&lt;=0,V189&lt;=0,R189&lt;0,R189&lt;&gt;INT(R189),S189&lt;=0),"",T189*R189*S189/(U189*V189))</x:f>
        <x:v>0.25</x:v>
      </x:c>
      <x:c r="Y189" s="373" t="str">
        <x:v>Core: one 30-second work interval per round; rest excluded.</x:v>
      </x:c>
    </x:row>
    <x:row r="190" ht="15" hidden="0" customHeight="1">
      <x:c r="N190" s="364" t="n">
        <x:f>Daily!A39</x:f>
        <x:v>46384.5</x:v>
      </x:c>
      <x:c r="O190" s="361" t="str">
        <x:f>Daily!D39</x:f>
        <x:v>Skill A + interval circuit</x:v>
      </x:c>
      <x:c r="P190" s="372" t="str">
        <x:v>Weighted squat</x:v>
      </x:c>
      <x:c r="Q190" s="362" t="str">
        <x:v>seconds</x:v>
      </x:c>
      <x:c r="R190" s="367" t="n">
        <x:v>5</x:v>
      </x:c>
      <x:c r="S190" s="367" t="n">
        <x:v>30</x:v>
      </x:c>
      <x:c r="T190" s="368" t="n">
        <x:f>IF(OR(COUNTIFS(Strategy!$B$36:$B$90,P190)&lt;&gt;1,COUNTIFS(Strategy!$B$36:$B$90,P190,Strategy!$C$36:$C$90,"&lt;&gt;")&lt;&gt;1),"",INDEX(Strategy!$C$36:$C$90,MATCH(P190,Strategy!$B$36:$B$90,0)))</x:f>
        <x:v>1</x:v>
      </x:c>
      <x:c r="U190" s="368" t="n">
        <x:f>IF(OR(COUNTIFS(Strategy!$B$36:$B$90,P190)&lt;&gt;1,COUNTIFS(Strategy!$B$36:$B$90,P190,Strategy!$D$36:$D$90,"&lt;&gt;")&lt;&gt;1),"",INDEX(Strategy!$D$36:$D$90,MATCH(P190,Strategy!$B$36:$B$90,0)))</x:f>
        <x:v>5</x:v>
      </x:c>
      <x:c r="V190" s="368" t="n">
        <x:f>IF(OR(COUNTIFS(Strategy!$B$36:$B$90,P190)&lt;&gt;1,COUNTIFS(Strategy!$B$36:$B$90,P190,Strategy!$E$36:$E$90,"&lt;&gt;")&lt;&gt;1),"",INDEX(Strategy!$E$36:$E$90,MATCH(P190,Strategy!$B$36:$B$90,0)))</x:f>
        <x:v>120</x:v>
      </x:c>
      <x:c r="W190" s="361" t="str">
        <x:f>IF(OR(COUNTIFS(Strategy!$B$36:$B$90,P190)&lt;&gt;1,COUNTIFS(Strategy!$B$36:$B$90,P190,Strategy!$F$36:$F$90,"&lt;&gt;")&lt;&gt;1),"",INDEX(Strategy!$F$36:$F$90,MATCH(P190,Strategy!$B$36:$B$90,0)))</x:f>
        <x:v>seconds</x:v>
      </x:c>
      <x:c r="X190" s="370" t="n">
        <x:f>IF(OR(COUNT(R190:V190)&lt;&gt;5,Q190&lt;&gt;W190,T190&lt;0,T190&gt;10,U190&lt;=0,V190&lt;=0,R190&lt;0,R190&lt;&gt;INT(R190),S190&lt;=0),"",T190*R190*S190/(U190*V190))</x:f>
        <x:v>0.25</x:v>
      </x:c>
      <x:c r="Y190" s="374" t="str">
        <x:v>Core: one 30-second work interval per round; rest excluded.</x:v>
      </x:c>
    </x:row>
    <x:row r="191" ht="15" hidden="0" customHeight="1">
      <x:c r="N191" s="363" t="n">
        <x:f>Daily!A39</x:f>
        <x:v>46384.5</x:v>
      </x:c>
      <x:c r="O191" s="359" t="str">
        <x:f>Daily!D39</x:f>
        <x:v>Skill A + interval circuit</x:v>
      </x:c>
      <x:c r="P191" s="371" t="str">
        <x:v>Upside-down hanging shoulder/ab work</x:v>
      </x:c>
      <x:c r="Q191" s="360" t="str">
        <x:v>seconds</x:v>
      </x:c>
      <x:c r="R191" s="365" t="n">
        <x:v>5</x:v>
      </x:c>
      <x:c r="S191" s="365" t="n">
        <x:v>30</x:v>
      </x:c>
      <x:c r="T191" s="366" t="n">
        <x:f>IF(OR(COUNTIFS(Strategy!$B$36:$B$90,P191)&lt;&gt;1,COUNTIFS(Strategy!$B$36:$B$90,P191,Strategy!$C$36:$C$90,"&lt;&gt;")&lt;&gt;1),"",INDEX(Strategy!$C$36:$C$90,MATCH(P191,Strategy!$B$36:$B$90,0)))</x:f>
        <x:v>1</x:v>
      </x:c>
      <x:c r="U191" s="366" t="n">
        <x:f>IF(OR(COUNTIFS(Strategy!$B$36:$B$90,P191)&lt;&gt;1,COUNTIFS(Strategy!$B$36:$B$90,P191,Strategy!$D$36:$D$90,"&lt;&gt;")&lt;&gt;1),"",INDEX(Strategy!$D$36:$D$90,MATCH(P191,Strategy!$B$36:$B$90,0)))</x:f>
        <x:v>5</x:v>
      </x:c>
      <x:c r="V191" s="366" t="n">
        <x:f>IF(OR(COUNTIFS(Strategy!$B$36:$B$90,P191)&lt;&gt;1,COUNTIFS(Strategy!$B$36:$B$90,P191,Strategy!$E$36:$E$90,"&lt;&gt;")&lt;&gt;1),"",INDEX(Strategy!$E$36:$E$90,MATCH(P191,Strategy!$B$36:$B$90,0)))</x:f>
        <x:v>120</x:v>
      </x:c>
      <x:c r="W191" s="359" t="str">
        <x:f>IF(OR(COUNTIFS(Strategy!$B$36:$B$90,P191)&lt;&gt;1,COUNTIFS(Strategy!$B$36:$B$90,P191,Strategy!$F$36:$F$90,"&lt;&gt;")&lt;&gt;1),"",INDEX(Strategy!$F$36:$F$90,MATCH(P191,Strategy!$B$36:$B$90,0)))</x:f>
        <x:v>seconds</x:v>
      </x:c>
      <x:c r="X191" s="369" t="n">
        <x:f>IF(OR(COUNT(R191:V191)&lt;&gt;5,Q191&lt;&gt;W191,T191&lt;0,T191&gt;10,U191&lt;=0,V191&lt;=0,R191&lt;0,R191&lt;&gt;INT(R191),S191&lt;=0),"",T191*R191*S191/(U191*V191))</x:f>
        <x:v>0.25</x:v>
      </x:c>
      <x:c r="Y191" s="373" t="str">
        <x:v>Core: one 30-second work interval per round; rest excluded.</x:v>
      </x:c>
    </x:row>
    <x:row r="192" ht="15" hidden="0" customHeight="1">
      <x:c r="N192" s="364" t="n">
        <x:f>Daily!A40</x:f>
        <x:v>46385.5</x:v>
      </x:c>
      <x:c r="O192" s="361" t="str">
        <x:f>Daily!D40</x:f>
        <x:v>Handstand technique</x:v>
      </x:c>
      <x:c r="P192" s="372" t="str">
        <x:v>Wrist/shoulder mobility</x:v>
      </x:c>
      <x:c r="Q192" s="362" t="str">
        <x:v>seconds</x:v>
      </x:c>
      <x:c r="R192" s="367" t="n">
        <x:v>1</x:v>
      </x:c>
      <x:c r="S192" s="367" t="n">
        <x:v>120</x:v>
      </x:c>
      <x:c r="T192" s="368" t="n">
        <x:f>IF(OR(COUNTIFS(Strategy!$B$36:$B$90,P192)&lt;&gt;1,COUNTIFS(Strategy!$B$36:$B$90,P192,Strategy!$C$36:$C$90,"&lt;&gt;")&lt;&gt;1),"",INDEX(Strategy!$C$36:$C$90,MATCH(P192,Strategy!$B$36:$B$90,0)))</x:f>
        <x:v>1</x:v>
      </x:c>
      <x:c r="U192" s="368" t="n">
        <x:f>IF(OR(COUNTIFS(Strategy!$B$36:$B$90,P192)&lt;&gt;1,COUNTIFS(Strategy!$B$36:$B$90,P192,Strategy!$D$36:$D$90,"&lt;&gt;")&lt;&gt;1),"",INDEX(Strategy!$D$36:$D$90,MATCH(P192,Strategy!$B$36:$B$90,0)))</x:f>
        <x:v>3</x:v>
      </x:c>
      <x:c r="V192" s="368" t="n">
        <x:f>IF(OR(COUNTIFS(Strategy!$B$36:$B$90,P192)&lt;&gt;1,COUNTIFS(Strategy!$B$36:$B$90,P192,Strategy!$E$36:$E$90,"&lt;&gt;")&lt;&gt;1),"",INDEX(Strategy!$E$36:$E$90,MATCH(P192,Strategy!$B$36:$B$90,0)))</x:f>
        <x:v>60</x:v>
      </x:c>
      <x:c r="W192" s="361" t="str">
        <x:f>IF(OR(COUNTIFS(Strategy!$B$36:$B$90,P192)&lt;&gt;1,COUNTIFS(Strategy!$B$36:$B$90,P192,Strategy!$F$36:$F$90,"&lt;&gt;")&lt;&gt;1),"",INDEX(Strategy!$F$36:$F$90,MATCH(P192,Strategy!$B$36:$B$90,0)))</x:f>
        <x:v>seconds</x:v>
      </x:c>
      <x:c r="X192" s="370" t="n">
        <x:f>IF(OR(COUNT(R192:V192)&lt;&gt;5,Q192&lt;&gt;W192,T192&lt;0,T192&gt;10,U192&lt;=0,V192&lt;=0,R192&lt;0,R192&lt;&gt;INT(R192),S192&lt;=0),"",T192*R192*S192/(U192*V192))</x:f>
        <x:v>0.6666666666666666</x:v>
      </x:c>
      <x:c r="Y192" s="374" t="str"/>
    </x:row>
    <x:row r="193" ht="15" hidden="0" customHeight="1">
      <x:c r="N193" s="363" t="n">
        <x:f>Daily!A40</x:f>
        <x:v>46385.5</x:v>
      </x:c>
      <x:c r="O193" s="359" t="str">
        <x:f>Daily!D40</x:f>
        <x:v>Handstand technique</x:v>
      </x:c>
      <x:c r="P193" s="371" t="str">
        <x:v>Easy chest-to-wall hold</x:v>
      </x:c>
      <x:c r="Q193" s="360" t="str">
        <x:v>seconds</x:v>
      </x:c>
      <x:c r="R193" s="365" t="n">
        <x:v>3</x:v>
      </x:c>
      <x:c r="S193" s="365" t="n">
        <x:v>15</x:v>
      </x:c>
      <x:c r="T193" s="366" t="n">
        <x:f>IF(OR(COUNTIFS(Strategy!$B$36:$B$90,P193)&lt;&gt;1,COUNTIFS(Strategy!$B$36:$B$90,P193,Strategy!$C$36:$C$90,"&lt;&gt;")&lt;&gt;1),"",INDEX(Strategy!$C$36:$C$90,MATCH(P193,Strategy!$B$36:$B$90,0)))</x:f>
        <x:v>1</x:v>
      </x:c>
      <x:c r="U193" s="366" t="n">
        <x:f>IF(OR(COUNTIFS(Strategy!$B$36:$B$90,P193)&lt;&gt;1,COUNTIFS(Strategy!$B$36:$B$90,P193,Strategy!$D$36:$D$90,"&lt;&gt;")&lt;&gt;1),"",INDEX(Strategy!$D$36:$D$90,MATCH(P193,Strategy!$B$36:$B$90,0)))</x:f>
        <x:v>3</x:v>
      </x:c>
      <x:c r="V193" s="366" t="n">
        <x:f>IF(OR(COUNTIFS(Strategy!$B$36:$B$90,P193)&lt;&gt;1,COUNTIFS(Strategy!$B$36:$B$90,P193,Strategy!$E$36:$E$90,"&lt;&gt;")&lt;&gt;1),"",INDEX(Strategy!$E$36:$E$90,MATCH(P193,Strategy!$B$36:$B$90,0)))</x:f>
        <x:v>60</x:v>
      </x:c>
      <x:c r="W193" s="359" t="str">
        <x:f>IF(OR(COUNTIFS(Strategy!$B$36:$B$90,P193)&lt;&gt;1,COUNTIFS(Strategy!$B$36:$B$90,P193,Strategy!$F$36:$F$90,"&lt;&gt;")&lt;&gt;1),"",INDEX(Strategy!$F$36:$F$90,MATCH(P193,Strategy!$B$36:$B$90,0)))</x:f>
        <x:v>seconds</x:v>
      </x:c>
      <x:c r="X193" s="369" t="n">
        <x:f>IF(OR(COUNT(R193:V193)&lt;&gt;5,Q193&lt;&gt;W193,T193&lt;0,T193&gt;10,U193&lt;=0,V193&lt;=0,R193&lt;0,R193&lt;&gt;INT(R193),S193&lt;=0),"",T193*R193*S193/(U193*V193))</x:f>
        <x:v>0.25</x:v>
      </x:c>
      <x:c r="Y193" s="373" t="str"/>
    </x:row>
    <x:row r="194" ht="15" hidden="0" customHeight="1">
      <x:c r="N194" s="364" t="n">
        <x:f>Daily!A40</x:f>
        <x:v>46385.5</x:v>
      </x:c>
      <x:c r="O194" s="361" t="str">
        <x:f>Daily!D40</x:f>
        <x:v>Handstand technique</x:v>
      </x:c>
      <x:c r="P194" s="372" t="str">
        <x:v>Wall handstand line drill</x:v>
      </x:c>
      <x:c r="Q194" s="362" t="str">
        <x:v>seconds</x:v>
      </x:c>
      <x:c r="R194" s="367" t="n">
        <x:v>2</x:v>
      </x:c>
      <x:c r="S194" s="367" t="n">
        <x:v>15</x:v>
      </x:c>
      <x:c r="T194" s="368" t="n">
        <x:f>IF(OR(COUNTIFS(Strategy!$B$36:$B$90,P194)&lt;&gt;1,COUNTIFS(Strategy!$B$36:$B$90,P194,Strategy!$C$36:$C$90,"&lt;&gt;")&lt;&gt;1),"",INDEX(Strategy!$C$36:$C$90,MATCH(P194,Strategy!$B$36:$B$90,0)))</x:f>
        <x:v>1</x:v>
      </x:c>
      <x:c r="U194" s="368" t="n">
        <x:f>IF(OR(COUNTIFS(Strategy!$B$36:$B$90,P194)&lt;&gt;1,COUNTIFS(Strategy!$B$36:$B$90,P194,Strategy!$D$36:$D$90,"&lt;&gt;")&lt;&gt;1),"",INDEX(Strategy!$D$36:$D$90,MATCH(P194,Strategy!$B$36:$B$90,0)))</x:f>
        <x:v>3</x:v>
      </x:c>
      <x:c r="V194" s="368" t="n">
        <x:f>IF(OR(COUNTIFS(Strategy!$B$36:$B$90,P194)&lt;&gt;1,COUNTIFS(Strategy!$B$36:$B$90,P194,Strategy!$E$36:$E$90,"&lt;&gt;")&lt;&gt;1),"",INDEX(Strategy!$E$36:$E$90,MATCH(P194,Strategy!$B$36:$B$90,0)))</x:f>
        <x:v>60</x:v>
      </x:c>
      <x:c r="W194" s="361" t="str">
        <x:f>IF(OR(COUNTIFS(Strategy!$B$36:$B$90,P194)&lt;&gt;1,COUNTIFS(Strategy!$B$36:$B$90,P194,Strategy!$F$36:$F$90,"&lt;&gt;")&lt;&gt;1),"",INDEX(Strategy!$F$36:$F$90,MATCH(P194,Strategy!$B$36:$B$90,0)))</x:f>
        <x:v>seconds</x:v>
      </x:c>
      <x:c r="X194" s="370" t="n">
        <x:f>IF(OR(COUNT(R194:V194)&lt;&gt;5,Q194&lt;&gt;W194,T194&lt;0,T194&gt;10,U194&lt;=0,V194&lt;=0,R194&lt;0,R194&lt;&gt;INT(R194),S194&lt;=0),"",T194*R194*S194/(U194*V194))</x:f>
        <x:v>0.16666666666666666</x:v>
      </x:c>
      <x:c r="Y194" s="374" t="str"/>
    </x:row>
    <x:row r="195" ht="15" hidden="0" customHeight="1">
      <x:c r="N195" s="363" t="n">
        <x:f>Daily!A41</x:f>
        <x:v>46387.5</x:v>
      </x:c>
      <x:c r="O195" s="359" t="str">
        <x:f>Daily!D41</x:f>
        <x:v>Skill B + circuit</x:v>
      </x:c>
      <x:c r="P195" s="371" t="str">
        <x:v>Wall HSPU clusters</x:v>
      </x:c>
      <x:c r="Q195" s="360" t="str">
        <x:v>reps</x:v>
      </x:c>
      <x:c r="R195" s="365" t="n">
        <x:v>3</x:v>
      </x:c>
      <x:c r="S195" s="365" t="n">
        <x:v>2</x:v>
      </x:c>
      <x:c r="T195" s="366" t="n">
        <x:f>IF(OR(COUNTIFS(Strategy!$B$36:$B$90,P195)&lt;&gt;1,COUNTIFS(Strategy!$B$36:$B$90,P195,Strategy!$C$36:$C$90,"&lt;&gt;")&lt;&gt;1),"",INDEX(Strategy!$C$36:$C$90,MATCH(P195,Strategy!$B$36:$B$90,0)))</x:f>
        <x:v>8</x:v>
      </x:c>
      <x:c r="U195" s="366" t="n">
        <x:f>IF(OR(COUNTIFS(Strategy!$B$36:$B$90,P195)&lt;&gt;1,COUNTIFS(Strategy!$B$36:$B$90,P195,Strategy!$D$36:$D$90,"&lt;&gt;")&lt;&gt;1),"",INDEX(Strategy!$D$36:$D$90,MATCH(P195,Strategy!$B$36:$B$90,0)))</x:f>
        <x:v>3</x:v>
      </x:c>
      <x:c r="V195" s="366" t="n">
        <x:f>IF(OR(COUNTIFS(Strategy!$B$36:$B$90,P195)&lt;&gt;1,COUNTIFS(Strategy!$B$36:$B$90,P195,Strategy!$E$36:$E$90,"&lt;&gt;")&lt;&gt;1),"",INDEX(Strategy!$E$36:$E$90,MATCH(P195,Strategy!$B$36:$B$90,0)))</x:f>
        <x:v>10</x:v>
      </x:c>
      <x:c r="W195" s="359" t="str">
        <x:f>IF(OR(COUNTIFS(Strategy!$B$36:$B$90,P195)&lt;&gt;1,COUNTIFS(Strategy!$B$36:$B$90,P195,Strategy!$F$36:$F$90,"&lt;&gt;")&lt;&gt;1),"",INDEX(Strategy!$F$36:$F$90,MATCH(P195,Strategy!$B$36:$B$90,0)))</x:f>
        <x:v>reps</x:v>
      </x:c>
      <x:c r="X195" s="369" t="n">
        <x:f>IF(OR(COUNT(R195:V195)&lt;&gt;5,Q195&lt;&gt;W195,T195&lt;0,T195&gt;10,U195&lt;=0,V195&lt;=0,R195&lt;0,R195&lt;&gt;INT(R195),S195&lt;=0),"",T195*R195*S195/(U195*V195))</x:f>
        <x:v>1.6</x:v>
      </x:c>
      <x:c r="Y195" s="373" t="str">
        <x:v>Two reps per cluster; rest is excluded.</x:v>
      </x:c>
    </x:row>
    <x:row r="196" ht="15" hidden="0" customHeight="1">
      <x:c r="N196" s="364" t="n">
        <x:f>Daily!A41</x:f>
        <x:v>46387.5</x:v>
      </x:c>
      <x:c r="O196" s="361" t="str">
        <x:f>Daily!D41</x:f>
        <x:v>Skill B + circuit</x:v>
      </x:c>
      <x:c r="P196" s="372" t="str">
        <x:v>Easy wall handstand</x:v>
      </x:c>
      <x:c r="Q196" s="362" t="str">
        <x:v>seconds</x:v>
      </x:c>
      <x:c r="R196" s="367" t="n">
        <x:v>2</x:v>
      </x:c>
      <x:c r="S196" s="367" t="n">
        <x:v>20</x:v>
      </x:c>
      <x:c r="T196" s="368" t="n">
        <x:f>IF(OR(COUNTIFS(Strategy!$B$36:$B$90,P196)&lt;&gt;1,COUNTIFS(Strategy!$B$36:$B$90,P196,Strategy!$C$36:$C$90,"&lt;&gt;")&lt;&gt;1),"",INDEX(Strategy!$C$36:$C$90,MATCH(P196,Strategy!$B$36:$B$90,0)))</x:f>
        <x:v>1</x:v>
      </x:c>
      <x:c r="U196" s="368" t="n">
        <x:f>IF(OR(COUNTIFS(Strategy!$B$36:$B$90,P196)&lt;&gt;1,COUNTIFS(Strategy!$B$36:$B$90,P196,Strategy!$D$36:$D$90,"&lt;&gt;")&lt;&gt;1),"",INDEX(Strategy!$D$36:$D$90,MATCH(P196,Strategy!$B$36:$B$90,0)))</x:f>
        <x:v>3</x:v>
      </x:c>
      <x:c r="V196" s="368" t="n">
        <x:f>IF(OR(COUNTIFS(Strategy!$B$36:$B$90,P196)&lt;&gt;1,COUNTIFS(Strategy!$B$36:$B$90,P196,Strategy!$E$36:$E$90,"&lt;&gt;")&lt;&gt;1),"",INDEX(Strategy!$E$36:$E$90,MATCH(P196,Strategy!$B$36:$B$90,0)))</x:f>
        <x:v>60</x:v>
      </x:c>
      <x:c r="W196" s="361" t="str">
        <x:f>IF(OR(COUNTIFS(Strategy!$B$36:$B$90,P196)&lt;&gt;1,COUNTIFS(Strategy!$B$36:$B$90,P196,Strategy!$F$36:$F$90,"&lt;&gt;")&lt;&gt;1),"",INDEX(Strategy!$F$36:$F$90,MATCH(P196,Strategy!$B$36:$B$90,0)))</x:f>
        <x:v>seconds</x:v>
      </x:c>
      <x:c r="X196" s="370" t="n">
        <x:f>IF(OR(COUNT(R196:V196)&lt;&gt;5,Q196&lt;&gt;W196,T196&lt;0,T196&gt;10,U196&lt;=0,V196&lt;=0,R196&lt;0,R196&lt;&gt;INT(R196),S196&lt;=0),"",T196*R196*S196/(U196*V196))</x:f>
        <x:v>0.2222222222222222</x:v>
      </x:c>
      <x:c r="Y196" s="374" t="str"/>
    </x:row>
    <x:row r="197" ht="15" hidden="0" customHeight="1">
      <x:c r="N197" s="363" t="n">
        <x:f>Daily!A41</x:f>
        <x:v>46387.5</x:v>
      </x:c>
      <x:c r="O197" s="359" t="str">
        <x:f>Daily!D41</x:f>
        <x:v>Skill B + circuit</x:v>
      </x:c>
      <x:c r="P197" s="371" t="str">
        <x:v>Pistol clusters</x:v>
      </x:c>
      <x:c r="Q197" s="360" t="str">
        <x:v>reps/leg</x:v>
      </x:c>
      <x:c r="R197" s="365" t="n">
        <x:v>3</x:v>
      </x:c>
      <x:c r="S197" s="365" t="n">
        <x:v>2</x:v>
      </x:c>
      <x:c r="T197" s="366" t="n">
        <x:f>IF(OR(COUNTIFS(Strategy!$B$36:$B$90,P197)&lt;&gt;1,COUNTIFS(Strategy!$B$36:$B$90,P197,Strategy!$C$36:$C$90,"&lt;&gt;")&lt;&gt;1),"",INDEX(Strategy!$C$36:$C$90,MATCH(P197,Strategy!$B$36:$B$90,0)))</x:f>
        <x:v>8</x:v>
      </x:c>
      <x:c r="U197" s="366" t="n">
        <x:f>IF(OR(COUNTIFS(Strategy!$B$36:$B$90,P197)&lt;&gt;1,COUNTIFS(Strategy!$B$36:$B$90,P197,Strategy!$D$36:$D$90,"&lt;&gt;")&lt;&gt;1),"",INDEX(Strategy!$D$36:$D$90,MATCH(P197,Strategy!$B$36:$B$90,0)))</x:f>
        <x:v>3</x:v>
      </x:c>
      <x:c r="V197" s="366" t="n">
        <x:f>IF(OR(COUNTIFS(Strategy!$B$36:$B$90,P197)&lt;&gt;1,COUNTIFS(Strategy!$B$36:$B$90,P197,Strategy!$E$36:$E$90,"&lt;&gt;")&lt;&gt;1),"",INDEX(Strategy!$E$36:$E$90,MATCH(P197,Strategy!$B$36:$B$90,0)))</x:f>
        <x:v>10</x:v>
      </x:c>
      <x:c r="W197" s="359" t="str">
        <x:f>IF(OR(COUNTIFS(Strategy!$B$36:$B$90,P197)&lt;&gt;1,COUNTIFS(Strategy!$B$36:$B$90,P197,Strategy!$F$36:$F$90,"&lt;&gt;")&lt;&gt;1),"",INDEX(Strategy!$F$36:$F$90,MATCH(P197,Strategy!$B$36:$B$90,0)))</x:f>
        <x:v>reps/leg</x:v>
      </x:c>
      <x:c r="X197" s="369" t="n">
        <x:f>IF(OR(COUNT(R197:V197)&lt;&gt;5,Q197&lt;&gt;W197,T197&lt;0,T197&gt;10,U197&lt;=0,V197&lt;=0,R197&lt;0,R197&lt;&gt;INT(R197),S197&lt;=0),"",T197*R197*S197/(U197*V197))</x:f>
        <x:v>1.6</x:v>
      </x:c>
      <x:c r="Y197" s="373" t="str">
        <x:v>Two reps per cluster; rest is excluded.</x:v>
      </x:c>
    </x:row>
    <x:row r="198" ht="15" hidden="0" customHeight="1">
      <x:c r="N198" s="364" t="n">
        <x:f>Daily!A41</x:f>
        <x:v>46387.5</x:v>
      </x:c>
      <x:c r="O198" s="361" t="str">
        <x:f>Daily!D41</x:f>
        <x:v>Skill B + circuit</x:v>
      </x:c>
      <x:c r="P198" s="372" t="str">
        <x:v>Pull-up</x:v>
      </x:c>
      <x:c r="Q198" s="362" t="str">
        <x:v>seconds</x:v>
      </x:c>
      <x:c r="R198" s="367" t="n">
        <x:v>5</x:v>
      </x:c>
      <x:c r="S198" s="367" t="n">
        <x:v>30</x:v>
      </x:c>
      <x:c r="T198" s="368" t="n">
        <x:f>IF(OR(COUNTIFS(Strategy!$B$36:$B$90,P198)&lt;&gt;1,COUNTIFS(Strategy!$B$36:$B$90,P198,Strategy!$C$36:$C$90,"&lt;&gt;")&lt;&gt;1),"",INDEX(Strategy!$C$36:$C$90,MATCH(P198,Strategy!$B$36:$B$90,0)))</x:f>
        <x:v>1</x:v>
      </x:c>
      <x:c r="U198" s="368" t="n">
        <x:f>IF(OR(COUNTIFS(Strategy!$B$36:$B$90,P198)&lt;&gt;1,COUNTIFS(Strategy!$B$36:$B$90,P198,Strategy!$D$36:$D$90,"&lt;&gt;")&lt;&gt;1),"",INDEX(Strategy!$D$36:$D$90,MATCH(P198,Strategy!$B$36:$B$90,0)))</x:f>
        <x:v>5</x:v>
      </x:c>
      <x:c r="V198" s="368" t="n">
        <x:f>IF(OR(COUNTIFS(Strategy!$B$36:$B$90,P198)&lt;&gt;1,COUNTIFS(Strategy!$B$36:$B$90,P198,Strategy!$E$36:$E$90,"&lt;&gt;")&lt;&gt;1),"",INDEX(Strategy!$E$36:$E$90,MATCH(P198,Strategy!$B$36:$B$90,0)))</x:f>
        <x:v>120</x:v>
      </x:c>
      <x:c r="W198" s="361" t="str">
        <x:f>IF(OR(COUNTIFS(Strategy!$B$36:$B$90,P198)&lt;&gt;1,COUNTIFS(Strategy!$B$36:$B$90,P198,Strategy!$F$36:$F$90,"&lt;&gt;")&lt;&gt;1),"",INDEX(Strategy!$F$36:$F$90,MATCH(P198,Strategy!$B$36:$B$90,0)))</x:f>
        <x:v>seconds</x:v>
      </x:c>
      <x:c r="X198" s="370" t="n">
        <x:f>IF(OR(COUNT(R198:V198)&lt;&gt;5,Q198&lt;&gt;W198,T198&lt;0,T198&gt;10,U198&lt;=0,V198&lt;=0,R198&lt;0,R198&lt;&gt;INT(R198),S198&lt;=0),"",T198*R198*S198/(U198*V198))</x:f>
        <x:v>0.25</x:v>
      </x:c>
      <x:c r="Y198" s="374" t="str">
        <x:v>Core: one 30-second work interval per round; rest excluded.</x:v>
      </x:c>
    </x:row>
    <x:row r="199" ht="15" hidden="0" customHeight="1">
      <x:c r="N199" s="363" t="n">
        <x:f>Daily!A41</x:f>
        <x:v>46387.5</x:v>
      </x:c>
      <x:c r="O199" s="359" t="str">
        <x:f>Daily!D41</x:f>
        <x:v>Skill B + circuit</x:v>
      </x:c>
      <x:c r="P199" s="371" t="str">
        <x:v>Push-up</x:v>
      </x:c>
      <x:c r="Q199" s="360" t="str">
        <x:v>seconds</x:v>
      </x:c>
      <x:c r="R199" s="365" t="n">
        <x:v>5</x:v>
      </x:c>
      <x:c r="S199" s="365" t="n">
        <x:v>30</x:v>
      </x:c>
      <x:c r="T199" s="366" t="n">
        <x:f>IF(OR(COUNTIFS(Strategy!$B$36:$B$90,P199)&lt;&gt;1,COUNTIFS(Strategy!$B$36:$B$90,P199,Strategy!$C$36:$C$90,"&lt;&gt;")&lt;&gt;1),"",INDEX(Strategy!$C$36:$C$90,MATCH(P199,Strategy!$B$36:$B$90,0)))</x:f>
        <x:v>1</x:v>
      </x:c>
      <x:c r="U199" s="366" t="n">
        <x:f>IF(OR(COUNTIFS(Strategy!$B$36:$B$90,P199)&lt;&gt;1,COUNTIFS(Strategy!$B$36:$B$90,P199,Strategy!$D$36:$D$90,"&lt;&gt;")&lt;&gt;1),"",INDEX(Strategy!$D$36:$D$90,MATCH(P199,Strategy!$B$36:$B$90,0)))</x:f>
        <x:v>5</x:v>
      </x:c>
      <x:c r="V199" s="366" t="n">
        <x:f>IF(OR(COUNTIFS(Strategy!$B$36:$B$90,P199)&lt;&gt;1,COUNTIFS(Strategy!$B$36:$B$90,P199,Strategy!$E$36:$E$90,"&lt;&gt;")&lt;&gt;1),"",INDEX(Strategy!$E$36:$E$90,MATCH(P199,Strategy!$B$36:$B$90,0)))</x:f>
        <x:v>120</x:v>
      </x:c>
      <x:c r="W199" s="359" t="str">
        <x:f>IF(OR(COUNTIFS(Strategy!$B$36:$B$90,P199)&lt;&gt;1,COUNTIFS(Strategy!$B$36:$B$90,P199,Strategy!$F$36:$F$90,"&lt;&gt;")&lt;&gt;1),"",INDEX(Strategy!$F$36:$F$90,MATCH(P199,Strategy!$B$36:$B$90,0)))</x:f>
        <x:v>seconds</x:v>
      </x:c>
      <x:c r="X199" s="369" t="n">
        <x:f>IF(OR(COUNT(R199:V199)&lt;&gt;5,Q199&lt;&gt;W199,T199&lt;0,T199&gt;10,U199&lt;=0,V199&lt;=0,R199&lt;0,R199&lt;&gt;INT(R199),S199&lt;=0),"",T199*R199*S199/(U199*V199))</x:f>
        <x:v>0.25</x:v>
      </x:c>
      <x:c r="Y199" s="373" t="str">
        <x:v>Core: one 30-second work interval per round; rest excluded.</x:v>
      </x:c>
    </x:row>
    <x:row r="200" ht="15" hidden="0" customHeight="1">
      <x:c r="N200" s="364" t="n">
        <x:f>Daily!A41</x:f>
        <x:v>46387.5</x:v>
      </x:c>
      <x:c r="O200" s="361" t="str">
        <x:f>Daily!D41</x:f>
        <x:v>Skill B + circuit</x:v>
      </x:c>
      <x:c r="P200" s="372" t="str">
        <x:v>Weighted squat</x:v>
      </x:c>
      <x:c r="Q200" s="362" t="str">
        <x:v>seconds</x:v>
      </x:c>
      <x:c r="R200" s="367" t="n">
        <x:v>5</x:v>
      </x:c>
      <x:c r="S200" s="367" t="n">
        <x:v>30</x:v>
      </x:c>
      <x:c r="T200" s="368" t="n">
        <x:f>IF(OR(COUNTIFS(Strategy!$B$36:$B$90,P200)&lt;&gt;1,COUNTIFS(Strategy!$B$36:$B$90,P200,Strategy!$C$36:$C$90,"&lt;&gt;")&lt;&gt;1),"",INDEX(Strategy!$C$36:$C$90,MATCH(P200,Strategy!$B$36:$B$90,0)))</x:f>
        <x:v>1</x:v>
      </x:c>
      <x:c r="U200" s="368" t="n">
        <x:f>IF(OR(COUNTIFS(Strategy!$B$36:$B$90,P200)&lt;&gt;1,COUNTIFS(Strategy!$B$36:$B$90,P200,Strategy!$D$36:$D$90,"&lt;&gt;")&lt;&gt;1),"",INDEX(Strategy!$D$36:$D$90,MATCH(P200,Strategy!$B$36:$B$90,0)))</x:f>
        <x:v>5</x:v>
      </x:c>
      <x:c r="V200" s="368" t="n">
        <x:f>IF(OR(COUNTIFS(Strategy!$B$36:$B$90,P200)&lt;&gt;1,COUNTIFS(Strategy!$B$36:$B$90,P200,Strategy!$E$36:$E$90,"&lt;&gt;")&lt;&gt;1),"",INDEX(Strategy!$E$36:$E$90,MATCH(P200,Strategy!$B$36:$B$90,0)))</x:f>
        <x:v>120</x:v>
      </x:c>
      <x:c r="W200" s="361" t="str">
        <x:f>IF(OR(COUNTIFS(Strategy!$B$36:$B$90,P200)&lt;&gt;1,COUNTIFS(Strategy!$B$36:$B$90,P200,Strategy!$F$36:$F$90,"&lt;&gt;")&lt;&gt;1),"",INDEX(Strategy!$F$36:$F$90,MATCH(P200,Strategy!$B$36:$B$90,0)))</x:f>
        <x:v>seconds</x:v>
      </x:c>
      <x:c r="X200" s="370" t="n">
        <x:f>IF(OR(COUNT(R200:V200)&lt;&gt;5,Q200&lt;&gt;W200,T200&lt;0,T200&gt;10,U200&lt;=0,V200&lt;=0,R200&lt;0,R200&lt;&gt;INT(R200),S200&lt;=0),"",T200*R200*S200/(U200*V200))</x:f>
        <x:v>0.25</x:v>
      </x:c>
      <x:c r="Y200" s="374" t="str">
        <x:v>Core: one 30-second work interval per round; rest excluded.</x:v>
      </x:c>
    </x:row>
    <x:row r="201" ht="15" hidden="0" customHeight="1">
      <x:c r="N201" s="363" t="n">
        <x:f>Daily!A41</x:f>
        <x:v>46387.5</x:v>
      </x:c>
      <x:c r="O201" s="359" t="str">
        <x:f>Daily!D41</x:f>
        <x:v>Skill B + circuit</x:v>
      </x:c>
      <x:c r="P201" s="371" t="str">
        <x:v>Upside-down hanging shoulder/ab work</x:v>
      </x:c>
      <x:c r="Q201" s="360" t="str">
        <x:v>seconds</x:v>
      </x:c>
      <x:c r="R201" s="365" t="n">
        <x:v>5</x:v>
      </x:c>
      <x:c r="S201" s="365" t="n">
        <x:v>30</x:v>
      </x:c>
      <x:c r="T201" s="366" t="n">
        <x:f>IF(OR(COUNTIFS(Strategy!$B$36:$B$90,P201)&lt;&gt;1,COUNTIFS(Strategy!$B$36:$B$90,P201,Strategy!$C$36:$C$90,"&lt;&gt;")&lt;&gt;1),"",INDEX(Strategy!$C$36:$C$90,MATCH(P201,Strategy!$B$36:$B$90,0)))</x:f>
        <x:v>1</x:v>
      </x:c>
      <x:c r="U201" s="366" t="n">
        <x:f>IF(OR(COUNTIFS(Strategy!$B$36:$B$90,P201)&lt;&gt;1,COUNTIFS(Strategy!$B$36:$B$90,P201,Strategy!$D$36:$D$90,"&lt;&gt;")&lt;&gt;1),"",INDEX(Strategy!$D$36:$D$90,MATCH(P201,Strategy!$B$36:$B$90,0)))</x:f>
        <x:v>5</x:v>
      </x:c>
      <x:c r="V201" s="366" t="n">
        <x:f>IF(OR(COUNTIFS(Strategy!$B$36:$B$90,P201)&lt;&gt;1,COUNTIFS(Strategy!$B$36:$B$90,P201,Strategy!$E$36:$E$90,"&lt;&gt;")&lt;&gt;1),"",INDEX(Strategy!$E$36:$E$90,MATCH(P201,Strategy!$B$36:$B$90,0)))</x:f>
        <x:v>120</x:v>
      </x:c>
      <x:c r="W201" s="359" t="str">
        <x:f>IF(OR(COUNTIFS(Strategy!$B$36:$B$90,P201)&lt;&gt;1,COUNTIFS(Strategy!$B$36:$B$90,P201,Strategy!$F$36:$F$90,"&lt;&gt;")&lt;&gt;1),"",INDEX(Strategy!$F$36:$F$90,MATCH(P201,Strategy!$B$36:$B$90,0)))</x:f>
        <x:v>seconds</x:v>
      </x:c>
      <x:c r="X201" s="369" t="n">
        <x:f>IF(OR(COUNT(R201:V201)&lt;&gt;5,Q201&lt;&gt;W201,T201&lt;0,T201&gt;10,U201&lt;=0,V201&lt;=0,R201&lt;0,R201&lt;&gt;INT(R201),S201&lt;=0),"",T201*R201*S201/(U201*V201))</x:f>
        <x:v>0.25</x:v>
      </x:c>
      <x:c r="Y201" s="373" t="str">
        <x:v>Core: one 30-second work interval per round; rest excluded.</x:v>
      </x:c>
    </x:row>
    <x:row r="202" ht="15" hidden="0" customHeight="1">
      <x:c r="N202" s="364" t="n">
        <x:f>Daily!A42</x:f>
        <x:v>46389.5</x:v>
      </x:c>
      <x:c r="O202" s="361" t="str">
        <x:f>Daily!D42</x:f>
        <x:v>Skill micro-session</x:v>
      </x:c>
      <x:c r="P202" s="372" t="str">
        <x:v>Wrist/shoulder mobility</x:v>
      </x:c>
      <x:c r="Q202" s="362" t="str">
        <x:v>seconds</x:v>
      </x:c>
      <x:c r="R202" s="367" t="n">
        <x:v>1</x:v>
      </x:c>
      <x:c r="S202" s="367" t="n">
        <x:v>120</x:v>
      </x:c>
      <x:c r="T202" s="368" t="n">
        <x:f>IF(OR(COUNTIFS(Strategy!$B$36:$B$90,P202)&lt;&gt;1,COUNTIFS(Strategy!$B$36:$B$90,P202,Strategy!$C$36:$C$90,"&lt;&gt;")&lt;&gt;1),"",INDEX(Strategy!$C$36:$C$90,MATCH(P202,Strategy!$B$36:$B$90,0)))</x:f>
        <x:v>1</x:v>
      </x:c>
      <x:c r="U202" s="368" t="n">
        <x:f>IF(OR(COUNTIFS(Strategy!$B$36:$B$90,P202)&lt;&gt;1,COUNTIFS(Strategy!$B$36:$B$90,P202,Strategy!$D$36:$D$90,"&lt;&gt;")&lt;&gt;1),"",INDEX(Strategy!$D$36:$D$90,MATCH(P202,Strategy!$B$36:$B$90,0)))</x:f>
        <x:v>3</x:v>
      </x:c>
      <x:c r="V202" s="368" t="n">
        <x:f>IF(OR(COUNTIFS(Strategy!$B$36:$B$90,P202)&lt;&gt;1,COUNTIFS(Strategy!$B$36:$B$90,P202,Strategy!$E$36:$E$90,"&lt;&gt;")&lt;&gt;1),"",INDEX(Strategy!$E$36:$E$90,MATCH(P202,Strategy!$B$36:$B$90,0)))</x:f>
        <x:v>60</x:v>
      </x:c>
      <x:c r="W202" s="361" t="str">
        <x:f>IF(OR(COUNTIFS(Strategy!$B$36:$B$90,P202)&lt;&gt;1,COUNTIFS(Strategy!$B$36:$B$90,P202,Strategy!$F$36:$F$90,"&lt;&gt;")&lt;&gt;1),"",INDEX(Strategy!$F$36:$F$90,MATCH(P202,Strategy!$B$36:$B$90,0)))</x:f>
        <x:v>seconds</x:v>
      </x:c>
      <x:c r="X202" s="370" t="n">
        <x:f>IF(OR(COUNT(R202:V202)&lt;&gt;5,Q202&lt;&gt;W202,T202&lt;0,T202&gt;10,U202&lt;=0,V202&lt;=0,R202&lt;0,R202&lt;&gt;INT(R202),S202&lt;=0),"",T202*R202*S202/(U202*V202))</x:f>
        <x:v>0.6666666666666666</x:v>
      </x:c>
      <x:c r="Y202" s="374" t="str"/>
    </x:row>
    <x:row r="203" ht="15" hidden="0" customHeight="1">
      <x:c r="N203" s="363" t="n">
        <x:f>Daily!A42</x:f>
        <x:v>46389.5</x:v>
      </x:c>
      <x:c r="O203" s="359" t="str">
        <x:f>Daily!D42</x:f>
        <x:v>Skill micro-session</x:v>
      </x:c>
      <x:c r="P203" s="371" t="str">
        <x:v>Easy chest-to-wall hold</x:v>
      </x:c>
      <x:c r="Q203" s="360" t="str">
        <x:v>seconds</x:v>
      </x:c>
      <x:c r="R203" s="365" t="n">
        <x:v>3</x:v>
      </x:c>
      <x:c r="S203" s="365" t="n">
        <x:v>15</x:v>
      </x:c>
      <x:c r="T203" s="366" t="n">
        <x:f>IF(OR(COUNTIFS(Strategy!$B$36:$B$90,P203)&lt;&gt;1,COUNTIFS(Strategy!$B$36:$B$90,P203,Strategy!$C$36:$C$90,"&lt;&gt;")&lt;&gt;1),"",INDEX(Strategy!$C$36:$C$90,MATCH(P203,Strategy!$B$36:$B$90,0)))</x:f>
        <x:v>1</x:v>
      </x:c>
      <x:c r="U203" s="366" t="n">
        <x:f>IF(OR(COUNTIFS(Strategy!$B$36:$B$90,P203)&lt;&gt;1,COUNTIFS(Strategy!$B$36:$B$90,P203,Strategy!$D$36:$D$90,"&lt;&gt;")&lt;&gt;1),"",INDEX(Strategy!$D$36:$D$90,MATCH(P203,Strategy!$B$36:$B$90,0)))</x:f>
        <x:v>3</x:v>
      </x:c>
      <x:c r="V203" s="366" t="n">
        <x:f>IF(OR(COUNTIFS(Strategy!$B$36:$B$90,P203)&lt;&gt;1,COUNTIFS(Strategy!$B$36:$B$90,P203,Strategy!$E$36:$E$90,"&lt;&gt;")&lt;&gt;1),"",INDEX(Strategy!$E$36:$E$90,MATCH(P203,Strategy!$B$36:$B$90,0)))</x:f>
        <x:v>60</x:v>
      </x:c>
      <x:c r="W203" s="359" t="str">
        <x:f>IF(OR(COUNTIFS(Strategy!$B$36:$B$90,P203)&lt;&gt;1,COUNTIFS(Strategy!$B$36:$B$90,P203,Strategy!$F$36:$F$90,"&lt;&gt;")&lt;&gt;1),"",INDEX(Strategy!$F$36:$F$90,MATCH(P203,Strategy!$B$36:$B$90,0)))</x:f>
        <x:v>seconds</x:v>
      </x:c>
      <x:c r="X203" s="369" t="n">
        <x:f>IF(OR(COUNT(R203:V203)&lt;&gt;5,Q203&lt;&gt;W203,T203&lt;0,T203&gt;10,U203&lt;=0,V203&lt;=0,R203&lt;0,R203&lt;&gt;INT(R203),S203&lt;=0),"",T203*R203*S203/(U203*V203))</x:f>
        <x:v>0.25</x:v>
      </x:c>
      <x:c r="Y203" s="373" t="str"/>
    </x:row>
    <x:row r="204" ht="15" hidden="0" customHeight="1">
      <x:c r="N204" s="364" t="n">
        <x:f>Daily!A42</x:f>
        <x:v>46389.5</x:v>
      </x:c>
      <x:c r="O204" s="361" t="str">
        <x:f>Daily!D42</x:f>
        <x:v>Skill micro-session</x:v>
      </x:c>
      <x:c r="P204" s="372" t="str">
        <x:v>Wall handstand line drill</x:v>
      </x:c>
      <x:c r="Q204" s="362" t="str">
        <x:v>seconds</x:v>
      </x:c>
      <x:c r="R204" s="367" t="n">
        <x:v>3</x:v>
      </x:c>
      <x:c r="S204" s="367" t="n">
        <x:v>15</x:v>
      </x:c>
      <x:c r="T204" s="368" t="n">
        <x:f>IF(OR(COUNTIFS(Strategy!$B$36:$B$90,P204)&lt;&gt;1,COUNTIFS(Strategy!$B$36:$B$90,P204,Strategy!$C$36:$C$90,"&lt;&gt;")&lt;&gt;1),"",INDEX(Strategy!$C$36:$C$90,MATCH(P204,Strategy!$B$36:$B$90,0)))</x:f>
        <x:v>1</x:v>
      </x:c>
      <x:c r="U204" s="368" t="n">
        <x:f>IF(OR(COUNTIFS(Strategy!$B$36:$B$90,P204)&lt;&gt;1,COUNTIFS(Strategy!$B$36:$B$90,P204,Strategy!$D$36:$D$90,"&lt;&gt;")&lt;&gt;1),"",INDEX(Strategy!$D$36:$D$90,MATCH(P204,Strategy!$B$36:$B$90,0)))</x:f>
        <x:v>3</x:v>
      </x:c>
      <x:c r="V204" s="368" t="n">
        <x:f>IF(OR(COUNTIFS(Strategy!$B$36:$B$90,P204)&lt;&gt;1,COUNTIFS(Strategy!$B$36:$B$90,P204,Strategy!$E$36:$E$90,"&lt;&gt;")&lt;&gt;1),"",INDEX(Strategy!$E$36:$E$90,MATCH(P204,Strategy!$B$36:$B$90,0)))</x:f>
        <x:v>60</x:v>
      </x:c>
      <x:c r="W204" s="361" t="str">
        <x:f>IF(OR(COUNTIFS(Strategy!$B$36:$B$90,P204)&lt;&gt;1,COUNTIFS(Strategy!$B$36:$B$90,P204,Strategy!$F$36:$F$90,"&lt;&gt;")&lt;&gt;1),"",INDEX(Strategy!$F$36:$F$90,MATCH(P204,Strategy!$B$36:$B$90,0)))</x:f>
        <x:v>seconds</x:v>
      </x:c>
      <x:c r="X204" s="370" t="n">
        <x:f>IF(OR(COUNT(R204:V204)&lt;&gt;5,Q204&lt;&gt;W204,T204&lt;0,T204&gt;10,U204&lt;=0,V204&lt;=0,R204&lt;0,R204&lt;&gt;INT(R204),S204&lt;=0),"",T204*R204*S204/(U204*V204))</x:f>
        <x:v>0.25</x:v>
      </x:c>
      <x:c r="Y204" s="374" t="str"/>
    </x:row>
    <x:row r="205" ht="15" hidden="0" customHeight="1">
      <x:c r="N205" s="363" t="n">
        <x:f>Daily!A43</x:f>
        <x:v>46391.5</x:v>
      </x:c>
      <x:c r="O205" s="359" t="str">
        <x:f>Daily!D43</x:f>
        <x:v>Skill A + interval circuit</x:v>
      </x:c>
      <x:c r="P205" s="371" t="str">
        <x:v>Quality muscle-up attempts</x:v>
      </x:c>
      <x:c r="Q205" s="360" t="str">
        <x:v>reps</x:v>
      </x:c>
      <x:c r="R205" s="365" t="n">
        <x:v>3</x:v>
      </x:c>
      <x:c r="S205" s="365" t="n">
        <x:v>1</x:v>
      </x:c>
      <x:c r="T205" s="366" t="n">
        <x:f>IF(OR(COUNTIFS(Strategy!$B$36:$B$90,P205)&lt;&gt;1,COUNTIFS(Strategy!$B$36:$B$90,P205,Strategy!$C$36:$C$90,"&lt;&gt;")&lt;&gt;1),"",INDEX(Strategy!$C$36:$C$90,MATCH(P205,Strategy!$B$36:$B$90,0)))</x:f>
        <x:v>8</x:v>
      </x:c>
      <x:c r="U205" s="366" t="n">
        <x:f>IF(OR(COUNTIFS(Strategy!$B$36:$B$90,P205)&lt;&gt;1,COUNTIFS(Strategy!$B$36:$B$90,P205,Strategy!$D$36:$D$90,"&lt;&gt;")&lt;&gt;1),"",INDEX(Strategy!$D$36:$D$90,MATCH(P205,Strategy!$B$36:$B$90,0)))</x:f>
        <x:v>3</x:v>
      </x:c>
      <x:c r="V205" s="366" t="n">
        <x:f>IF(OR(COUNTIFS(Strategy!$B$36:$B$90,P205)&lt;&gt;1,COUNTIFS(Strategy!$B$36:$B$90,P205,Strategy!$E$36:$E$90,"&lt;&gt;")&lt;&gt;1),"",INDEX(Strategy!$E$36:$E$90,MATCH(P205,Strategy!$B$36:$B$90,0)))</x:f>
        <x:v>10</x:v>
      </x:c>
      <x:c r="W205" s="359" t="str">
        <x:f>IF(OR(COUNTIFS(Strategy!$B$36:$B$90,P205)&lt;&gt;1,COUNTIFS(Strategy!$B$36:$B$90,P205,Strategy!$F$36:$F$90,"&lt;&gt;")&lt;&gt;1),"",INDEX(Strategy!$F$36:$F$90,MATCH(P205,Strategy!$B$36:$B$90,0)))</x:f>
        <x:v>reps</x:v>
      </x:c>
      <x:c r="X205" s="369" t="n">
        <x:f>IF(OR(COUNT(R205:V205)&lt;&gt;5,Q205&lt;&gt;W205,T205&lt;0,T205&gt;10,U205&lt;=0,V205&lt;=0,R205&lt;0,R205&lt;&gt;INT(R205),S205&lt;=0),"",T205*R205*S205/(U205*V205))</x:f>
        <x:v>0.8</x:v>
      </x:c>
      <x:c r="Y205" s="373" t="str">
        <x:v>One rep per planned attempt.</x:v>
      </x:c>
    </x:row>
    <x:row r="206" ht="15" hidden="0" customHeight="1">
      <x:c r="N206" s="364" t="n">
        <x:f>Daily!A43</x:f>
        <x:v>46391.5</x:v>
      </x:c>
      <x:c r="O206" s="361" t="str">
        <x:f>Daily!D43</x:f>
        <x:v>Skill A + interval circuit</x:v>
      </x:c>
      <x:c r="P206" s="372" t="str">
        <x:v>Crisp high pull</x:v>
      </x:c>
      <x:c r="Q206" s="362" t="str">
        <x:v>reps</x:v>
      </x:c>
      <x:c r="R206" s="367" t="n">
        <x:v>3</x:v>
      </x:c>
      <x:c r="S206" s="367" t="n">
        <x:v>2</x:v>
      </x:c>
      <x:c r="T206" s="368" t="n">
        <x:f>IF(OR(COUNTIFS(Strategy!$B$36:$B$90,P206)&lt;&gt;1,COUNTIFS(Strategy!$B$36:$B$90,P206,Strategy!$C$36:$C$90,"&lt;&gt;")&lt;&gt;1),"",INDEX(Strategy!$C$36:$C$90,MATCH(P206,Strategy!$B$36:$B$90,0)))</x:f>
        <x:v>4</x:v>
      </x:c>
      <x:c r="U206" s="368" t="n">
        <x:f>IF(OR(COUNTIFS(Strategy!$B$36:$B$90,P206)&lt;&gt;1,COUNTIFS(Strategy!$B$36:$B$90,P206,Strategy!$D$36:$D$90,"&lt;&gt;")&lt;&gt;1),"",INDEX(Strategy!$D$36:$D$90,MATCH(P206,Strategy!$B$36:$B$90,0)))</x:f>
        <x:v>3</x:v>
      </x:c>
      <x:c r="V206" s="368" t="n">
        <x:f>IF(OR(COUNTIFS(Strategy!$B$36:$B$90,P206)&lt;&gt;1,COUNTIFS(Strategy!$B$36:$B$90,P206,Strategy!$E$36:$E$90,"&lt;&gt;")&lt;&gt;1),"",INDEX(Strategy!$E$36:$E$90,MATCH(P206,Strategy!$B$36:$B$90,0)))</x:f>
        <x:v>10</x:v>
      </x:c>
      <x:c r="W206" s="361" t="str">
        <x:f>IF(OR(COUNTIFS(Strategy!$B$36:$B$90,P206)&lt;&gt;1,COUNTIFS(Strategy!$B$36:$B$90,P206,Strategy!$F$36:$F$90,"&lt;&gt;")&lt;&gt;1),"",INDEX(Strategy!$F$36:$F$90,MATCH(P206,Strategy!$B$36:$B$90,0)))</x:f>
        <x:v>reps</x:v>
      </x:c>
      <x:c r="X206" s="370" t="n">
        <x:f>IF(OR(COUNT(R206:V206)&lt;&gt;5,Q206&lt;&gt;W206,T206&lt;0,T206&gt;10,U206&lt;=0,V206&lt;=0,R206&lt;0,R206&lt;&gt;INT(R206),S206&lt;=0),"",T206*R206*S206/(U206*V206))</x:f>
        <x:v>0.8</x:v>
      </x:c>
      <x:c r="Y206" s="374" t="str"/>
    </x:row>
    <x:row r="207" ht="15" hidden="0" customHeight="1">
      <x:c r="N207" s="363" t="n">
        <x:f>Daily!A43</x:f>
        <x:v>46391.5</x:v>
      </x:c>
      <x:c r="O207" s="359" t="str">
        <x:f>Daily!D43</x:f>
        <x:v>Skill A + interval circuit</x:v>
      </x:c>
      <x:c r="P207" s="371" t="str">
        <x:v>Clean pistol</x:v>
      </x:c>
      <x:c r="Q207" s="360" t="str">
        <x:v>reps/leg</x:v>
      </x:c>
      <x:c r="R207" s="365" t="n">
        <x:v>3</x:v>
      </x:c>
      <x:c r="S207" s="365" t="n">
        <x:v>2</x:v>
      </x:c>
      <x:c r="T207" s="366" t="n">
        <x:f>IF(OR(COUNTIFS(Strategy!$B$36:$B$90,P207)&lt;&gt;1,COUNTIFS(Strategy!$B$36:$B$90,P207,Strategy!$C$36:$C$90,"&lt;&gt;")&lt;&gt;1),"",INDEX(Strategy!$C$36:$C$90,MATCH(P207,Strategy!$B$36:$B$90,0)))</x:f>
        <x:v>8</x:v>
      </x:c>
      <x:c r="U207" s="366" t="n">
        <x:f>IF(OR(COUNTIFS(Strategy!$B$36:$B$90,P207)&lt;&gt;1,COUNTIFS(Strategy!$B$36:$B$90,P207,Strategy!$D$36:$D$90,"&lt;&gt;")&lt;&gt;1),"",INDEX(Strategy!$D$36:$D$90,MATCH(P207,Strategy!$B$36:$B$90,0)))</x:f>
        <x:v>3</x:v>
      </x:c>
      <x:c r="V207" s="366" t="n">
        <x:f>IF(OR(COUNTIFS(Strategy!$B$36:$B$90,P207)&lt;&gt;1,COUNTIFS(Strategy!$B$36:$B$90,P207,Strategy!$E$36:$E$90,"&lt;&gt;")&lt;&gt;1),"",INDEX(Strategy!$E$36:$E$90,MATCH(P207,Strategy!$B$36:$B$90,0)))</x:f>
        <x:v>10</x:v>
      </x:c>
      <x:c r="W207" s="359" t="str">
        <x:f>IF(OR(COUNTIFS(Strategy!$B$36:$B$90,P207)&lt;&gt;1,COUNTIFS(Strategy!$B$36:$B$90,P207,Strategy!$F$36:$F$90,"&lt;&gt;")&lt;&gt;1),"",INDEX(Strategy!$F$36:$F$90,MATCH(P207,Strategy!$B$36:$B$90,0)))</x:f>
        <x:v>reps/leg</x:v>
      </x:c>
      <x:c r="X207" s="369" t="n">
        <x:f>IF(OR(COUNT(R207:V207)&lt;&gt;5,Q207&lt;&gt;W207,T207&lt;0,T207&gt;10,U207&lt;=0,V207&lt;=0,R207&lt;0,R207&lt;&gt;INT(R207),S207&lt;=0),"",T207*R207*S207/(U207*V207))</x:f>
        <x:v>1.6</x:v>
      </x:c>
      <x:c r="Y207" s="373" t="str"/>
    </x:row>
    <x:row r="208" ht="15" hidden="0" customHeight="1">
      <x:c r="N208" s="364" t="n">
        <x:f>Daily!A43</x:f>
        <x:v>46391.5</x:v>
      </x:c>
      <x:c r="O208" s="361" t="str">
        <x:f>Daily!D43</x:f>
        <x:v>Skill A + interval circuit</x:v>
      </x:c>
      <x:c r="P208" s="372" t="str">
        <x:v>Pull-up</x:v>
      </x:c>
      <x:c r="Q208" s="362" t="str">
        <x:v>seconds</x:v>
      </x:c>
      <x:c r="R208" s="367" t="n">
        <x:v>5</x:v>
      </x:c>
      <x:c r="S208" s="367" t="n">
        <x:v>30</x:v>
      </x:c>
      <x:c r="T208" s="368" t="n">
        <x:f>IF(OR(COUNTIFS(Strategy!$B$36:$B$90,P208)&lt;&gt;1,COUNTIFS(Strategy!$B$36:$B$90,P208,Strategy!$C$36:$C$90,"&lt;&gt;")&lt;&gt;1),"",INDEX(Strategy!$C$36:$C$90,MATCH(P208,Strategy!$B$36:$B$90,0)))</x:f>
        <x:v>1</x:v>
      </x:c>
      <x:c r="U208" s="368" t="n">
        <x:f>IF(OR(COUNTIFS(Strategy!$B$36:$B$90,P208)&lt;&gt;1,COUNTIFS(Strategy!$B$36:$B$90,P208,Strategy!$D$36:$D$90,"&lt;&gt;")&lt;&gt;1),"",INDEX(Strategy!$D$36:$D$90,MATCH(P208,Strategy!$B$36:$B$90,0)))</x:f>
        <x:v>5</x:v>
      </x:c>
      <x:c r="V208" s="368" t="n">
        <x:f>IF(OR(COUNTIFS(Strategy!$B$36:$B$90,P208)&lt;&gt;1,COUNTIFS(Strategy!$B$36:$B$90,P208,Strategy!$E$36:$E$90,"&lt;&gt;")&lt;&gt;1),"",INDEX(Strategy!$E$36:$E$90,MATCH(P208,Strategy!$B$36:$B$90,0)))</x:f>
        <x:v>120</x:v>
      </x:c>
      <x:c r="W208" s="361" t="str">
        <x:f>IF(OR(COUNTIFS(Strategy!$B$36:$B$90,P208)&lt;&gt;1,COUNTIFS(Strategy!$B$36:$B$90,P208,Strategy!$F$36:$F$90,"&lt;&gt;")&lt;&gt;1),"",INDEX(Strategy!$F$36:$F$90,MATCH(P208,Strategy!$B$36:$B$90,0)))</x:f>
        <x:v>seconds</x:v>
      </x:c>
      <x:c r="X208" s="370" t="n">
        <x:f>IF(OR(COUNT(R208:V208)&lt;&gt;5,Q208&lt;&gt;W208,T208&lt;0,T208&gt;10,U208&lt;=0,V208&lt;=0,R208&lt;0,R208&lt;&gt;INT(R208),S208&lt;=0),"",T208*R208*S208/(U208*V208))</x:f>
        <x:v>0.25</x:v>
      </x:c>
      <x:c r="Y208" s="374" t="str">
        <x:v>Core: one 30-second work interval per round; rest excluded.</x:v>
      </x:c>
    </x:row>
    <x:row r="209" ht="15" hidden="0" customHeight="1">
      <x:c r="N209" s="363" t="n">
        <x:f>Daily!A43</x:f>
        <x:v>46391.5</x:v>
      </x:c>
      <x:c r="O209" s="359" t="str">
        <x:f>Daily!D43</x:f>
        <x:v>Skill A + interval circuit</x:v>
      </x:c>
      <x:c r="P209" s="371" t="str">
        <x:v>Push-up</x:v>
      </x:c>
      <x:c r="Q209" s="360" t="str">
        <x:v>seconds</x:v>
      </x:c>
      <x:c r="R209" s="365" t="n">
        <x:v>5</x:v>
      </x:c>
      <x:c r="S209" s="365" t="n">
        <x:v>30</x:v>
      </x:c>
      <x:c r="T209" s="366" t="n">
        <x:f>IF(OR(COUNTIFS(Strategy!$B$36:$B$90,P209)&lt;&gt;1,COUNTIFS(Strategy!$B$36:$B$90,P209,Strategy!$C$36:$C$90,"&lt;&gt;")&lt;&gt;1),"",INDEX(Strategy!$C$36:$C$90,MATCH(P209,Strategy!$B$36:$B$90,0)))</x:f>
        <x:v>1</x:v>
      </x:c>
      <x:c r="U209" s="366" t="n">
        <x:f>IF(OR(COUNTIFS(Strategy!$B$36:$B$90,P209)&lt;&gt;1,COUNTIFS(Strategy!$B$36:$B$90,P209,Strategy!$D$36:$D$90,"&lt;&gt;")&lt;&gt;1),"",INDEX(Strategy!$D$36:$D$90,MATCH(P209,Strategy!$B$36:$B$90,0)))</x:f>
        <x:v>5</x:v>
      </x:c>
      <x:c r="V209" s="366" t="n">
        <x:f>IF(OR(COUNTIFS(Strategy!$B$36:$B$90,P209)&lt;&gt;1,COUNTIFS(Strategy!$B$36:$B$90,P209,Strategy!$E$36:$E$90,"&lt;&gt;")&lt;&gt;1),"",INDEX(Strategy!$E$36:$E$90,MATCH(P209,Strategy!$B$36:$B$90,0)))</x:f>
        <x:v>120</x:v>
      </x:c>
      <x:c r="W209" s="359" t="str">
        <x:f>IF(OR(COUNTIFS(Strategy!$B$36:$B$90,P209)&lt;&gt;1,COUNTIFS(Strategy!$B$36:$B$90,P209,Strategy!$F$36:$F$90,"&lt;&gt;")&lt;&gt;1),"",INDEX(Strategy!$F$36:$F$90,MATCH(P209,Strategy!$B$36:$B$90,0)))</x:f>
        <x:v>seconds</x:v>
      </x:c>
      <x:c r="X209" s="369" t="n">
        <x:f>IF(OR(COUNT(R209:V209)&lt;&gt;5,Q209&lt;&gt;W209,T209&lt;0,T209&gt;10,U209&lt;=0,V209&lt;=0,R209&lt;0,R209&lt;&gt;INT(R209),S209&lt;=0),"",T209*R209*S209/(U209*V209))</x:f>
        <x:v>0.25</x:v>
      </x:c>
      <x:c r="Y209" s="373" t="str">
        <x:v>Core: one 30-second work interval per round; rest excluded.</x:v>
      </x:c>
    </x:row>
    <x:row r="210" ht="15" hidden="0" customHeight="1">
      <x:c r="N210" s="364" t="n">
        <x:f>Daily!A43</x:f>
        <x:v>46391.5</x:v>
      </x:c>
      <x:c r="O210" s="361" t="str">
        <x:f>Daily!D43</x:f>
        <x:v>Skill A + interval circuit</x:v>
      </x:c>
      <x:c r="P210" s="372" t="str">
        <x:v>Weighted squat</x:v>
      </x:c>
      <x:c r="Q210" s="362" t="str">
        <x:v>seconds</x:v>
      </x:c>
      <x:c r="R210" s="367" t="n">
        <x:v>5</x:v>
      </x:c>
      <x:c r="S210" s="367" t="n">
        <x:v>30</x:v>
      </x:c>
      <x:c r="T210" s="368" t="n">
        <x:f>IF(OR(COUNTIFS(Strategy!$B$36:$B$90,P210)&lt;&gt;1,COUNTIFS(Strategy!$B$36:$B$90,P210,Strategy!$C$36:$C$90,"&lt;&gt;")&lt;&gt;1),"",INDEX(Strategy!$C$36:$C$90,MATCH(P210,Strategy!$B$36:$B$90,0)))</x:f>
        <x:v>1</x:v>
      </x:c>
      <x:c r="U210" s="368" t="n">
        <x:f>IF(OR(COUNTIFS(Strategy!$B$36:$B$90,P210)&lt;&gt;1,COUNTIFS(Strategy!$B$36:$B$90,P210,Strategy!$D$36:$D$90,"&lt;&gt;")&lt;&gt;1),"",INDEX(Strategy!$D$36:$D$90,MATCH(P210,Strategy!$B$36:$B$90,0)))</x:f>
        <x:v>5</x:v>
      </x:c>
      <x:c r="V210" s="368" t="n">
        <x:f>IF(OR(COUNTIFS(Strategy!$B$36:$B$90,P210)&lt;&gt;1,COUNTIFS(Strategy!$B$36:$B$90,P210,Strategy!$E$36:$E$90,"&lt;&gt;")&lt;&gt;1),"",INDEX(Strategy!$E$36:$E$90,MATCH(P210,Strategy!$B$36:$B$90,0)))</x:f>
        <x:v>120</x:v>
      </x:c>
      <x:c r="W210" s="361" t="str">
        <x:f>IF(OR(COUNTIFS(Strategy!$B$36:$B$90,P210)&lt;&gt;1,COUNTIFS(Strategy!$B$36:$B$90,P210,Strategy!$F$36:$F$90,"&lt;&gt;")&lt;&gt;1),"",INDEX(Strategy!$F$36:$F$90,MATCH(P210,Strategy!$B$36:$B$90,0)))</x:f>
        <x:v>seconds</x:v>
      </x:c>
      <x:c r="X210" s="370" t="n">
        <x:f>IF(OR(COUNT(R210:V210)&lt;&gt;5,Q210&lt;&gt;W210,T210&lt;0,T210&gt;10,U210&lt;=0,V210&lt;=0,R210&lt;0,R210&lt;&gt;INT(R210),S210&lt;=0),"",T210*R210*S210/(U210*V210))</x:f>
        <x:v>0.25</x:v>
      </x:c>
      <x:c r="Y210" s="374" t="str">
        <x:v>Core: one 30-second work interval per round; rest excluded.</x:v>
      </x:c>
    </x:row>
    <x:row r="211" ht="15" hidden="0" customHeight="1">
      <x:c r="N211" s="363" t="n">
        <x:f>Daily!A43</x:f>
        <x:v>46391.5</x:v>
      </x:c>
      <x:c r="O211" s="359" t="str">
        <x:f>Daily!D43</x:f>
        <x:v>Skill A + interval circuit</x:v>
      </x:c>
      <x:c r="P211" s="371" t="str">
        <x:v>Upside-down hanging shoulder/ab work</x:v>
      </x:c>
      <x:c r="Q211" s="360" t="str">
        <x:v>seconds</x:v>
      </x:c>
      <x:c r="R211" s="365" t="n">
        <x:v>5</x:v>
      </x:c>
      <x:c r="S211" s="365" t="n">
        <x:v>30</x:v>
      </x:c>
      <x:c r="T211" s="366" t="n">
        <x:f>IF(OR(COUNTIFS(Strategy!$B$36:$B$90,P211)&lt;&gt;1,COUNTIFS(Strategy!$B$36:$B$90,P211,Strategy!$C$36:$C$90,"&lt;&gt;")&lt;&gt;1),"",INDEX(Strategy!$C$36:$C$90,MATCH(P211,Strategy!$B$36:$B$90,0)))</x:f>
        <x:v>1</x:v>
      </x:c>
      <x:c r="U211" s="366" t="n">
        <x:f>IF(OR(COUNTIFS(Strategy!$B$36:$B$90,P211)&lt;&gt;1,COUNTIFS(Strategy!$B$36:$B$90,P211,Strategy!$D$36:$D$90,"&lt;&gt;")&lt;&gt;1),"",INDEX(Strategy!$D$36:$D$90,MATCH(P211,Strategy!$B$36:$B$90,0)))</x:f>
        <x:v>5</x:v>
      </x:c>
      <x:c r="V211" s="366" t="n">
        <x:f>IF(OR(COUNTIFS(Strategy!$B$36:$B$90,P211)&lt;&gt;1,COUNTIFS(Strategy!$B$36:$B$90,P211,Strategy!$E$36:$E$90,"&lt;&gt;")&lt;&gt;1),"",INDEX(Strategy!$E$36:$E$90,MATCH(P211,Strategy!$B$36:$B$90,0)))</x:f>
        <x:v>120</x:v>
      </x:c>
      <x:c r="W211" s="359" t="str">
        <x:f>IF(OR(COUNTIFS(Strategy!$B$36:$B$90,P211)&lt;&gt;1,COUNTIFS(Strategy!$B$36:$B$90,P211,Strategy!$F$36:$F$90,"&lt;&gt;")&lt;&gt;1),"",INDEX(Strategy!$F$36:$F$90,MATCH(P211,Strategy!$B$36:$B$90,0)))</x:f>
        <x:v>seconds</x:v>
      </x:c>
      <x:c r="X211" s="369" t="n">
        <x:f>IF(OR(COUNT(R211:V211)&lt;&gt;5,Q211&lt;&gt;W211,T211&lt;0,T211&gt;10,U211&lt;=0,V211&lt;=0,R211&lt;0,R211&lt;&gt;INT(R211),S211&lt;=0),"",T211*R211*S211/(U211*V211))</x:f>
        <x:v>0.25</x:v>
      </x:c>
      <x:c r="Y211" s="373" t="str">
        <x:v>Core: one 30-second work interval per round; rest excluded.</x:v>
      </x:c>
    </x:row>
    <x:row r="212" ht="15" hidden="0" customHeight="1">
      <x:c r="N212" s="364" t="n">
        <x:f>Daily!A44</x:f>
        <x:v>46392.5</x:v>
      </x:c>
      <x:c r="O212" s="361" t="str">
        <x:f>Daily!D44</x:f>
        <x:v>Handstand technique</x:v>
      </x:c>
      <x:c r="P212" s="372" t="str">
        <x:v>Wrist/shoulder mobility</x:v>
      </x:c>
      <x:c r="Q212" s="362" t="str">
        <x:v>seconds</x:v>
      </x:c>
      <x:c r="R212" s="367" t="n">
        <x:v>1</x:v>
      </x:c>
      <x:c r="S212" s="367" t="n">
        <x:v>120</x:v>
      </x:c>
      <x:c r="T212" s="368" t="n">
        <x:f>IF(OR(COUNTIFS(Strategy!$B$36:$B$90,P212)&lt;&gt;1,COUNTIFS(Strategy!$B$36:$B$90,P212,Strategy!$C$36:$C$90,"&lt;&gt;")&lt;&gt;1),"",INDEX(Strategy!$C$36:$C$90,MATCH(P212,Strategy!$B$36:$B$90,0)))</x:f>
        <x:v>1</x:v>
      </x:c>
      <x:c r="U212" s="368" t="n">
        <x:f>IF(OR(COUNTIFS(Strategy!$B$36:$B$90,P212)&lt;&gt;1,COUNTIFS(Strategy!$B$36:$B$90,P212,Strategy!$D$36:$D$90,"&lt;&gt;")&lt;&gt;1),"",INDEX(Strategy!$D$36:$D$90,MATCH(P212,Strategy!$B$36:$B$90,0)))</x:f>
        <x:v>3</x:v>
      </x:c>
      <x:c r="V212" s="368" t="n">
        <x:f>IF(OR(COUNTIFS(Strategy!$B$36:$B$90,P212)&lt;&gt;1,COUNTIFS(Strategy!$B$36:$B$90,P212,Strategy!$E$36:$E$90,"&lt;&gt;")&lt;&gt;1),"",INDEX(Strategy!$E$36:$E$90,MATCH(P212,Strategy!$B$36:$B$90,0)))</x:f>
        <x:v>60</x:v>
      </x:c>
      <x:c r="W212" s="361" t="str">
        <x:f>IF(OR(COUNTIFS(Strategy!$B$36:$B$90,P212)&lt;&gt;1,COUNTIFS(Strategy!$B$36:$B$90,P212,Strategy!$F$36:$F$90,"&lt;&gt;")&lt;&gt;1),"",INDEX(Strategy!$F$36:$F$90,MATCH(P212,Strategy!$B$36:$B$90,0)))</x:f>
        <x:v>seconds</x:v>
      </x:c>
      <x:c r="X212" s="370" t="n">
        <x:f>IF(OR(COUNT(R212:V212)&lt;&gt;5,Q212&lt;&gt;W212,T212&lt;0,T212&gt;10,U212&lt;=0,V212&lt;=0,R212&lt;0,R212&lt;&gt;INT(R212),S212&lt;=0),"",T212*R212*S212/(U212*V212))</x:f>
        <x:v>0.6666666666666666</x:v>
      </x:c>
      <x:c r="Y212" s="374" t="str"/>
    </x:row>
    <x:row r="213" ht="15" hidden="0" customHeight="1">
      <x:c r="N213" s="363" t="n">
        <x:f>Daily!A44</x:f>
        <x:v>46392.5</x:v>
      </x:c>
      <x:c r="O213" s="359" t="str">
        <x:f>Daily!D44</x:f>
        <x:v>Handstand technique</x:v>
      </x:c>
      <x:c r="P213" s="371" t="str">
        <x:v>Easy chest-to-wall hold</x:v>
      </x:c>
      <x:c r="Q213" s="360" t="str">
        <x:v>seconds</x:v>
      </x:c>
      <x:c r="R213" s="365" t="n">
        <x:v>3</x:v>
      </x:c>
      <x:c r="S213" s="365" t="n">
        <x:v>15</x:v>
      </x:c>
      <x:c r="T213" s="366" t="n">
        <x:f>IF(OR(COUNTIFS(Strategy!$B$36:$B$90,P213)&lt;&gt;1,COUNTIFS(Strategy!$B$36:$B$90,P213,Strategy!$C$36:$C$90,"&lt;&gt;")&lt;&gt;1),"",INDEX(Strategy!$C$36:$C$90,MATCH(P213,Strategy!$B$36:$B$90,0)))</x:f>
        <x:v>1</x:v>
      </x:c>
      <x:c r="U213" s="366" t="n">
        <x:f>IF(OR(COUNTIFS(Strategy!$B$36:$B$90,P213)&lt;&gt;1,COUNTIFS(Strategy!$B$36:$B$90,P213,Strategy!$D$36:$D$90,"&lt;&gt;")&lt;&gt;1),"",INDEX(Strategy!$D$36:$D$90,MATCH(P213,Strategy!$B$36:$B$90,0)))</x:f>
        <x:v>3</x:v>
      </x:c>
      <x:c r="V213" s="366" t="n">
        <x:f>IF(OR(COUNTIFS(Strategy!$B$36:$B$90,P213)&lt;&gt;1,COUNTIFS(Strategy!$B$36:$B$90,P213,Strategy!$E$36:$E$90,"&lt;&gt;")&lt;&gt;1),"",INDEX(Strategy!$E$36:$E$90,MATCH(P213,Strategy!$B$36:$B$90,0)))</x:f>
        <x:v>60</x:v>
      </x:c>
      <x:c r="W213" s="359" t="str">
        <x:f>IF(OR(COUNTIFS(Strategy!$B$36:$B$90,P213)&lt;&gt;1,COUNTIFS(Strategy!$B$36:$B$90,P213,Strategy!$F$36:$F$90,"&lt;&gt;")&lt;&gt;1),"",INDEX(Strategy!$F$36:$F$90,MATCH(P213,Strategy!$B$36:$B$90,0)))</x:f>
        <x:v>seconds</x:v>
      </x:c>
      <x:c r="X213" s="369" t="n">
        <x:f>IF(OR(COUNT(R213:V213)&lt;&gt;5,Q213&lt;&gt;W213,T213&lt;0,T213&gt;10,U213&lt;=0,V213&lt;=0,R213&lt;0,R213&lt;&gt;INT(R213),S213&lt;=0),"",T213*R213*S213/(U213*V213))</x:f>
        <x:v>0.25</x:v>
      </x:c>
      <x:c r="Y213" s="373" t="str"/>
    </x:row>
    <x:row r="214" ht="15" hidden="0" customHeight="1">
      <x:c r="N214" s="364" t="n">
        <x:f>Daily!A44</x:f>
        <x:v>46392.5</x:v>
      </x:c>
      <x:c r="O214" s="361" t="str">
        <x:f>Daily!D44</x:f>
        <x:v>Handstand technique</x:v>
      </x:c>
      <x:c r="P214" s="372" t="str">
        <x:v>Wall handstand line drill</x:v>
      </x:c>
      <x:c r="Q214" s="362" t="str">
        <x:v>seconds</x:v>
      </x:c>
      <x:c r="R214" s="367" t="n">
        <x:v>2</x:v>
      </x:c>
      <x:c r="S214" s="367" t="n">
        <x:v>15</x:v>
      </x:c>
      <x:c r="T214" s="368" t="n">
        <x:f>IF(OR(COUNTIFS(Strategy!$B$36:$B$90,P214)&lt;&gt;1,COUNTIFS(Strategy!$B$36:$B$90,P214,Strategy!$C$36:$C$90,"&lt;&gt;")&lt;&gt;1),"",INDEX(Strategy!$C$36:$C$90,MATCH(P214,Strategy!$B$36:$B$90,0)))</x:f>
        <x:v>1</x:v>
      </x:c>
      <x:c r="U214" s="368" t="n">
        <x:f>IF(OR(COUNTIFS(Strategy!$B$36:$B$90,P214)&lt;&gt;1,COUNTIFS(Strategy!$B$36:$B$90,P214,Strategy!$D$36:$D$90,"&lt;&gt;")&lt;&gt;1),"",INDEX(Strategy!$D$36:$D$90,MATCH(P214,Strategy!$B$36:$B$90,0)))</x:f>
        <x:v>3</x:v>
      </x:c>
      <x:c r="V214" s="368" t="n">
        <x:f>IF(OR(COUNTIFS(Strategy!$B$36:$B$90,P214)&lt;&gt;1,COUNTIFS(Strategy!$B$36:$B$90,P214,Strategy!$E$36:$E$90,"&lt;&gt;")&lt;&gt;1),"",INDEX(Strategy!$E$36:$E$90,MATCH(P214,Strategy!$B$36:$B$90,0)))</x:f>
        <x:v>60</x:v>
      </x:c>
      <x:c r="W214" s="361" t="str">
        <x:f>IF(OR(COUNTIFS(Strategy!$B$36:$B$90,P214)&lt;&gt;1,COUNTIFS(Strategy!$B$36:$B$90,P214,Strategy!$F$36:$F$90,"&lt;&gt;")&lt;&gt;1),"",INDEX(Strategy!$F$36:$F$90,MATCH(P214,Strategy!$B$36:$B$90,0)))</x:f>
        <x:v>seconds</x:v>
      </x:c>
      <x:c r="X214" s="370" t="n">
        <x:f>IF(OR(COUNT(R214:V214)&lt;&gt;5,Q214&lt;&gt;W214,T214&lt;0,T214&gt;10,U214&lt;=0,V214&lt;=0,R214&lt;0,R214&lt;&gt;INT(R214),S214&lt;=0),"",T214*R214*S214/(U214*V214))</x:f>
        <x:v>0.16666666666666666</x:v>
      </x:c>
      <x:c r="Y214" s="374" t="str"/>
    </x:row>
    <x:row r="215" ht="15" hidden="0" customHeight="1">
      <x:c r="N215" s="363" t="n">
        <x:f>Daily!A45</x:f>
        <x:v>46394.5</x:v>
      </x:c>
      <x:c r="O215" s="359" t="str">
        <x:f>Daily!D45</x:f>
        <x:v>Skill B + circuit</x:v>
      </x:c>
      <x:c r="P215" s="371" t="str">
        <x:v>Full-ROM wall HSPU</x:v>
      </x:c>
      <x:c r="Q215" s="360" t="str">
        <x:v>reps</x:v>
      </x:c>
      <x:c r="R215" s="365" t="n">
        <x:v>3</x:v>
      </x:c>
      <x:c r="S215" s="365" t="n">
        <x:v>1</x:v>
      </x:c>
      <x:c r="T215" s="366" t="n">
        <x:f>IF(OR(COUNTIFS(Strategy!$B$36:$B$90,P215)&lt;&gt;1,COUNTIFS(Strategy!$B$36:$B$90,P215,Strategy!$C$36:$C$90,"&lt;&gt;")&lt;&gt;1),"",INDEX(Strategy!$C$36:$C$90,MATCH(P215,Strategy!$B$36:$B$90,0)))</x:f>
        <x:v>8</x:v>
      </x:c>
      <x:c r="U215" s="366" t="n">
        <x:f>IF(OR(COUNTIFS(Strategy!$B$36:$B$90,P215)&lt;&gt;1,COUNTIFS(Strategy!$B$36:$B$90,P215,Strategy!$D$36:$D$90,"&lt;&gt;")&lt;&gt;1),"",INDEX(Strategy!$D$36:$D$90,MATCH(P215,Strategy!$B$36:$B$90,0)))</x:f>
        <x:v>3</x:v>
      </x:c>
      <x:c r="V215" s="366" t="n">
        <x:f>IF(OR(COUNTIFS(Strategy!$B$36:$B$90,P215)&lt;&gt;1,COUNTIFS(Strategy!$B$36:$B$90,P215,Strategy!$E$36:$E$90,"&lt;&gt;")&lt;&gt;1),"",INDEX(Strategy!$E$36:$E$90,MATCH(P215,Strategy!$B$36:$B$90,0)))</x:f>
        <x:v>10</x:v>
      </x:c>
      <x:c r="W215" s="359" t="str">
        <x:f>IF(OR(COUNTIFS(Strategy!$B$36:$B$90,P215)&lt;&gt;1,COUNTIFS(Strategy!$B$36:$B$90,P215,Strategy!$F$36:$F$90,"&lt;&gt;")&lt;&gt;1),"",INDEX(Strategy!$F$36:$F$90,MATCH(P215,Strategy!$B$36:$B$90,0)))</x:f>
        <x:v>reps</x:v>
      </x:c>
      <x:c r="X215" s="369" t="n">
        <x:f>IF(OR(COUNT(R215:V215)&lt;&gt;5,Q215&lt;&gt;W215,T215&lt;0,T215&gt;10,U215&lt;=0,V215&lt;=0,R215&lt;0,R215&lt;&gt;INT(R215),S215&lt;=0),"",T215*R215*S215/(U215*V215))</x:f>
        <x:v>0.8</x:v>
      </x:c>
      <x:c r="Y215" s="373" t="str">
        <x:v>One rep per planned attempt.</x:v>
      </x:c>
    </x:row>
    <x:row r="216" ht="15" hidden="0" customHeight="1">
      <x:c r="N216" s="364" t="n">
        <x:f>Daily!A45</x:f>
        <x:v>46394.5</x:v>
      </x:c>
      <x:c r="O216" s="361" t="str">
        <x:f>Daily!D45</x:f>
        <x:v>Skill B + circuit</x:v>
      </x:c>
      <x:c r="P216" s="372" t="str">
        <x:v>Pike push-up back-off</x:v>
      </x:c>
      <x:c r="Q216" s="362" t="str">
        <x:v>reps</x:v>
      </x:c>
      <x:c r="R216" s="367" t="n">
        <x:v>2</x:v>
      </x:c>
      <x:c r="S216" s="367" t="n">
        <x:v>4</x:v>
      </x:c>
      <x:c r="T216" s="368" t="n">
        <x:f>IF(OR(COUNTIFS(Strategy!$B$36:$B$90,P216)&lt;&gt;1,COUNTIFS(Strategy!$B$36:$B$90,P216,Strategy!$C$36:$C$90,"&lt;&gt;")&lt;&gt;1),"",INDEX(Strategy!$C$36:$C$90,MATCH(P216,Strategy!$B$36:$B$90,0)))</x:f>
        <x:v>4</x:v>
      </x:c>
      <x:c r="U216" s="368" t="n">
        <x:f>IF(OR(COUNTIFS(Strategy!$B$36:$B$90,P216)&lt;&gt;1,COUNTIFS(Strategy!$B$36:$B$90,P216,Strategy!$D$36:$D$90,"&lt;&gt;")&lt;&gt;1),"",INDEX(Strategy!$D$36:$D$90,MATCH(P216,Strategy!$B$36:$B$90,0)))</x:f>
        <x:v>3</x:v>
      </x:c>
      <x:c r="V216" s="368" t="n">
        <x:f>IF(OR(COUNTIFS(Strategy!$B$36:$B$90,P216)&lt;&gt;1,COUNTIFS(Strategy!$B$36:$B$90,P216,Strategy!$E$36:$E$90,"&lt;&gt;")&lt;&gt;1),"",INDEX(Strategy!$E$36:$E$90,MATCH(P216,Strategy!$B$36:$B$90,0)))</x:f>
        <x:v>10</x:v>
      </x:c>
      <x:c r="W216" s="361" t="str">
        <x:f>IF(OR(COUNTIFS(Strategy!$B$36:$B$90,P216)&lt;&gt;1,COUNTIFS(Strategy!$B$36:$B$90,P216,Strategy!$F$36:$F$90,"&lt;&gt;")&lt;&gt;1),"",INDEX(Strategy!$F$36:$F$90,MATCH(P216,Strategy!$B$36:$B$90,0)))</x:f>
        <x:v>reps</x:v>
      </x:c>
      <x:c r="X216" s="370" t="n">
        <x:f>IF(OR(COUNT(R216:V216)&lt;&gt;5,Q216&lt;&gt;W216,T216&lt;0,T216&gt;10,U216&lt;=0,V216&lt;=0,R216&lt;0,R216&lt;&gt;INT(R216),S216&lt;=0),"",T216*R216*S216/(U216*V216))</x:f>
        <x:v>1.0666666666666667</x:v>
      </x:c>
      <x:c r="Y216" s="374" t="str"/>
    </x:row>
    <x:row r="217" ht="15" hidden="0" customHeight="1">
      <x:c r="N217" s="363" t="n">
        <x:f>Daily!A45</x:f>
        <x:v>46394.5</x:v>
      </x:c>
      <x:c r="O217" s="359" t="str">
        <x:f>Daily!D45</x:f>
        <x:v>Skill B + circuit</x:v>
      </x:c>
      <x:c r="P217" s="371" t="str">
        <x:v>Clean pistol</x:v>
      </x:c>
      <x:c r="Q217" s="360" t="str">
        <x:v>reps/leg</x:v>
      </x:c>
      <x:c r="R217" s="365" t="n">
        <x:v>3</x:v>
      </x:c>
      <x:c r="S217" s="365" t="n">
        <x:v>2</x:v>
      </x:c>
      <x:c r="T217" s="366" t="n">
        <x:f>IF(OR(COUNTIFS(Strategy!$B$36:$B$90,P217)&lt;&gt;1,COUNTIFS(Strategy!$B$36:$B$90,P217,Strategy!$C$36:$C$90,"&lt;&gt;")&lt;&gt;1),"",INDEX(Strategy!$C$36:$C$90,MATCH(P217,Strategy!$B$36:$B$90,0)))</x:f>
        <x:v>8</x:v>
      </x:c>
      <x:c r="U217" s="366" t="n">
        <x:f>IF(OR(COUNTIFS(Strategy!$B$36:$B$90,P217)&lt;&gt;1,COUNTIFS(Strategy!$B$36:$B$90,P217,Strategy!$D$36:$D$90,"&lt;&gt;")&lt;&gt;1),"",INDEX(Strategy!$D$36:$D$90,MATCH(P217,Strategy!$B$36:$B$90,0)))</x:f>
        <x:v>3</x:v>
      </x:c>
      <x:c r="V217" s="366" t="n">
        <x:f>IF(OR(COUNTIFS(Strategy!$B$36:$B$90,P217)&lt;&gt;1,COUNTIFS(Strategy!$B$36:$B$90,P217,Strategy!$E$36:$E$90,"&lt;&gt;")&lt;&gt;1),"",INDEX(Strategy!$E$36:$E$90,MATCH(P217,Strategy!$B$36:$B$90,0)))</x:f>
        <x:v>10</x:v>
      </x:c>
      <x:c r="W217" s="359" t="str">
        <x:f>IF(OR(COUNTIFS(Strategy!$B$36:$B$90,P217)&lt;&gt;1,COUNTIFS(Strategy!$B$36:$B$90,P217,Strategy!$F$36:$F$90,"&lt;&gt;")&lt;&gt;1),"",INDEX(Strategy!$F$36:$F$90,MATCH(P217,Strategy!$B$36:$B$90,0)))</x:f>
        <x:v>reps/leg</x:v>
      </x:c>
      <x:c r="X217" s="369" t="n">
        <x:f>IF(OR(COUNT(R217:V217)&lt;&gt;5,Q217&lt;&gt;W217,T217&lt;0,T217&gt;10,U217&lt;=0,V217&lt;=0,R217&lt;0,R217&lt;&gt;INT(R217),S217&lt;=0),"",T217*R217*S217/(U217*V217))</x:f>
        <x:v>1.6</x:v>
      </x:c>
      <x:c r="Y217" s="373" t="str"/>
    </x:row>
    <x:row r="218" ht="15" hidden="0" customHeight="1">
      <x:c r="N218" s="364" t="n">
        <x:f>Daily!A45</x:f>
        <x:v>46394.5</x:v>
      </x:c>
      <x:c r="O218" s="361" t="str">
        <x:f>Daily!D45</x:f>
        <x:v>Skill B + circuit</x:v>
      </x:c>
      <x:c r="P218" s="372" t="str">
        <x:v>Pull-up</x:v>
      </x:c>
      <x:c r="Q218" s="362" t="str">
        <x:v>seconds</x:v>
      </x:c>
      <x:c r="R218" s="367" t="n">
        <x:v>5</x:v>
      </x:c>
      <x:c r="S218" s="367" t="n">
        <x:v>30</x:v>
      </x:c>
      <x:c r="T218" s="368" t="n">
        <x:f>IF(OR(COUNTIFS(Strategy!$B$36:$B$90,P218)&lt;&gt;1,COUNTIFS(Strategy!$B$36:$B$90,P218,Strategy!$C$36:$C$90,"&lt;&gt;")&lt;&gt;1),"",INDEX(Strategy!$C$36:$C$90,MATCH(P218,Strategy!$B$36:$B$90,0)))</x:f>
        <x:v>1</x:v>
      </x:c>
      <x:c r="U218" s="368" t="n">
        <x:f>IF(OR(COUNTIFS(Strategy!$B$36:$B$90,P218)&lt;&gt;1,COUNTIFS(Strategy!$B$36:$B$90,P218,Strategy!$D$36:$D$90,"&lt;&gt;")&lt;&gt;1),"",INDEX(Strategy!$D$36:$D$90,MATCH(P218,Strategy!$B$36:$B$90,0)))</x:f>
        <x:v>5</x:v>
      </x:c>
      <x:c r="V218" s="368" t="n">
        <x:f>IF(OR(COUNTIFS(Strategy!$B$36:$B$90,P218)&lt;&gt;1,COUNTIFS(Strategy!$B$36:$B$90,P218,Strategy!$E$36:$E$90,"&lt;&gt;")&lt;&gt;1),"",INDEX(Strategy!$E$36:$E$90,MATCH(P218,Strategy!$B$36:$B$90,0)))</x:f>
        <x:v>120</x:v>
      </x:c>
      <x:c r="W218" s="361" t="str">
        <x:f>IF(OR(COUNTIFS(Strategy!$B$36:$B$90,P218)&lt;&gt;1,COUNTIFS(Strategy!$B$36:$B$90,P218,Strategy!$F$36:$F$90,"&lt;&gt;")&lt;&gt;1),"",INDEX(Strategy!$F$36:$F$90,MATCH(P218,Strategy!$B$36:$B$90,0)))</x:f>
        <x:v>seconds</x:v>
      </x:c>
      <x:c r="X218" s="370" t="n">
        <x:f>IF(OR(COUNT(R218:V218)&lt;&gt;5,Q218&lt;&gt;W218,T218&lt;0,T218&gt;10,U218&lt;=0,V218&lt;=0,R218&lt;0,R218&lt;&gt;INT(R218),S218&lt;=0),"",T218*R218*S218/(U218*V218))</x:f>
        <x:v>0.25</x:v>
      </x:c>
      <x:c r="Y218" s="374" t="str">
        <x:v>Core: one 30-second work interval per round; rest excluded.</x:v>
      </x:c>
    </x:row>
    <x:row r="219" ht="15" hidden="0" customHeight="1">
      <x:c r="N219" s="363" t="n">
        <x:f>Daily!A45</x:f>
        <x:v>46394.5</x:v>
      </x:c>
      <x:c r="O219" s="359" t="str">
        <x:f>Daily!D45</x:f>
        <x:v>Skill B + circuit</x:v>
      </x:c>
      <x:c r="P219" s="371" t="str">
        <x:v>Push-up</x:v>
      </x:c>
      <x:c r="Q219" s="360" t="str">
        <x:v>seconds</x:v>
      </x:c>
      <x:c r="R219" s="365" t="n">
        <x:v>5</x:v>
      </x:c>
      <x:c r="S219" s="365" t="n">
        <x:v>30</x:v>
      </x:c>
      <x:c r="T219" s="366" t="n">
        <x:f>IF(OR(COUNTIFS(Strategy!$B$36:$B$90,P219)&lt;&gt;1,COUNTIFS(Strategy!$B$36:$B$90,P219,Strategy!$C$36:$C$90,"&lt;&gt;")&lt;&gt;1),"",INDEX(Strategy!$C$36:$C$90,MATCH(P219,Strategy!$B$36:$B$90,0)))</x:f>
        <x:v>1</x:v>
      </x:c>
      <x:c r="U219" s="366" t="n">
        <x:f>IF(OR(COUNTIFS(Strategy!$B$36:$B$90,P219)&lt;&gt;1,COUNTIFS(Strategy!$B$36:$B$90,P219,Strategy!$D$36:$D$90,"&lt;&gt;")&lt;&gt;1),"",INDEX(Strategy!$D$36:$D$90,MATCH(P219,Strategy!$B$36:$B$90,0)))</x:f>
        <x:v>5</x:v>
      </x:c>
      <x:c r="V219" s="366" t="n">
        <x:f>IF(OR(COUNTIFS(Strategy!$B$36:$B$90,P219)&lt;&gt;1,COUNTIFS(Strategy!$B$36:$B$90,P219,Strategy!$E$36:$E$90,"&lt;&gt;")&lt;&gt;1),"",INDEX(Strategy!$E$36:$E$90,MATCH(P219,Strategy!$B$36:$B$90,0)))</x:f>
        <x:v>120</x:v>
      </x:c>
      <x:c r="W219" s="359" t="str">
        <x:f>IF(OR(COUNTIFS(Strategy!$B$36:$B$90,P219)&lt;&gt;1,COUNTIFS(Strategy!$B$36:$B$90,P219,Strategy!$F$36:$F$90,"&lt;&gt;")&lt;&gt;1),"",INDEX(Strategy!$F$36:$F$90,MATCH(P219,Strategy!$B$36:$B$90,0)))</x:f>
        <x:v>seconds</x:v>
      </x:c>
      <x:c r="X219" s="369" t="n">
        <x:f>IF(OR(COUNT(R219:V219)&lt;&gt;5,Q219&lt;&gt;W219,T219&lt;0,T219&gt;10,U219&lt;=0,V219&lt;=0,R219&lt;0,R219&lt;&gt;INT(R219),S219&lt;=0),"",T219*R219*S219/(U219*V219))</x:f>
        <x:v>0.25</x:v>
      </x:c>
      <x:c r="Y219" s="373" t="str">
        <x:v>Core: one 30-second work interval per round; rest excluded.</x:v>
      </x:c>
    </x:row>
    <x:row r="220" ht="15" hidden="0" customHeight="1">
      <x:c r="N220" s="364" t="n">
        <x:f>Daily!A45</x:f>
        <x:v>46394.5</x:v>
      </x:c>
      <x:c r="O220" s="361" t="str">
        <x:f>Daily!D45</x:f>
        <x:v>Skill B + circuit</x:v>
      </x:c>
      <x:c r="P220" s="372" t="str">
        <x:v>Weighted squat</x:v>
      </x:c>
      <x:c r="Q220" s="362" t="str">
        <x:v>seconds</x:v>
      </x:c>
      <x:c r="R220" s="367" t="n">
        <x:v>5</x:v>
      </x:c>
      <x:c r="S220" s="367" t="n">
        <x:v>30</x:v>
      </x:c>
      <x:c r="T220" s="368" t="n">
        <x:f>IF(OR(COUNTIFS(Strategy!$B$36:$B$90,P220)&lt;&gt;1,COUNTIFS(Strategy!$B$36:$B$90,P220,Strategy!$C$36:$C$90,"&lt;&gt;")&lt;&gt;1),"",INDEX(Strategy!$C$36:$C$90,MATCH(P220,Strategy!$B$36:$B$90,0)))</x:f>
        <x:v>1</x:v>
      </x:c>
      <x:c r="U220" s="368" t="n">
        <x:f>IF(OR(COUNTIFS(Strategy!$B$36:$B$90,P220)&lt;&gt;1,COUNTIFS(Strategy!$B$36:$B$90,P220,Strategy!$D$36:$D$90,"&lt;&gt;")&lt;&gt;1),"",INDEX(Strategy!$D$36:$D$90,MATCH(P220,Strategy!$B$36:$B$90,0)))</x:f>
        <x:v>5</x:v>
      </x:c>
      <x:c r="V220" s="368" t="n">
        <x:f>IF(OR(COUNTIFS(Strategy!$B$36:$B$90,P220)&lt;&gt;1,COUNTIFS(Strategy!$B$36:$B$90,P220,Strategy!$E$36:$E$90,"&lt;&gt;")&lt;&gt;1),"",INDEX(Strategy!$E$36:$E$90,MATCH(P220,Strategy!$B$36:$B$90,0)))</x:f>
        <x:v>120</x:v>
      </x:c>
      <x:c r="W220" s="361" t="str">
        <x:f>IF(OR(COUNTIFS(Strategy!$B$36:$B$90,P220)&lt;&gt;1,COUNTIFS(Strategy!$B$36:$B$90,P220,Strategy!$F$36:$F$90,"&lt;&gt;")&lt;&gt;1),"",INDEX(Strategy!$F$36:$F$90,MATCH(P220,Strategy!$B$36:$B$90,0)))</x:f>
        <x:v>seconds</x:v>
      </x:c>
      <x:c r="X220" s="370" t="n">
        <x:f>IF(OR(COUNT(R220:V220)&lt;&gt;5,Q220&lt;&gt;W220,T220&lt;0,T220&gt;10,U220&lt;=0,V220&lt;=0,R220&lt;0,R220&lt;&gt;INT(R220),S220&lt;=0),"",T220*R220*S220/(U220*V220))</x:f>
        <x:v>0.25</x:v>
      </x:c>
      <x:c r="Y220" s="374" t="str">
        <x:v>Core: one 30-second work interval per round; rest excluded.</x:v>
      </x:c>
    </x:row>
    <x:row r="221" ht="15" hidden="0" customHeight="1">
      <x:c r="N221" s="363" t="n">
        <x:f>Daily!A45</x:f>
        <x:v>46394.5</x:v>
      </x:c>
      <x:c r="O221" s="359" t="str">
        <x:f>Daily!D45</x:f>
        <x:v>Skill B + circuit</x:v>
      </x:c>
      <x:c r="P221" s="371" t="str">
        <x:v>Upside-down hanging shoulder/ab work</x:v>
      </x:c>
      <x:c r="Q221" s="360" t="str">
        <x:v>seconds</x:v>
      </x:c>
      <x:c r="R221" s="365" t="n">
        <x:v>5</x:v>
      </x:c>
      <x:c r="S221" s="365" t="n">
        <x:v>30</x:v>
      </x:c>
      <x:c r="T221" s="366" t="n">
        <x:f>IF(OR(COUNTIFS(Strategy!$B$36:$B$90,P221)&lt;&gt;1,COUNTIFS(Strategy!$B$36:$B$90,P221,Strategy!$C$36:$C$90,"&lt;&gt;")&lt;&gt;1),"",INDEX(Strategy!$C$36:$C$90,MATCH(P221,Strategy!$B$36:$B$90,0)))</x:f>
        <x:v>1</x:v>
      </x:c>
      <x:c r="U221" s="366" t="n">
        <x:f>IF(OR(COUNTIFS(Strategy!$B$36:$B$90,P221)&lt;&gt;1,COUNTIFS(Strategy!$B$36:$B$90,P221,Strategy!$D$36:$D$90,"&lt;&gt;")&lt;&gt;1),"",INDEX(Strategy!$D$36:$D$90,MATCH(P221,Strategy!$B$36:$B$90,0)))</x:f>
        <x:v>5</x:v>
      </x:c>
      <x:c r="V221" s="366" t="n">
        <x:f>IF(OR(COUNTIFS(Strategy!$B$36:$B$90,P221)&lt;&gt;1,COUNTIFS(Strategy!$B$36:$B$90,P221,Strategy!$E$36:$E$90,"&lt;&gt;")&lt;&gt;1),"",INDEX(Strategy!$E$36:$E$90,MATCH(P221,Strategy!$B$36:$B$90,0)))</x:f>
        <x:v>120</x:v>
      </x:c>
      <x:c r="W221" s="359" t="str">
        <x:f>IF(OR(COUNTIFS(Strategy!$B$36:$B$90,P221)&lt;&gt;1,COUNTIFS(Strategy!$B$36:$B$90,P221,Strategy!$F$36:$F$90,"&lt;&gt;")&lt;&gt;1),"",INDEX(Strategy!$F$36:$F$90,MATCH(P221,Strategy!$B$36:$B$90,0)))</x:f>
        <x:v>seconds</x:v>
      </x:c>
      <x:c r="X221" s="369" t="n">
        <x:f>IF(OR(COUNT(R221:V221)&lt;&gt;5,Q221&lt;&gt;W221,T221&lt;0,T221&gt;10,U221&lt;=0,V221&lt;=0,R221&lt;0,R221&lt;&gt;INT(R221),S221&lt;=0),"",T221*R221*S221/(U221*V221))</x:f>
        <x:v>0.25</x:v>
      </x:c>
      <x:c r="Y221" s="373" t="str">
        <x:v>Core: one 30-second work interval per round; rest excluded.</x:v>
      </x:c>
    </x:row>
    <x:row r="222" ht="15" hidden="0" customHeight="1">
      <x:c r="N222" s="364" t="n">
        <x:f>Daily!A46</x:f>
        <x:v>46396.5</x:v>
      </x:c>
      <x:c r="O222" s="361" t="str">
        <x:f>Daily!D46</x:f>
        <x:v>Skill micro-session</x:v>
      </x:c>
      <x:c r="P222" s="372" t="str">
        <x:v>Wrist/shoulder mobility</x:v>
      </x:c>
      <x:c r="Q222" s="362" t="str">
        <x:v>seconds</x:v>
      </x:c>
      <x:c r="R222" s="367" t="n">
        <x:v>1</x:v>
      </x:c>
      <x:c r="S222" s="367" t="n">
        <x:v>120</x:v>
      </x:c>
      <x:c r="T222" s="368" t="n">
        <x:f>IF(OR(COUNTIFS(Strategy!$B$36:$B$90,P222)&lt;&gt;1,COUNTIFS(Strategy!$B$36:$B$90,P222,Strategy!$C$36:$C$90,"&lt;&gt;")&lt;&gt;1),"",INDEX(Strategy!$C$36:$C$90,MATCH(P222,Strategy!$B$36:$B$90,0)))</x:f>
        <x:v>1</x:v>
      </x:c>
      <x:c r="U222" s="368" t="n">
        <x:f>IF(OR(COUNTIFS(Strategy!$B$36:$B$90,P222)&lt;&gt;1,COUNTIFS(Strategy!$B$36:$B$90,P222,Strategy!$D$36:$D$90,"&lt;&gt;")&lt;&gt;1),"",INDEX(Strategy!$D$36:$D$90,MATCH(P222,Strategy!$B$36:$B$90,0)))</x:f>
        <x:v>3</x:v>
      </x:c>
      <x:c r="V222" s="368" t="n">
        <x:f>IF(OR(COUNTIFS(Strategy!$B$36:$B$90,P222)&lt;&gt;1,COUNTIFS(Strategy!$B$36:$B$90,P222,Strategy!$E$36:$E$90,"&lt;&gt;")&lt;&gt;1),"",INDEX(Strategy!$E$36:$E$90,MATCH(P222,Strategy!$B$36:$B$90,0)))</x:f>
        <x:v>60</x:v>
      </x:c>
      <x:c r="W222" s="361" t="str">
        <x:f>IF(OR(COUNTIFS(Strategy!$B$36:$B$90,P222)&lt;&gt;1,COUNTIFS(Strategy!$B$36:$B$90,P222,Strategy!$F$36:$F$90,"&lt;&gt;")&lt;&gt;1),"",INDEX(Strategy!$F$36:$F$90,MATCH(P222,Strategy!$B$36:$B$90,0)))</x:f>
        <x:v>seconds</x:v>
      </x:c>
      <x:c r="X222" s="370" t="n">
        <x:f>IF(OR(COUNT(R222:V222)&lt;&gt;5,Q222&lt;&gt;W222,T222&lt;0,T222&gt;10,U222&lt;=0,V222&lt;=0,R222&lt;0,R222&lt;&gt;INT(R222),S222&lt;=0),"",T222*R222*S222/(U222*V222))</x:f>
        <x:v>0.6666666666666666</x:v>
      </x:c>
      <x:c r="Y222" s="374" t="str"/>
    </x:row>
    <x:row r="223" ht="15" hidden="0" customHeight="1">
      <x:c r="N223" s="363" t="n">
        <x:f>Daily!A46</x:f>
        <x:v>46396.5</x:v>
      </x:c>
      <x:c r="O223" s="359" t="str">
        <x:f>Daily!D46</x:f>
        <x:v>Skill micro-session</x:v>
      </x:c>
      <x:c r="P223" s="371" t="str">
        <x:v>Easy chest-to-wall hold</x:v>
      </x:c>
      <x:c r="Q223" s="360" t="str">
        <x:v>seconds</x:v>
      </x:c>
      <x:c r="R223" s="365" t="n">
        <x:v>3</x:v>
      </x:c>
      <x:c r="S223" s="365" t="n">
        <x:v>15</x:v>
      </x:c>
      <x:c r="T223" s="366" t="n">
        <x:f>IF(OR(COUNTIFS(Strategy!$B$36:$B$90,P223)&lt;&gt;1,COUNTIFS(Strategy!$B$36:$B$90,P223,Strategy!$C$36:$C$90,"&lt;&gt;")&lt;&gt;1),"",INDEX(Strategy!$C$36:$C$90,MATCH(P223,Strategy!$B$36:$B$90,0)))</x:f>
        <x:v>1</x:v>
      </x:c>
      <x:c r="U223" s="366" t="n">
        <x:f>IF(OR(COUNTIFS(Strategy!$B$36:$B$90,P223)&lt;&gt;1,COUNTIFS(Strategy!$B$36:$B$90,P223,Strategy!$D$36:$D$90,"&lt;&gt;")&lt;&gt;1),"",INDEX(Strategy!$D$36:$D$90,MATCH(P223,Strategy!$B$36:$B$90,0)))</x:f>
        <x:v>3</x:v>
      </x:c>
      <x:c r="V223" s="366" t="n">
        <x:f>IF(OR(COUNTIFS(Strategy!$B$36:$B$90,P223)&lt;&gt;1,COUNTIFS(Strategy!$B$36:$B$90,P223,Strategy!$E$36:$E$90,"&lt;&gt;")&lt;&gt;1),"",INDEX(Strategy!$E$36:$E$90,MATCH(P223,Strategy!$B$36:$B$90,0)))</x:f>
        <x:v>60</x:v>
      </x:c>
      <x:c r="W223" s="359" t="str">
        <x:f>IF(OR(COUNTIFS(Strategy!$B$36:$B$90,P223)&lt;&gt;1,COUNTIFS(Strategy!$B$36:$B$90,P223,Strategy!$F$36:$F$90,"&lt;&gt;")&lt;&gt;1),"",INDEX(Strategy!$F$36:$F$90,MATCH(P223,Strategy!$B$36:$B$90,0)))</x:f>
        <x:v>seconds</x:v>
      </x:c>
      <x:c r="X223" s="369" t="n">
        <x:f>IF(OR(COUNT(R223:V223)&lt;&gt;5,Q223&lt;&gt;W223,T223&lt;0,T223&gt;10,U223&lt;=0,V223&lt;=0,R223&lt;0,R223&lt;&gt;INT(R223),S223&lt;=0),"",T223*R223*S223/(U223*V223))</x:f>
        <x:v>0.25</x:v>
      </x:c>
      <x:c r="Y223" s="373" t="str"/>
    </x:row>
    <x:row r="224" ht="15" hidden="0" customHeight="1">
      <x:c r="N224" s="364" t="n">
        <x:f>Daily!A46</x:f>
        <x:v>46396.5</x:v>
      </x:c>
      <x:c r="O224" s="361" t="str">
        <x:f>Daily!D46</x:f>
        <x:v>Skill micro-session</x:v>
      </x:c>
      <x:c r="P224" s="372" t="str">
        <x:v>Wall handstand line drill</x:v>
      </x:c>
      <x:c r="Q224" s="362" t="str">
        <x:v>seconds</x:v>
      </x:c>
      <x:c r="R224" s="367" t="n">
        <x:v>3</x:v>
      </x:c>
      <x:c r="S224" s="367" t="n">
        <x:v>15</x:v>
      </x:c>
      <x:c r="T224" s="368" t="n">
        <x:f>IF(OR(COUNTIFS(Strategy!$B$36:$B$90,P224)&lt;&gt;1,COUNTIFS(Strategy!$B$36:$B$90,P224,Strategy!$C$36:$C$90,"&lt;&gt;")&lt;&gt;1),"",INDEX(Strategy!$C$36:$C$90,MATCH(P224,Strategy!$B$36:$B$90,0)))</x:f>
        <x:v>1</x:v>
      </x:c>
      <x:c r="U224" s="368" t="n">
        <x:f>IF(OR(COUNTIFS(Strategy!$B$36:$B$90,P224)&lt;&gt;1,COUNTIFS(Strategy!$B$36:$B$90,P224,Strategy!$D$36:$D$90,"&lt;&gt;")&lt;&gt;1),"",INDEX(Strategy!$D$36:$D$90,MATCH(P224,Strategy!$B$36:$B$90,0)))</x:f>
        <x:v>3</x:v>
      </x:c>
      <x:c r="V224" s="368" t="n">
        <x:f>IF(OR(COUNTIFS(Strategy!$B$36:$B$90,P224)&lt;&gt;1,COUNTIFS(Strategy!$B$36:$B$90,P224,Strategy!$E$36:$E$90,"&lt;&gt;")&lt;&gt;1),"",INDEX(Strategy!$E$36:$E$90,MATCH(P224,Strategy!$B$36:$B$90,0)))</x:f>
        <x:v>60</x:v>
      </x:c>
      <x:c r="W224" s="361" t="str">
        <x:f>IF(OR(COUNTIFS(Strategy!$B$36:$B$90,P224)&lt;&gt;1,COUNTIFS(Strategy!$B$36:$B$90,P224,Strategy!$F$36:$F$90,"&lt;&gt;")&lt;&gt;1),"",INDEX(Strategy!$F$36:$F$90,MATCH(P224,Strategy!$B$36:$B$90,0)))</x:f>
        <x:v>seconds</x:v>
      </x:c>
      <x:c r="X224" s="370" t="n">
        <x:f>IF(OR(COUNT(R224:V224)&lt;&gt;5,Q224&lt;&gt;W224,T224&lt;0,T224&gt;10,U224&lt;=0,V224&lt;=0,R224&lt;0,R224&lt;&gt;INT(R224),S224&lt;=0),"",T224*R224*S224/(U224*V224))</x:f>
        <x:v>0.25</x:v>
      </x:c>
      <x:c r="Y224" s="374" t="str"/>
    </x:row>
    <x:row r="225" ht="15" hidden="0" customHeight="1">
      <x:c r="N225" s="363" t="n">
        <x:f>Daily!A47</x:f>
        <x:v>46398.5</x:v>
      </x:c>
      <x:c r="O225" s="359" t="str">
        <x:f>Daily!D47</x:f>
        <x:v>Skill A + interval circuit</x:v>
      </x:c>
      <x:c r="P225" s="371" t="str">
        <x:v>Muscle-up test</x:v>
      </x:c>
      <x:c r="Q225" s="360" t="str">
        <x:v>reps</x:v>
      </x:c>
      <x:c r="R225" s="365" t="n">
        <x:v>3</x:v>
      </x:c>
      <x:c r="S225" s="365" t="n">
        <x:v>1</x:v>
      </x:c>
      <x:c r="T225" s="366" t="n">
        <x:f>IF(OR(COUNTIFS(Strategy!$B$36:$B$90,P225)&lt;&gt;1,COUNTIFS(Strategy!$B$36:$B$90,P225,Strategy!$C$36:$C$90,"&lt;&gt;")&lt;&gt;1),"",INDEX(Strategy!$C$36:$C$90,MATCH(P225,Strategy!$B$36:$B$90,0)))</x:f>
        <x:v>8</x:v>
      </x:c>
      <x:c r="U225" s="366" t="n">
        <x:f>IF(OR(COUNTIFS(Strategy!$B$36:$B$90,P225)&lt;&gt;1,COUNTIFS(Strategy!$B$36:$B$90,P225,Strategy!$D$36:$D$90,"&lt;&gt;")&lt;&gt;1),"",INDEX(Strategy!$D$36:$D$90,MATCH(P225,Strategy!$B$36:$B$90,0)))</x:f>
        <x:v>3</x:v>
      </x:c>
      <x:c r="V225" s="366" t="n">
        <x:f>IF(OR(COUNTIFS(Strategy!$B$36:$B$90,P225)&lt;&gt;1,COUNTIFS(Strategy!$B$36:$B$90,P225,Strategy!$E$36:$E$90,"&lt;&gt;")&lt;&gt;1),"",INDEX(Strategy!$E$36:$E$90,MATCH(P225,Strategy!$B$36:$B$90,0)))</x:f>
        <x:v>10</x:v>
      </x:c>
      <x:c r="W225" s="359" t="str">
        <x:f>IF(OR(COUNTIFS(Strategy!$B$36:$B$90,P225)&lt;&gt;1,COUNTIFS(Strategy!$B$36:$B$90,P225,Strategy!$F$36:$F$90,"&lt;&gt;")&lt;&gt;1),"",INDEX(Strategy!$F$36:$F$90,MATCH(P225,Strategy!$B$36:$B$90,0)))</x:f>
        <x:v>reps</x:v>
      </x:c>
      <x:c r="X225" s="369" t="n">
        <x:f>IF(OR(COUNT(R225:V225)&lt;&gt;5,Q225&lt;&gt;W225,T225&lt;0,T225&gt;10,U225&lt;=0,V225&lt;=0,R225&lt;0,R225&lt;&gt;INT(R225),S225&lt;=0),"",T225*R225*S225/(U225*V225))</x:f>
        <x:v>0.8</x:v>
      </x:c>
      <x:c r="Y225" s="373" t="str">
        <x:v>One rep per planned attempt.</x:v>
      </x:c>
    </x:row>
    <x:row r="226" ht="15" hidden="0" customHeight="1">
      <x:c r="N226" s="364" t="n">
        <x:f>Daily!A47</x:f>
        <x:v>46398.5</x:v>
      </x:c>
      <x:c r="O226" s="361" t="str">
        <x:f>Daily!D47</x:f>
        <x:v>Skill A + interval circuit</x:v>
      </x:c>
      <x:c r="P226" s="372" t="str">
        <x:v>Pistol test</x:v>
      </x:c>
      <x:c r="Q226" s="362" t="str">
        <x:v>reps/leg</x:v>
      </x:c>
      <x:c r="R226" s="367" t="n">
        <x:v>1</x:v>
      </x:c>
      <x:c r="S226" s="367" t="n">
        <x:v>5</x:v>
      </x:c>
      <x:c r="T226" s="368" t="n">
        <x:f>IF(OR(COUNTIFS(Strategy!$B$36:$B$90,P226)&lt;&gt;1,COUNTIFS(Strategy!$B$36:$B$90,P226,Strategy!$C$36:$C$90,"&lt;&gt;")&lt;&gt;1),"",INDEX(Strategy!$C$36:$C$90,MATCH(P226,Strategy!$B$36:$B$90,0)))</x:f>
        <x:v>8</x:v>
      </x:c>
      <x:c r="U226" s="368" t="n">
        <x:f>IF(OR(COUNTIFS(Strategy!$B$36:$B$90,P226)&lt;&gt;1,COUNTIFS(Strategy!$B$36:$B$90,P226,Strategy!$D$36:$D$90,"&lt;&gt;")&lt;&gt;1),"",INDEX(Strategy!$D$36:$D$90,MATCH(P226,Strategy!$B$36:$B$90,0)))</x:f>
        <x:v>3</x:v>
      </x:c>
      <x:c r="V226" s="368" t="n">
        <x:f>IF(OR(COUNTIFS(Strategy!$B$36:$B$90,P226)&lt;&gt;1,COUNTIFS(Strategy!$B$36:$B$90,P226,Strategy!$E$36:$E$90,"&lt;&gt;")&lt;&gt;1),"",INDEX(Strategy!$E$36:$E$90,MATCH(P226,Strategy!$B$36:$B$90,0)))</x:f>
        <x:v>10</x:v>
      </x:c>
      <x:c r="W226" s="361" t="str">
        <x:f>IF(OR(COUNTIFS(Strategy!$B$36:$B$90,P226)&lt;&gt;1,COUNTIFS(Strategy!$B$36:$B$90,P226,Strategy!$F$36:$F$90,"&lt;&gt;")&lt;&gt;1),"",INDEX(Strategy!$F$36:$F$90,MATCH(P226,Strategy!$B$36:$B$90,0)))</x:f>
        <x:v>reps/leg</x:v>
      </x:c>
      <x:c r="X226" s="370" t="n">
        <x:f>IF(OR(COUNT(R226:V226)&lt;&gt;5,Q226&lt;&gt;W226,T226&lt;0,T226&gt;10,U226&lt;=0,V226&lt;=0,R226&lt;0,R226&lt;&gt;INT(R226),S226&lt;=0),"",T226*R226*S226/(U226*V226))</x:f>
        <x:v>1.3333333333333333</x:v>
      </x:c>
      <x:c r="Y226" s="374" t="str">
        <x:v>Planning ceiling of 5 reps for the test; adjust before training.</x:v>
      </x:c>
    </x:row>
    <x:row r="227" ht="15" hidden="0" customHeight="1">
      <x:c r="N227" s="363" t="n">
        <x:f>Daily!A47</x:f>
        <x:v>46398.5</x:v>
      </x:c>
      <x:c r="O227" s="359" t="str">
        <x:f>Daily!D47</x:f>
        <x:v>Skill A + interval circuit</x:v>
      </x:c>
      <x:c r="P227" s="371" t="str">
        <x:v>Easy scapular pull-up</x:v>
      </x:c>
      <x:c r="Q227" s="360" t="str">
        <x:v>reps</x:v>
      </x:c>
      <x:c r="R227" s="365" t="n">
        <x:v>1</x:v>
      </x:c>
      <x:c r="S227" s="365" t="n">
        <x:v>5</x:v>
      </x:c>
      <x:c r="T227" s="366" t="n">
        <x:f>IF(OR(COUNTIFS(Strategy!$B$36:$B$90,P227)&lt;&gt;1,COUNTIFS(Strategy!$B$36:$B$90,P227,Strategy!$C$36:$C$90,"&lt;&gt;")&lt;&gt;1),"",INDEX(Strategy!$C$36:$C$90,MATCH(P227,Strategy!$B$36:$B$90,0)))</x:f>
        <x:v>1</x:v>
      </x:c>
      <x:c r="U227" s="366" t="n">
        <x:f>IF(OR(COUNTIFS(Strategy!$B$36:$B$90,P227)&lt;&gt;1,COUNTIFS(Strategy!$B$36:$B$90,P227,Strategy!$D$36:$D$90,"&lt;&gt;")&lt;&gt;1),"",INDEX(Strategy!$D$36:$D$90,MATCH(P227,Strategy!$B$36:$B$90,0)))</x:f>
        <x:v>3</x:v>
      </x:c>
      <x:c r="V227" s="366" t="n">
        <x:f>IF(OR(COUNTIFS(Strategy!$B$36:$B$90,P227)&lt;&gt;1,COUNTIFS(Strategy!$B$36:$B$90,P227,Strategy!$E$36:$E$90,"&lt;&gt;")&lt;&gt;1),"",INDEX(Strategy!$E$36:$E$90,MATCH(P227,Strategy!$B$36:$B$90,0)))</x:f>
        <x:v>10</x:v>
      </x:c>
      <x:c r="W227" s="359" t="str">
        <x:f>IF(OR(COUNTIFS(Strategy!$B$36:$B$90,P227)&lt;&gt;1,COUNTIFS(Strategy!$B$36:$B$90,P227,Strategy!$F$36:$F$90,"&lt;&gt;")&lt;&gt;1),"",INDEX(Strategy!$F$36:$F$90,MATCH(P227,Strategy!$B$36:$B$90,0)))</x:f>
        <x:v>reps</x:v>
      </x:c>
      <x:c r="X227" s="369" t="n">
        <x:f>IF(OR(COUNT(R227:V227)&lt;&gt;5,Q227&lt;&gt;W227,T227&lt;0,T227&gt;10,U227&lt;=0,V227&lt;=0,R227&lt;0,R227&lt;&gt;INT(R227),S227&lt;=0),"",T227*R227*S227/(U227*V227))</x:f>
        <x:v>0.16666666666666666</x:v>
      </x:c>
      <x:c r="Y227" s="373" t="str">
        <x:v>Optional work is included in the planned ceiling; set sets to 0 to omit.</x:v>
      </x:c>
    </x:row>
    <x:row r="228" ht="15" hidden="0" customHeight="1">
      <x:c r="N228" s="364" t="n">
        <x:f>Daily!A47</x:f>
        <x:v>46398.5</x:v>
      </x:c>
      <x:c r="O228" s="361" t="str">
        <x:f>Daily!D47</x:f>
        <x:v>Skill A + interval circuit</x:v>
      </x:c>
      <x:c r="P228" s="372" t="str">
        <x:v>Pull-up</x:v>
      </x:c>
      <x:c r="Q228" s="362" t="str">
        <x:v>seconds</x:v>
      </x:c>
      <x:c r="R228" s="367" t="n">
        <x:v>2</x:v>
      </x:c>
      <x:c r="S228" s="367" t="n">
        <x:v>30</x:v>
      </x:c>
      <x:c r="T228" s="368" t="n">
        <x:f>IF(OR(COUNTIFS(Strategy!$B$36:$B$90,P228)&lt;&gt;1,COUNTIFS(Strategy!$B$36:$B$90,P228,Strategy!$C$36:$C$90,"&lt;&gt;")&lt;&gt;1),"",INDEX(Strategy!$C$36:$C$90,MATCH(P228,Strategy!$B$36:$B$90,0)))</x:f>
        <x:v>1</x:v>
      </x:c>
      <x:c r="U228" s="368" t="n">
        <x:f>IF(OR(COUNTIFS(Strategy!$B$36:$B$90,P228)&lt;&gt;1,COUNTIFS(Strategy!$B$36:$B$90,P228,Strategy!$D$36:$D$90,"&lt;&gt;")&lt;&gt;1),"",INDEX(Strategy!$D$36:$D$90,MATCH(P228,Strategy!$B$36:$B$90,0)))</x:f>
        <x:v>5</x:v>
      </x:c>
      <x:c r="V228" s="368" t="n">
        <x:f>IF(OR(COUNTIFS(Strategy!$B$36:$B$90,P228)&lt;&gt;1,COUNTIFS(Strategy!$B$36:$B$90,P228,Strategy!$E$36:$E$90,"&lt;&gt;")&lt;&gt;1),"",INDEX(Strategy!$E$36:$E$90,MATCH(P228,Strategy!$B$36:$B$90,0)))</x:f>
        <x:v>120</x:v>
      </x:c>
      <x:c r="W228" s="361" t="str">
        <x:f>IF(OR(COUNTIFS(Strategy!$B$36:$B$90,P228)&lt;&gt;1,COUNTIFS(Strategy!$B$36:$B$90,P228,Strategy!$F$36:$F$90,"&lt;&gt;")&lt;&gt;1),"",INDEX(Strategy!$F$36:$F$90,MATCH(P228,Strategy!$B$36:$B$90,0)))</x:f>
        <x:v>seconds</x:v>
      </x:c>
      <x:c r="X228" s="370" t="n">
        <x:f>IF(OR(COUNT(R228:V228)&lt;&gt;5,Q228&lt;&gt;W228,T228&lt;0,T228&gt;10,U228&lt;=0,V228&lt;=0,R228&lt;0,R228&lt;&gt;INT(R228),S228&lt;=0),"",T228*R228*S228/(U228*V228))</x:f>
        <x:v>0.1</x:v>
      </x:c>
      <x:c r="Y228" s="374" t="str">
        <x:v>Core: one 30-second work interval per round; rest excluded.</x:v>
      </x:c>
    </x:row>
    <x:row r="229" ht="15" hidden="0" customHeight="1">
      <x:c r="N229" s="363" t="n">
        <x:f>Daily!A47</x:f>
        <x:v>46398.5</x:v>
      </x:c>
      <x:c r="O229" s="359" t="str">
        <x:f>Daily!D47</x:f>
        <x:v>Skill A + interval circuit</x:v>
      </x:c>
      <x:c r="P229" s="371" t="str">
        <x:v>Push-up</x:v>
      </x:c>
      <x:c r="Q229" s="360" t="str">
        <x:v>seconds</x:v>
      </x:c>
      <x:c r="R229" s="365" t="n">
        <x:v>2</x:v>
      </x:c>
      <x:c r="S229" s="365" t="n">
        <x:v>30</x:v>
      </x:c>
      <x:c r="T229" s="366" t="n">
        <x:f>IF(OR(COUNTIFS(Strategy!$B$36:$B$90,P229)&lt;&gt;1,COUNTIFS(Strategy!$B$36:$B$90,P229,Strategy!$C$36:$C$90,"&lt;&gt;")&lt;&gt;1),"",INDEX(Strategy!$C$36:$C$90,MATCH(P229,Strategy!$B$36:$B$90,0)))</x:f>
        <x:v>1</x:v>
      </x:c>
      <x:c r="U229" s="366" t="n">
        <x:f>IF(OR(COUNTIFS(Strategy!$B$36:$B$90,P229)&lt;&gt;1,COUNTIFS(Strategy!$B$36:$B$90,P229,Strategy!$D$36:$D$90,"&lt;&gt;")&lt;&gt;1),"",INDEX(Strategy!$D$36:$D$90,MATCH(P229,Strategy!$B$36:$B$90,0)))</x:f>
        <x:v>5</x:v>
      </x:c>
      <x:c r="V229" s="366" t="n">
        <x:f>IF(OR(COUNTIFS(Strategy!$B$36:$B$90,P229)&lt;&gt;1,COUNTIFS(Strategy!$B$36:$B$90,P229,Strategy!$E$36:$E$90,"&lt;&gt;")&lt;&gt;1),"",INDEX(Strategy!$E$36:$E$90,MATCH(P229,Strategy!$B$36:$B$90,0)))</x:f>
        <x:v>120</x:v>
      </x:c>
      <x:c r="W229" s="359" t="str">
        <x:f>IF(OR(COUNTIFS(Strategy!$B$36:$B$90,P229)&lt;&gt;1,COUNTIFS(Strategy!$B$36:$B$90,P229,Strategy!$F$36:$F$90,"&lt;&gt;")&lt;&gt;1),"",INDEX(Strategy!$F$36:$F$90,MATCH(P229,Strategy!$B$36:$B$90,0)))</x:f>
        <x:v>seconds</x:v>
      </x:c>
      <x:c r="X229" s="369" t="n">
        <x:f>IF(OR(COUNT(R229:V229)&lt;&gt;5,Q229&lt;&gt;W229,T229&lt;0,T229&gt;10,U229&lt;=0,V229&lt;=0,R229&lt;0,R229&lt;&gt;INT(R229),S229&lt;=0),"",T229*R229*S229/(U229*V229))</x:f>
        <x:v>0.1</x:v>
      </x:c>
      <x:c r="Y229" s="373" t="str">
        <x:v>Core: one 30-second work interval per round; rest excluded.</x:v>
      </x:c>
    </x:row>
    <x:row r="230" ht="15" hidden="0" customHeight="1">
      <x:c r="N230" s="364" t="n">
        <x:f>Daily!A47</x:f>
        <x:v>46398.5</x:v>
      </x:c>
      <x:c r="O230" s="361" t="str">
        <x:f>Daily!D47</x:f>
        <x:v>Skill A + interval circuit</x:v>
      </x:c>
      <x:c r="P230" s="372" t="str">
        <x:v>Weighted squat</x:v>
      </x:c>
      <x:c r="Q230" s="362" t="str">
        <x:v>seconds</x:v>
      </x:c>
      <x:c r="R230" s="367" t="n">
        <x:v>2</x:v>
      </x:c>
      <x:c r="S230" s="367" t="n">
        <x:v>30</x:v>
      </x:c>
      <x:c r="T230" s="368" t="n">
        <x:f>IF(OR(COUNTIFS(Strategy!$B$36:$B$90,P230)&lt;&gt;1,COUNTIFS(Strategy!$B$36:$B$90,P230,Strategy!$C$36:$C$90,"&lt;&gt;")&lt;&gt;1),"",INDEX(Strategy!$C$36:$C$90,MATCH(P230,Strategy!$B$36:$B$90,0)))</x:f>
        <x:v>1</x:v>
      </x:c>
      <x:c r="U230" s="368" t="n">
        <x:f>IF(OR(COUNTIFS(Strategy!$B$36:$B$90,P230)&lt;&gt;1,COUNTIFS(Strategy!$B$36:$B$90,P230,Strategy!$D$36:$D$90,"&lt;&gt;")&lt;&gt;1),"",INDEX(Strategy!$D$36:$D$90,MATCH(P230,Strategy!$B$36:$B$90,0)))</x:f>
        <x:v>5</x:v>
      </x:c>
      <x:c r="V230" s="368" t="n">
        <x:f>IF(OR(COUNTIFS(Strategy!$B$36:$B$90,P230)&lt;&gt;1,COUNTIFS(Strategy!$B$36:$B$90,P230,Strategy!$E$36:$E$90,"&lt;&gt;")&lt;&gt;1),"",INDEX(Strategy!$E$36:$E$90,MATCH(P230,Strategy!$B$36:$B$90,0)))</x:f>
        <x:v>120</x:v>
      </x:c>
      <x:c r="W230" s="361" t="str">
        <x:f>IF(OR(COUNTIFS(Strategy!$B$36:$B$90,P230)&lt;&gt;1,COUNTIFS(Strategy!$B$36:$B$90,P230,Strategy!$F$36:$F$90,"&lt;&gt;")&lt;&gt;1),"",INDEX(Strategy!$F$36:$F$90,MATCH(P230,Strategy!$B$36:$B$90,0)))</x:f>
        <x:v>seconds</x:v>
      </x:c>
      <x:c r="X230" s="370" t="n">
        <x:f>IF(OR(COUNT(R230:V230)&lt;&gt;5,Q230&lt;&gt;W230,T230&lt;0,T230&gt;10,U230&lt;=0,V230&lt;=0,R230&lt;0,R230&lt;&gt;INT(R230),S230&lt;=0),"",T230*R230*S230/(U230*V230))</x:f>
        <x:v>0.1</x:v>
      </x:c>
      <x:c r="Y230" s="374" t="str">
        <x:v>Core: one 30-second work interval per round; rest excluded.</x:v>
      </x:c>
    </x:row>
    <x:row r="231" ht="15" hidden="0" customHeight="1">
      <x:c r="N231" s="363" t="n">
        <x:f>Daily!A47</x:f>
        <x:v>46398.5</x:v>
      </x:c>
      <x:c r="O231" s="359" t="str">
        <x:f>Daily!D47</x:f>
        <x:v>Skill A + interval circuit</x:v>
      </x:c>
      <x:c r="P231" s="371" t="str">
        <x:v>Upside-down hanging shoulder/ab work</x:v>
      </x:c>
      <x:c r="Q231" s="360" t="str">
        <x:v>seconds</x:v>
      </x:c>
      <x:c r="R231" s="365" t="n">
        <x:v>2</x:v>
      </x:c>
      <x:c r="S231" s="365" t="n">
        <x:v>30</x:v>
      </x:c>
      <x:c r="T231" s="366" t="n">
        <x:f>IF(OR(COUNTIFS(Strategy!$B$36:$B$90,P231)&lt;&gt;1,COUNTIFS(Strategy!$B$36:$B$90,P231,Strategy!$C$36:$C$90,"&lt;&gt;")&lt;&gt;1),"",INDEX(Strategy!$C$36:$C$90,MATCH(P231,Strategy!$B$36:$B$90,0)))</x:f>
        <x:v>1</x:v>
      </x:c>
      <x:c r="U231" s="366" t="n">
        <x:f>IF(OR(COUNTIFS(Strategy!$B$36:$B$90,P231)&lt;&gt;1,COUNTIFS(Strategy!$B$36:$B$90,P231,Strategy!$D$36:$D$90,"&lt;&gt;")&lt;&gt;1),"",INDEX(Strategy!$D$36:$D$90,MATCH(P231,Strategy!$B$36:$B$90,0)))</x:f>
        <x:v>5</x:v>
      </x:c>
      <x:c r="V231" s="366" t="n">
        <x:f>IF(OR(COUNTIFS(Strategy!$B$36:$B$90,P231)&lt;&gt;1,COUNTIFS(Strategy!$B$36:$B$90,P231,Strategy!$E$36:$E$90,"&lt;&gt;")&lt;&gt;1),"",INDEX(Strategy!$E$36:$E$90,MATCH(P231,Strategy!$B$36:$B$90,0)))</x:f>
        <x:v>120</x:v>
      </x:c>
      <x:c r="W231" s="359" t="str">
        <x:f>IF(OR(COUNTIFS(Strategy!$B$36:$B$90,P231)&lt;&gt;1,COUNTIFS(Strategy!$B$36:$B$90,P231,Strategy!$F$36:$F$90,"&lt;&gt;")&lt;&gt;1),"",INDEX(Strategy!$F$36:$F$90,MATCH(P231,Strategy!$B$36:$B$90,0)))</x:f>
        <x:v>seconds</x:v>
      </x:c>
      <x:c r="X231" s="369" t="n">
        <x:f>IF(OR(COUNT(R231:V231)&lt;&gt;5,Q231&lt;&gt;W231,T231&lt;0,T231&gt;10,U231&lt;=0,V231&lt;=0,R231&lt;0,R231&lt;&gt;INT(R231),S231&lt;=0),"",T231*R231*S231/(U231*V231))</x:f>
        <x:v>0.1</x:v>
      </x:c>
      <x:c r="Y231" s="373" t="str">
        <x:v>Core: one 30-second work interval per round; rest excluded.</x:v>
      </x:c>
    </x:row>
    <x:row r="232" ht="15" hidden="0" customHeight="1">
      <x:c r="N232" s="364" t="n">
        <x:f>Daily!A48</x:f>
        <x:v>46399.5</x:v>
      </x:c>
      <x:c r="O232" s="361" t="str">
        <x:f>Daily!D48</x:f>
        <x:v>Handstand technique</x:v>
      </x:c>
      <x:c r="P232" s="372" t="str">
        <x:v>Wrist/shoulder mobility</x:v>
      </x:c>
      <x:c r="Q232" s="362" t="str">
        <x:v>seconds</x:v>
      </x:c>
      <x:c r="R232" s="367" t="n">
        <x:v>1</x:v>
      </x:c>
      <x:c r="S232" s="367" t="n">
        <x:v>60</x:v>
      </x:c>
      <x:c r="T232" s="368" t="n">
        <x:f>IF(OR(COUNTIFS(Strategy!$B$36:$B$90,P232)&lt;&gt;1,COUNTIFS(Strategy!$B$36:$B$90,P232,Strategy!$C$36:$C$90,"&lt;&gt;")&lt;&gt;1),"",INDEX(Strategy!$C$36:$C$90,MATCH(P232,Strategy!$B$36:$B$90,0)))</x:f>
        <x:v>1</x:v>
      </x:c>
      <x:c r="U232" s="368" t="n">
        <x:f>IF(OR(COUNTIFS(Strategy!$B$36:$B$90,P232)&lt;&gt;1,COUNTIFS(Strategy!$B$36:$B$90,P232,Strategy!$D$36:$D$90,"&lt;&gt;")&lt;&gt;1),"",INDEX(Strategy!$D$36:$D$90,MATCH(P232,Strategy!$B$36:$B$90,0)))</x:f>
        <x:v>3</x:v>
      </x:c>
      <x:c r="V232" s="368" t="n">
        <x:f>IF(OR(COUNTIFS(Strategy!$B$36:$B$90,P232)&lt;&gt;1,COUNTIFS(Strategy!$B$36:$B$90,P232,Strategy!$E$36:$E$90,"&lt;&gt;")&lt;&gt;1),"",INDEX(Strategy!$E$36:$E$90,MATCH(P232,Strategy!$B$36:$B$90,0)))</x:f>
        <x:v>60</x:v>
      </x:c>
      <x:c r="W232" s="361" t="str">
        <x:f>IF(OR(COUNTIFS(Strategy!$B$36:$B$90,P232)&lt;&gt;1,COUNTIFS(Strategy!$B$36:$B$90,P232,Strategy!$F$36:$F$90,"&lt;&gt;")&lt;&gt;1),"",INDEX(Strategy!$F$36:$F$90,MATCH(P232,Strategy!$B$36:$B$90,0)))</x:f>
        <x:v>seconds</x:v>
      </x:c>
      <x:c r="X232" s="370" t="n">
        <x:f>IF(OR(COUNT(R232:V232)&lt;&gt;5,Q232&lt;&gt;W232,T232&lt;0,T232&gt;10,U232&lt;=0,V232&lt;=0,R232&lt;0,R232&lt;&gt;INT(R232),S232&lt;=0),"",T232*R232*S232/(U232*V232))</x:f>
        <x:v>0.3333333333333333</x:v>
      </x:c>
      <x:c r="Y232" s="374" t="str"/>
    </x:row>
    <x:row r="233" ht="15" hidden="0" customHeight="1">
      <x:c r="N233" s="363" t="n">
        <x:f>Daily!A48</x:f>
        <x:v>46399.5</x:v>
      </x:c>
      <x:c r="O233" s="359" t="str">
        <x:f>Daily!D48</x:f>
        <x:v>Handstand technique</x:v>
      </x:c>
      <x:c r="P233" s="371" t="str">
        <x:v>Easy chest-to-wall hold</x:v>
      </x:c>
      <x:c r="Q233" s="360" t="str">
        <x:v>seconds</x:v>
      </x:c>
      <x:c r="R233" s="365" t="n">
        <x:v>2</x:v>
      </x:c>
      <x:c r="S233" s="365" t="n">
        <x:v>10</x:v>
      </x:c>
      <x:c r="T233" s="366" t="n">
        <x:f>IF(OR(COUNTIFS(Strategy!$B$36:$B$90,P233)&lt;&gt;1,COUNTIFS(Strategy!$B$36:$B$90,P233,Strategy!$C$36:$C$90,"&lt;&gt;")&lt;&gt;1),"",INDEX(Strategy!$C$36:$C$90,MATCH(P233,Strategy!$B$36:$B$90,0)))</x:f>
        <x:v>1</x:v>
      </x:c>
      <x:c r="U233" s="366" t="n">
        <x:f>IF(OR(COUNTIFS(Strategy!$B$36:$B$90,P233)&lt;&gt;1,COUNTIFS(Strategy!$B$36:$B$90,P233,Strategy!$D$36:$D$90,"&lt;&gt;")&lt;&gt;1),"",INDEX(Strategy!$D$36:$D$90,MATCH(P233,Strategy!$B$36:$B$90,0)))</x:f>
        <x:v>3</x:v>
      </x:c>
      <x:c r="V233" s="366" t="n">
        <x:f>IF(OR(COUNTIFS(Strategy!$B$36:$B$90,P233)&lt;&gt;1,COUNTIFS(Strategy!$B$36:$B$90,P233,Strategy!$E$36:$E$90,"&lt;&gt;")&lt;&gt;1),"",INDEX(Strategy!$E$36:$E$90,MATCH(P233,Strategy!$B$36:$B$90,0)))</x:f>
        <x:v>60</x:v>
      </x:c>
      <x:c r="W233" s="359" t="str">
        <x:f>IF(OR(COUNTIFS(Strategy!$B$36:$B$90,P233)&lt;&gt;1,COUNTIFS(Strategy!$B$36:$B$90,P233,Strategy!$F$36:$F$90,"&lt;&gt;")&lt;&gt;1),"",INDEX(Strategy!$F$36:$F$90,MATCH(P233,Strategy!$B$36:$B$90,0)))</x:f>
        <x:v>seconds</x:v>
      </x:c>
      <x:c r="X233" s="369" t="n">
        <x:f>IF(OR(COUNT(R233:V233)&lt;&gt;5,Q233&lt;&gt;W233,T233&lt;0,T233&gt;10,U233&lt;=0,V233&lt;=0,R233&lt;0,R233&lt;&gt;INT(R233),S233&lt;=0),"",T233*R233*S233/(U233*V233))</x:f>
        <x:v>0.1111111111111111</x:v>
      </x:c>
      <x:c r="Y233" s="373" t="str"/>
    </x:row>
    <x:row r="234" ht="15" hidden="0" customHeight="1">
      <x:c r="N234" s="364" t="n">
        <x:f>Daily!A48</x:f>
        <x:v>46399.5</x:v>
      </x:c>
      <x:c r="O234" s="361" t="str">
        <x:f>Daily!D48</x:f>
        <x:v>Handstand technique</x:v>
      </x:c>
      <x:c r="P234" s="372" t="str">
        <x:v>Wall handstand line drill</x:v>
      </x:c>
      <x:c r="Q234" s="362" t="str">
        <x:v>seconds</x:v>
      </x:c>
      <x:c r="R234" s="367" t="n">
        <x:v>1</x:v>
      </x:c>
      <x:c r="S234" s="367" t="n">
        <x:v>10</x:v>
      </x:c>
      <x:c r="T234" s="368" t="n">
        <x:f>IF(OR(COUNTIFS(Strategy!$B$36:$B$90,P234)&lt;&gt;1,COUNTIFS(Strategy!$B$36:$B$90,P234,Strategy!$C$36:$C$90,"&lt;&gt;")&lt;&gt;1),"",INDEX(Strategy!$C$36:$C$90,MATCH(P234,Strategy!$B$36:$B$90,0)))</x:f>
        <x:v>1</x:v>
      </x:c>
      <x:c r="U234" s="368" t="n">
        <x:f>IF(OR(COUNTIFS(Strategy!$B$36:$B$90,P234)&lt;&gt;1,COUNTIFS(Strategy!$B$36:$B$90,P234,Strategy!$D$36:$D$90,"&lt;&gt;")&lt;&gt;1),"",INDEX(Strategy!$D$36:$D$90,MATCH(P234,Strategy!$B$36:$B$90,0)))</x:f>
        <x:v>3</x:v>
      </x:c>
      <x:c r="V234" s="368" t="n">
        <x:f>IF(OR(COUNTIFS(Strategy!$B$36:$B$90,P234)&lt;&gt;1,COUNTIFS(Strategy!$B$36:$B$90,P234,Strategy!$E$36:$E$90,"&lt;&gt;")&lt;&gt;1),"",INDEX(Strategy!$E$36:$E$90,MATCH(P234,Strategy!$B$36:$B$90,0)))</x:f>
        <x:v>60</x:v>
      </x:c>
      <x:c r="W234" s="361" t="str">
        <x:f>IF(OR(COUNTIFS(Strategy!$B$36:$B$90,P234)&lt;&gt;1,COUNTIFS(Strategy!$B$36:$B$90,P234,Strategy!$F$36:$F$90,"&lt;&gt;")&lt;&gt;1),"",INDEX(Strategy!$F$36:$F$90,MATCH(P234,Strategy!$B$36:$B$90,0)))</x:f>
        <x:v>seconds</x:v>
      </x:c>
      <x:c r="X234" s="370" t="n">
        <x:f>IF(OR(COUNT(R234:V234)&lt;&gt;5,Q234&lt;&gt;W234,T234&lt;0,T234&gt;10,U234&lt;=0,V234&lt;=0,R234&lt;0,R234&lt;&gt;INT(R234),S234&lt;=0),"",T234*R234*S234/(U234*V234))</x:f>
        <x:v>0.05555555555555555</x:v>
      </x:c>
      <x:c r="Y234" s="374" t="str"/>
    </x:row>
    <x:row r="235" ht="15" hidden="0" customHeight="1">
      <x:c r="N235" s="363" t="n">
        <x:f>Daily!A49</x:f>
        <x:v>46401.5</x:v>
      </x:c>
      <x:c r="O235" s="359" t="str">
        <x:f>Daily!D49</x:f>
        <x:v>Skill B + interval circuit</x:v>
      </x:c>
      <x:c r="P235" s="371" t="str">
        <x:v>Wall HSPU test</x:v>
      </x:c>
      <x:c r="Q235" s="360" t="str">
        <x:v>reps</x:v>
      </x:c>
      <x:c r="R235" s="365" t="n">
        <x:v>1</x:v>
      </x:c>
      <x:c r="S235" s="365" t="n">
        <x:v>5</x:v>
      </x:c>
      <x:c r="T235" s="366" t="n">
        <x:f>IF(OR(COUNTIFS(Strategy!$B$36:$B$90,P235)&lt;&gt;1,COUNTIFS(Strategy!$B$36:$B$90,P235,Strategy!$C$36:$C$90,"&lt;&gt;")&lt;&gt;1),"",INDEX(Strategy!$C$36:$C$90,MATCH(P235,Strategy!$B$36:$B$90,0)))</x:f>
        <x:v>8</x:v>
      </x:c>
      <x:c r="U235" s="366" t="n">
        <x:f>IF(OR(COUNTIFS(Strategy!$B$36:$B$90,P235)&lt;&gt;1,COUNTIFS(Strategy!$B$36:$B$90,P235,Strategy!$D$36:$D$90,"&lt;&gt;")&lt;&gt;1),"",INDEX(Strategy!$D$36:$D$90,MATCH(P235,Strategy!$B$36:$B$90,0)))</x:f>
        <x:v>3</x:v>
      </x:c>
      <x:c r="V235" s="366" t="n">
        <x:f>IF(OR(COUNTIFS(Strategy!$B$36:$B$90,P235)&lt;&gt;1,COUNTIFS(Strategy!$B$36:$B$90,P235,Strategy!$E$36:$E$90,"&lt;&gt;")&lt;&gt;1),"",INDEX(Strategy!$E$36:$E$90,MATCH(P235,Strategy!$B$36:$B$90,0)))</x:f>
        <x:v>10</x:v>
      </x:c>
      <x:c r="W235" s="359" t="str">
        <x:f>IF(OR(COUNTIFS(Strategy!$B$36:$B$90,P235)&lt;&gt;1,COUNTIFS(Strategy!$B$36:$B$90,P235,Strategy!$F$36:$F$90,"&lt;&gt;")&lt;&gt;1),"",INDEX(Strategy!$F$36:$F$90,MATCH(P235,Strategy!$B$36:$B$90,0)))</x:f>
        <x:v>reps</x:v>
      </x:c>
      <x:c r="X235" s="369" t="n">
        <x:f>IF(OR(COUNT(R235:V235)&lt;&gt;5,Q235&lt;&gt;W235,T235&lt;0,T235&gt;10,U235&lt;=0,V235&lt;=0,R235&lt;0,R235&lt;&gt;INT(R235),S235&lt;=0),"",T235*R235*S235/(U235*V235))</x:f>
        <x:v>1.3333333333333333</x:v>
      </x:c>
      <x:c r="Y235" s="373" t="str">
        <x:v>Planning ceiling of 5 reps for the test; adjust before training.</x:v>
      </x:c>
    </x:row>
    <x:row r="236" ht="15" hidden="0" customHeight="1">
      <x:c r="N236" s="364" t="n">
        <x:f>Daily!A49</x:f>
        <x:v>46401.5</x:v>
      </x:c>
      <x:c r="O236" s="361" t="str">
        <x:f>Daily!D49</x:f>
        <x:v>Skill B + interval circuit</x:v>
      </x:c>
      <x:c r="P236" s="372" t="str">
        <x:v>Easy wall handstand</x:v>
      </x:c>
      <x:c r="Q236" s="362" t="str">
        <x:v>seconds</x:v>
      </x:c>
      <x:c r="R236" s="367" t="n">
        <x:v>1</x:v>
      </x:c>
      <x:c r="S236" s="367" t="n">
        <x:v>15</x:v>
      </x:c>
      <x:c r="T236" s="368" t="n">
        <x:f>IF(OR(COUNTIFS(Strategy!$B$36:$B$90,P236)&lt;&gt;1,COUNTIFS(Strategy!$B$36:$B$90,P236,Strategy!$C$36:$C$90,"&lt;&gt;")&lt;&gt;1),"",INDEX(Strategy!$C$36:$C$90,MATCH(P236,Strategy!$B$36:$B$90,0)))</x:f>
        <x:v>1</x:v>
      </x:c>
      <x:c r="U236" s="368" t="n">
        <x:f>IF(OR(COUNTIFS(Strategy!$B$36:$B$90,P236)&lt;&gt;1,COUNTIFS(Strategy!$B$36:$B$90,P236,Strategy!$D$36:$D$90,"&lt;&gt;")&lt;&gt;1),"",INDEX(Strategy!$D$36:$D$90,MATCH(P236,Strategy!$B$36:$B$90,0)))</x:f>
        <x:v>3</x:v>
      </x:c>
      <x:c r="V236" s="368" t="n">
        <x:f>IF(OR(COUNTIFS(Strategy!$B$36:$B$90,P236)&lt;&gt;1,COUNTIFS(Strategy!$B$36:$B$90,P236,Strategy!$E$36:$E$90,"&lt;&gt;")&lt;&gt;1),"",INDEX(Strategy!$E$36:$E$90,MATCH(P236,Strategy!$B$36:$B$90,0)))</x:f>
        <x:v>60</x:v>
      </x:c>
      <x:c r="W236" s="361" t="str">
        <x:f>IF(OR(COUNTIFS(Strategy!$B$36:$B$90,P236)&lt;&gt;1,COUNTIFS(Strategy!$B$36:$B$90,P236,Strategy!$F$36:$F$90,"&lt;&gt;")&lt;&gt;1),"",INDEX(Strategy!$F$36:$F$90,MATCH(P236,Strategy!$B$36:$B$90,0)))</x:f>
        <x:v>seconds</x:v>
      </x:c>
      <x:c r="X236" s="370" t="n">
        <x:f>IF(OR(COUNT(R236:V236)&lt;&gt;5,Q236&lt;&gt;W236,T236&lt;0,T236&gt;10,U236&lt;=0,V236&lt;=0,R236&lt;0,R236&lt;&gt;INT(R236),S236&lt;=0),"",T236*R236*S236/(U236*V236))</x:f>
        <x:v>0.08333333333333333</x:v>
      </x:c>
      <x:c r="Y236" s="374" t="str"/>
    </x:row>
    <x:row r="237" ht="15" hidden="0" customHeight="1">
      <x:c r="N237" s="363" t="n">
        <x:f>Daily!A49</x:f>
        <x:v>46401.5</x:v>
      </x:c>
      <x:c r="O237" s="359" t="str">
        <x:f>Daily!D49</x:f>
        <x:v>Skill B + interval circuit</x:v>
      </x:c>
      <x:c r="P237" s="371" t="str">
        <x:v>Gentle wrist/shoulder mobility</x:v>
      </x:c>
      <x:c r="Q237" s="360" t="str">
        <x:v>seconds</x:v>
      </x:c>
      <x:c r="R237" s="365" t="n">
        <x:v>1</x:v>
      </x:c>
      <x:c r="S237" s="365" t="n">
        <x:v>120</x:v>
      </x:c>
      <x:c r="T237" s="366" t="n">
        <x:f>IF(OR(COUNTIFS(Strategy!$B$36:$B$90,P237)&lt;&gt;1,COUNTIFS(Strategy!$B$36:$B$90,P237,Strategy!$C$36:$C$90,"&lt;&gt;")&lt;&gt;1),"",INDEX(Strategy!$C$36:$C$90,MATCH(P237,Strategy!$B$36:$B$90,0)))</x:f>
        <x:v>1</x:v>
      </x:c>
      <x:c r="U237" s="366" t="n">
        <x:f>IF(OR(COUNTIFS(Strategy!$B$36:$B$90,P237)&lt;&gt;1,COUNTIFS(Strategy!$B$36:$B$90,P237,Strategy!$D$36:$D$90,"&lt;&gt;")&lt;&gt;1),"",INDEX(Strategy!$D$36:$D$90,MATCH(P237,Strategy!$B$36:$B$90,0)))</x:f>
        <x:v>3</x:v>
      </x:c>
      <x:c r="V237" s="366" t="n">
        <x:f>IF(OR(COUNTIFS(Strategy!$B$36:$B$90,P237)&lt;&gt;1,COUNTIFS(Strategy!$B$36:$B$90,P237,Strategy!$E$36:$E$90,"&lt;&gt;")&lt;&gt;1),"",INDEX(Strategy!$E$36:$E$90,MATCH(P237,Strategy!$B$36:$B$90,0)))</x:f>
        <x:v>60</x:v>
      </x:c>
      <x:c r="W237" s="359" t="str">
        <x:f>IF(OR(COUNTIFS(Strategy!$B$36:$B$90,P237)&lt;&gt;1,COUNTIFS(Strategy!$B$36:$B$90,P237,Strategy!$F$36:$F$90,"&lt;&gt;")&lt;&gt;1),"",INDEX(Strategy!$F$36:$F$90,MATCH(P237,Strategy!$B$36:$B$90,0)))</x:f>
        <x:v>seconds</x:v>
      </x:c>
      <x:c r="X237" s="369" t="n">
        <x:f>IF(OR(COUNT(R237:V237)&lt;&gt;5,Q237&lt;&gt;W237,T237&lt;0,T237&gt;10,U237&lt;=0,V237&lt;=0,R237&lt;0,R237&lt;&gt;INT(R237),S237&lt;=0),"",T237*R237*S237/(U237*V237))</x:f>
        <x:v>0.6666666666666666</x:v>
      </x:c>
      <x:c r="Y237" s="373" t="str"/>
    </x:row>
    <x:row r="238" ht="15" hidden="0" customHeight="1">
      <x:c r="N238" s="364" t="n">
        <x:f>Daily!A49</x:f>
        <x:v>46401.5</x:v>
      </x:c>
      <x:c r="O238" s="361" t="str">
        <x:f>Daily!D49</x:f>
        <x:v>Skill B + interval circuit</x:v>
      </x:c>
      <x:c r="P238" s="372" t="str">
        <x:v>Pull-up</x:v>
      </x:c>
      <x:c r="Q238" s="362" t="str">
        <x:v>seconds</x:v>
      </x:c>
      <x:c r="R238" s="367" t="n">
        <x:v>2</x:v>
      </x:c>
      <x:c r="S238" s="367" t="n">
        <x:v>30</x:v>
      </x:c>
      <x:c r="T238" s="368" t="n">
        <x:f>IF(OR(COUNTIFS(Strategy!$B$36:$B$90,P238)&lt;&gt;1,COUNTIFS(Strategy!$B$36:$B$90,P238,Strategy!$C$36:$C$90,"&lt;&gt;")&lt;&gt;1),"",INDEX(Strategy!$C$36:$C$90,MATCH(P238,Strategy!$B$36:$B$90,0)))</x:f>
        <x:v>1</x:v>
      </x:c>
      <x:c r="U238" s="368" t="n">
        <x:f>IF(OR(COUNTIFS(Strategy!$B$36:$B$90,P238)&lt;&gt;1,COUNTIFS(Strategy!$B$36:$B$90,P238,Strategy!$D$36:$D$90,"&lt;&gt;")&lt;&gt;1),"",INDEX(Strategy!$D$36:$D$90,MATCH(P238,Strategy!$B$36:$B$90,0)))</x:f>
        <x:v>5</x:v>
      </x:c>
      <x:c r="V238" s="368" t="n">
        <x:f>IF(OR(COUNTIFS(Strategy!$B$36:$B$90,P238)&lt;&gt;1,COUNTIFS(Strategy!$B$36:$B$90,P238,Strategy!$E$36:$E$90,"&lt;&gt;")&lt;&gt;1),"",INDEX(Strategy!$E$36:$E$90,MATCH(P238,Strategy!$B$36:$B$90,0)))</x:f>
        <x:v>120</x:v>
      </x:c>
      <x:c r="W238" s="361" t="str">
        <x:f>IF(OR(COUNTIFS(Strategy!$B$36:$B$90,P238)&lt;&gt;1,COUNTIFS(Strategy!$B$36:$B$90,P238,Strategy!$F$36:$F$90,"&lt;&gt;")&lt;&gt;1),"",INDEX(Strategy!$F$36:$F$90,MATCH(P238,Strategy!$B$36:$B$90,0)))</x:f>
        <x:v>seconds</x:v>
      </x:c>
      <x:c r="X238" s="370" t="n">
        <x:f>IF(OR(COUNT(R238:V238)&lt;&gt;5,Q238&lt;&gt;W238,T238&lt;0,T238&gt;10,U238&lt;=0,V238&lt;=0,R238&lt;0,R238&lt;&gt;INT(R238),S238&lt;=0),"",T238*R238*S238/(U238*V238))</x:f>
        <x:v>0.1</x:v>
      </x:c>
      <x:c r="Y238" s="374" t="str">
        <x:v>Core: one 30-second work interval per round; rest excluded.</x:v>
      </x:c>
    </x:row>
    <x:row r="239" ht="15" hidden="0" customHeight="1">
      <x:c r="N239" s="363" t="n">
        <x:f>Daily!A49</x:f>
        <x:v>46401.5</x:v>
      </x:c>
      <x:c r="O239" s="359" t="str">
        <x:f>Daily!D49</x:f>
        <x:v>Skill B + interval circuit</x:v>
      </x:c>
      <x:c r="P239" s="371" t="str">
        <x:v>Push-up</x:v>
      </x:c>
      <x:c r="Q239" s="360" t="str">
        <x:v>seconds</x:v>
      </x:c>
      <x:c r="R239" s="365" t="n">
        <x:v>2</x:v>
      </x:c>
      <x:c r="S239" s="365" t="n">
        <x:v>30</x:v>
      </x:c>
      <x:c r="T239" s="366" t="n">
        <x:f>IF(OR(COUNTIFS(Strategy!$B$36:$B$90,P239)&lt;&gt;1,COUNTIFS(Strategy!$B$36:$B$90,P239,Strategy!$C$36:$C$90,"&lt;&gt;")&lt;&gt;1),"",INDEX(Strategy!$C$36:$C$90,MATCH(P239,Strategy!$B$36:$B$90,0)))</x:f>
        <x:v>1</x:v>
      </x:c>
      <x:c r="U239" s="366" t="n">
        <x:f>IF(OR(COUNTIFS(Strategy!$B$36:$B$90,P239)&lt;&gt;1,COUNTIFS(Strategy!$B$36:$B$90,P239,Strategy!$D$36:$D$90,"&lt;&gt;")&lt;&gt;1),"",INDEX(Strategy!$D$36:$D$90,MATCH(P239,Strategy!$B$36:$B$90,0)))</x:f>
        <x:v>5</x:v>
      </x:c>
      <x:c r="V239" s="366" t="n">
        <x:f>IF(OR(COUNTIFS(Strategy!$B$36:$B$90,P239)&lt;&gt;1,COUNTIFS(Strategy!$B$36:$B$90,P239,Strategy!$E$36:$E$90,"&lt;&gt;")&lt;&gt;1),"",INDEX(Strategy!$E$36:$E$90,MATCH(P239,Strategy!$B$36:$B$90,0)))</x:f>
        <x:v>120</x:v>
      </x:c>
      <x:c r="W239" s="359" t="str">
        <x:f>IF(OR(COUNTIFS(Strategy!$B$36:$B$90,P239)&lt;&gt;1,COUNTIFS(Strategy!$B$36:$B$90,P239,Strategy!$F$36:$F$90,"&lt;&gt;")&lt;&gt;1),"",INDEX(Strategy!$F$36:$F$90,MATCH(P239,Strategy!$B$36:$B$90,0)))</x:f>
        <x:v>seconds</x:v>
      </x:c>
      <x:c r="X239" s="369" t="n">
        <x:f>IF(OR(COUNT(R239:V239)&lt;&gt;5,Q239&lt;&gt;W239,T239&lt;0,T239&gt;10,U239&lt;=0,V239&lt;=0,R239&lt;0,R239&lt;&gt;INT(R239),S239&lt;=0),"",T239*R239*S239/(U239*V239))</x:f>
        <x:v>0.1</x:v>
      </x:c>
      <x:c r="Y239" s="373" t="str">
        <x:v>Core: one 30-second work interval per round; rest excluded.</x:v>
      </x:c>
    </x:row>
    <x:row r="240" ht="15" hidden="0" customHeight="1">
      <x:c r="N240" s="364" t="n">
        <x:f>Daily!A49</x:f>
        <x:v>46401.5</x:v>
      </x:c>
      <x:c r="O240" s="361" t="str">
        <x:f>Daily!D49</x:f>
        <x:v>Skill B + interval circuit</x:v>
      </x:c>
      <x:c r="P240" s="372" t="str">
        <x:v>Weighted squat</x:v>
      </x:c>
      <x:c r="Q240" s="362" t="str">
        <x:v>seconds</x:v>
      </x:c>
      <x:c r="R240" s="367" t="n">
        <x:v>2</x:v>
      </x:c>
      <x:c r="S240" s="367" t="n">
        <x:v>30</x:v>
      </x:c>
      <x:c r="T240" s="368" t="n">
        <x:f>IF(OR(COUNTIFS(Strategy!$B$36:$B$90,P240)&lt;&gt;1,COUNTIFS(Strategy!$B$36:$B$90,P240,Strategy!$C$36:$C$90,"&lt;&gt;")&lt;&gt;1),"",INDEX(Strategy!$C$36:$C$90,MATCH(P240,Strategy!$B$36:$B$90,0)))</x:f>
        <x:v>1</x:v>
      </x:c>
      <x:c r="U240" s="368" t="n">
        <x:f>IF(OR(COUNTIFS(Strategy!$B$36:$B$90,P240)&lt;&gt;1,COUNTIFS(Strategy!$B$36:$B$90,P240,Strategy!$D$36:$D$90,"&lt;&gt;")&lt;&gt;1),"",INDEX(Strategy!$D$36:$D$90,MATCH(P240,Strategy!$B$36:$B$90,0)))</x:f>
        <x:v>5</x:v>
      </x:c>
      <x:c r="V240" s="368" t="n">
        <x:f>IF(OR(COUNTIFS(Strategy!$B$36:$B$90,P240)&lt;&gt;1,COUNTIFS(Strategy!$B$36:$B$90,P240,Strategy!$E$36:$E$90,"&lt;&gt;")&lt;&gt;1),"",INDEX(Strategy!$E$36:$E$90,MATCH(P240,Strategy!$B$36:$B$90,0)))</x:f>
        <x:v>120</x:v>
      </x:c>
      <x:c r="W240" s="361" t="str">
        <x:f>IF(OR(COUNTIFS(Strategy!$B$36:$B$90,P240)&lt;&gt;1,COUNTIFS(Strategy!$B$36:$B$90,P240,Strategy!$F$36:$F$90,"&lt;&gt;")&lt;&gt;1),"",INDEX(Strategy!$F$36:$F$90,MATCH(P240,Strategy!$B$36:$B$90,0)))</x:f>
        <x:v>seconds</x:v>
      </x:c>
      <x:c r="X240" s="370" t="n">
        <x:f>IF(OR(COUNT(R240:V240)&lt;&gt;5,Q240&lt;&gt;W240,T240&lt;0,T240&gt;10,U240&lt;=0,V240&lt;=0,R240&lt;0,R240&lt;&gt;INT(R240),S240&lt;=0),"",T240*R240*S240/(U240*V240))</x:f>
        <x:v>0.1</x:v>
      </x:c>
      <x:c r="Y240" s="374" t="str">
        <x:v>Core: one 30-second work interval per round; rest excluded.</x:v>
      </x:c>
    </x:row>
    <x:row r="241" ht="15" hidden="0" customHeight="1">
      <x:c r="N241" s="363" t="n">
        <x:f>Daily!A49</x:f>
        <x:v>46401.5</x:v>
      </x:c>
      <x:c r="O241" s="359" t="str">
        <x:f>Daily!D49</x:f>
        <x:v>Skill B + interval circuit</x:v>
      </x:c>
      <x:c r="P241" s="371" t="str">
        <x:v>Upside-down hanging shoulder/ab work</x:v>
      </x:c>
      <x:c r="Q241" s="360" t="str">
        <x:v>seconds</x:v>
      </x:c>
      <x:c r="R241" s="365" t="n">
        <x:v>2</x:v>
      </x:c>
      <x:c r="S241" s="365" t="n">
        <x:v>30</x:v>
      </x:c>
      <x:c r="T241" s="366" t="n">
        <x:f>IF(OR(COUNTIFS(Strategy!$B$36:$B$90,P241)&lt;&gt;1,COUNTIFS(Strategy!$B$36:$B$90,P241,Strategy!$C$36:$C$90,"&lt;&gt;")&lt;&gt;1),"",INDEX(Strategy!$C$36:$C$90,MATCH(P241,Strategy!$B$36:$B$90,0)))</x:f>
        <x:v>1</x:v>
      </x:c>
      <x:c r="U241" s="366" t="n">
        <x:f>IF(OR(COUNTIFS(Strategy!$B$36:$B$90,P241)&lt;&gt;1,COUNTIFS(Strategy!$B$36:$B$90,P241,Strategy!$D$36:$D$90,"&lt;&gt;")&lt;&gt;1),"",INDEX(Strategy!$D$36:$D$90,MATCH(P241,Strategy!$B$36:$B$90,0)))</x:f>
        <x:v>5</x:v>
      </x:c>
      <x:c r="V241" s="366" t="n">
        <x:f>IF(OR(COUNTIFS(Strategy!$B$36:$B$90,P241)&lt;&gt;1,COUNTIFS(Strategy!$B$36:$B$90,P241,Strategy!$E$36:$E$90,"&lt;&gt;")&lt;&gt;1),"",INDEX(Strategy!$E$36:$E$90,MATCH(P241,Strategy!$B$36:$B$90,0)))</x:f>
        <x:v>120</x:v>
      </x:c>
      <x:c r="W241" s="359" t="str">
        <x:f>IF(OR(COUNTIFS(Strategy!$B$36:$B$90,P241)&lt;&gt;1,COUNTIFS(Strategy!$B$36:$B$90,P241,Strategy!$F$36:$F$90,"&lt;&gt;")&lt;&gt;1),"",INDEX(Strategy!$F$36:$F$90,MATCH(P241,Strategy!$B$36:$B$90,0)))</x:f>
        <x:v>seconds</x:v>
      </x:c>
      <x:c r="X241" s="369" t="n">
        <x:f>IF(OR(COUNT(R241:V241)&lt;&gt;5,Q241&lt;&gt;W241,T241&lt;0,T241&gt;10,U241&lt;=0,V241&lt;=0,R241&lt;0,R241&lt;&gt;INT(R241),S241&lt;=0),"",T241*R241*S241/(U241*V241))</x:f>
        <x:v>0.1</x:v>
      </x:c>
      <x:c r="Y241" s="373" t="str">
        <x:v>Core: one 30-second work interval per round; rest excluded.</x:v>
      </x:c>
    </x:row>
    <x:row r="242" ht="15" hidden="0" customHeight="1">
      <x:c r="N242" s="364" t="n">
        <x:f>Daily!A50</x:f>
        <x:v>46403.5</x:v>
      </x:c>
      <x:c r="O242" s="361" t="str">
        <x:f>Daily!D50</x:f>
        <x:v>Skill micro-session</x:v>
      </x:c>
      <x:c r="P242" s="372" t="str">
        <x:v>Wrist/shoulder mobility</x:v>
      </x:c>
      <x:c r="Q242" s="362" t="str">
        <x:v>seconds</x:v>
      </x:c>
      <x:c r="R242" s="367" t="n">
        <x:v>1</x:v>
      </x:c>
      <x:c r="S242" s="367" t="n">
        <x:v>60</x:v>
      </x:c>
      <x:c r="T242" s="368" t="n">
        <x:f>IF(OR(COUNTIFS(Strategy!$B$36:$B$90,P242)&lt;&gt;1,COUNTIFS(Strategy!$B$36:$B$90,P242,Strategy!$C$36:$C$90,"&lt;&gt;")&lt;&gt;1),"",INDEX(Strategy!$C$36:$C$90,MATCH(P242,Strategy!$B$36:$B$90,0)))</x:f>
        <x:v>1</x:v>
      </x:c>
      <x:c r="U242" s="368" t="n">
        <x:f>IF(OR(COUNTIFS(Strategy!$B$36:$B$90,P242)&lt;&gt;1,COUNTIFS(Strategy!$B$36:$B$90,P242,Strategy!$D$36:$D$90,"&lt;&gt;")&lt;&gt;1),"",INDEX(Strategy!$D$36:$D$90,MATCH(P242,Strategy!$B$36:$B$90,0)))</x:f>
        <x:v>3</x:v>
      </x:c>
      <x:c r="V242" s="368" t="n">
        <x:f>IF(OR(COUNTIFS(Strategy!$B$36:$B$90,P242)&lt;&gt;1,COUNTIFS(Strategy!$B$36:$B$90,P242,Strategy!$E$36:$E$90,"&lt;&gt;")&lt;&gt;1),"",INDEX(Strategy!$E$36:$E$90,MATCH(P242,Strategy!$B$36:$B$90,0)))</x:f>
        <x:v>60</x:v>
      </x:c>
      <x:c r="W242" s="361" t="str">
        <x:f>IF(OR(COUNTIFS(Strategy!$B$36:$B$90,P242)&lt;&gt;1,COUNTIFS(Strategy!$B$36:$B$90,P242,Strategy!$F$36:$F$90,"&lt;&gt;")&lt;&gt;1),"",INDEX(Strategy!$F$36:$F$90,MATCH(P242,Strategy!$B$36:$B$90,0)))</x:f>
        <x:v>seconds</x:v>
      </x:c>
      <x:c r="X242" s="370" t="n">
        <x:f>IF(OR(COUNT(R242:V242)&lt;&gt;5,Q242&lt;&gt;W242,T242&lt;0,T242&gt;10,U242&lt;=0,V242&lt;=0,R242&lt;0,R242&lt;&gt;INT(R242),S242&lt;=0),"",T242*R242*S242/(U242*V242))</x:f>
        <x:v>0.3333333333333333</x:v>
      </x:c>
      <x:c r="Y242" s="374" t="str"/>
    </x:row>
    <x:row r="243" ht="15" hidden="0" customHeight="1">
      <x:c r="N243" s="363" t="n">
        <x:f>Daily!A50</x:f>
        <x:v>46403.5</x:v>
      </x:c>
      <x:c r="O243" s="359" t="str">
        <x:f>Daily!D50</x:f>
        <x:v>Skill micro-session</x:v>
      </x:c>
      <x:c r="P243" s="371" t="str">
        <x:v>Easy chest-to-wall hold</x:v>
      </x:c>
      <x:c r="Q243" s="360" t="str">
        <x:v>seconds</x:v>
      </x:c>
      <x:c r="R243" s="365" t="n">
        <x:v>2</x:v>
      </x:c>
      <x:c r="S243" s="365" t="n">
        <x:v>10</x:v>
      </x:c>
      <x:c r="T243" s="366" t="n">
        <x:f>IF(OR(COUNTIFS(Strategy!$B$36:$B$90,P243)&lt;&gt;1,COUNTIFS(Strategy!$B$36:$B$90,P243,Strategy!$C$36:$C$90,"&lt;&gt;")&lt;&gt;1),"",INDEX(Strategy!$C$36:$C$90,MATCH(P243,Strategy!$B$36:$B$90,0)))</x:f>
        <x:v>1</x:v>
      </x:c>
      <x:c r="U243" s="366" t="n">
        <x:f>IF(OR(COUNTIFS(Strategy!$B$36:$B$90,P243)&lt;&gt;1,COUNTIFS(Strategy!$B$36:$B$90,P243,Strategy!$D$36:$D$90,"&lt;&gt;")&lt;&gt;1),"",INDEX(Strategy!$D$36:$D$90,MATCH(P243,Strategy!$B$36:$B$90,0)))</x:f>
        <x:v>3</x:v>
      </x:c>
      <x:c r="V243" s="366" t="n">
        <x:f>IF(OR(COUNTIFS(Strategy!$B$36:$B$90,P243)&lt;&gt;1,COUNTIFS(Strategy!$B$36:$B$90,P243,Strategy!$E$36:$E$90,"&lt;&gt;")&lt;&gt;1),"",INDEX(Strategy!$E$36:$E$90,MATCH(P243,Strategy!$B$36:$B$90,0)))</x:f>
        <x:v>60</x:v>
      </x:c>
      <x:c r="W243" s="359" t="str">
        <x:f>IF(OR(COUNTIFS(Strategy!$B$36:$B$90,P243)&lt;&gt;1,COUNTIFS(Strategy!$B$36:$B$90,P243,Strategy!$F$36:$F$90,"&lt;&gt;")&lt;&gt;1),"",INDEX(Strategy!$F$36:$F$90,MATCH(P243,Strategy!$B$36:$B$90,0)))</x:f>
        <x:v>seconds</x:v>
      </x:c>
      <x:c r="X243" s="369" t="n">
        <x:f>IF(OR(COUNT(R243:V243)&lt;&gt;5,Q243&lt;&gt;W243,T243&lt;0,T243&gt;10,U243&lt;=0,V243&lt;=0,R243&lt;0,R243&lt;&gt;INT(R243),S243&lt;=0),"",T243*R243*S243/(U243*V243))</x:f>
        <x:v>0.1111111111111111</x:v>
      </x:c>
      <x:c r="Y243" s="373" t="str"/>
    </x:row>
    <x:row r="244" ht="15" hidden="0" customHeight="1">
      <x:c r="N244" s="364" t="n">
        <x:f>Daily!A50</x:f>
        <x:v>46403.5</x:v>
      </x:c>
      <x:c r="O244" s="361" t="str">
        <x:f>Daily!D50</x:f>
        <x:v>Skill micro-session</x:v>
      </x:c>
      <x:c r="P244" s="372" t="str">
        <x:v>Wall handstand line drill</x:v>
      </x:c>
      <x:c r="Q244" s="362" t="str">
        <x:v>seconds</x:v>
      </x:c>
      <x:c r="R244" s="367" t="n">
        <x:v>1</x:v>
      </x:c>
      <x:c r="S244" s="367" t="n">
        <x:v>10</x:v>
      </x:c>
      <x:c r="T244" s="368" t="n">
        <x:f>IF(OR(COUNTIFS(Strategy!$B$36:$B$90,P244)&lt;&gt;1,COUNTIFS(Strategy!$B$36:$B$90,P244,Strategy!$C$36:$C$90,"&lt;&gt;")&lt;&gt;1),"",INDEX(Strategy!$C$36:$C$90,MATCH(P244,Strategy!$B$36:$B$90,0)))</x:f>
        <x:v>1</x:v>
      </x:c>
      <x:c r="U244" s="368" t="n">
        <x:f>IF(OR(COUNTIFS(Strategy!$B$36:$B$90,P244)&lt;&gt;1,COUNTIFS(Strategy!$B$36:$B$90,P244,Strategy!$D$36:$D$90,"&lt;&gt;")&lt;&gt;1),"",INDEX(Strategy!$D$36:$D$90,MATCH(P244,Strategy!$B$36:$B$90,0)))</x:f>
        <x:v>3</x:v>
      </x:c>
      <x:c r="V244" s="368" t="n">
        <x:f>IF(OR(COUNTIFS(Strategy!$B$36:$B$90,P244)&lt;&gt;1,COUNTIFS(Strategy!$B$36:$B$90,P244,Strategy!$E$36:$E$90,"&lt;&gt;")&lt;&gt;1),"",INDEX(Strategy!$E$36:$E$90,MATCH(P244,Strategy!$B$36:$B$90,0)))</x:f>
        <x:v>60</x:v>
      </x:c>
      <x:c r="W244" s="361" t="str">
        <x:f>IF(OR(COUNTIFS(Strategy!$B$36:$B$90,P244)&lt;&gt;1,COUNTIFS(Strategy!$B$36:$B$90,P244,Strategy!$F$36:$F$90,"&lt;&gt;")&lt;&gt;1),"",INDEX(Strategy!$F$36:$F$90,MATCH(P244,Strategy!$B$36:$B$90,0)))</x:f>
        <x:v>seconds</x:v>
      </x:c>
      <x:c r="X244" s="370" t="n">
        <x:f>IF(OR(COUNT(R244:V244)&lt;&gt;5,Q244&lt;&gt;W244,T244&lt;0,T244&gt;10,U244&lt;=0,V244&lt;=0,R244&lt;0,R244&lt;&gt;INT(R244),S244&lt;=0),"",T244*R244*S244/(U244*V244))</x:f>
        <x:v>0.05555555555555555</x:v>
      </x:c>
      <x:c r="Y244" s="374" t="str"/>
    </x:row>
  </x:sheetData>
  <x:mergeCells>
    <x:mergeCell ref="A2:J2"/>
  </x:mergeCells>
  <x:conditionalFormatting sqref="X5:X244">
    <x:cfRule type="expression" dxfId="9" priority="1">
      <x:formula>NOT(ISNUMBER(X5))</x:formula>
    </x:cfRule>
  </x:conditionalFormatting>
  <x:dataValidations count="7">
    <x:dataValidation type="list" sqref="E5:E160">
      <x:formula1>"TRUE,FALSE"</x:formula1>
    </x:dataValidation>
    <x:dataValidation type="list" sqref="J5:J160">
      <x:formula1>"higher,lower"</x:formula1>
    </x:dataValidation>
    <x:dataValidation type="decimal" operator="greaterThanOrEqual" sqref="F5:F160">
      <x:formula1>0</x:formula1>
    </x:dataValidation>
    <x:dataValidation type="list" sqref="P5:P244">
      <x:formula1>Strategy!$B$36:$B$90</x:formula1>
    </x:dataValidation>
    <x:dataValidation type="list" sqref="Q5:Q244">
      <x:formula1>"reps,reps/leg,seconds"</x:formula1>
    </x:dataValidation>
    <x:dataValidation type="whole" operator="between" sqref="R5:R244">
      <x:formula1>0</x:formula1>
      <x:formula2>1000</x:formula2>
    </x:dataValidation>
    <x:dataValidation type="decimal" operator="greaterThan" sqref="S5:S244">
      <x:formula1>0</x:formula1>
    </x:dataValidation>
  </x:dataValidations>
  <x:pageMargins left="0.7" right="0.7" top="0.75" bottom="0.75" header="0.3" footer="0.3"/>
</x:worksheet>
</file>